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valoremagronegocios.sharepoint.com/sites/whptm/PlanLogis/06 - Estoque/"/>
    </mc:Choice>
  </mc:AlternateContent>
  <xr:revisionPtr revIDLastSave="1764" documentId="13_ncr:1_{9287FA68-2F47-4ED1-9952-EEA217A86BCA}" xr6:coauthVersionLast="47" xr6:coauthVersionMax="47" xr10:uidLastSave="{B4F04CA4-58E6-4FFB-ADF5-4241C067E295}"/>
  <bookViews>
    <workbookView xWindow="-120" yWindow="-120" windowWidth="20730" windowHeight="11160" tabRatio="582" activeTab="1" xr2:uid="{00000000-000D-0000-FFFF-FFFF00000000}"/>
  </bookViews>
  <sheets>
    <sheet name="APROVADOS SEM FATURAMENTO" sheetId="5" r:id="rId1"/>
    <sheet name="FATURAMENTO" sheetId="4" r:id="rId2"/>
    <sheet name="ITEM ESTOQUE" sheetId="1" r:id="rId3"/>
    <sheet name="DINÂMICA" sheetId="2" r:id="rId4"/>
    <sheet name="RESUMO" sheetId="3" r:id="rId5"/>
    <sheet name="CARGAS" sheetId="6" r:id="rId6"/>
    <sheet name="!CACHE! DO NOT EDIT THIS SHEET!" sheetId="7" state="hidden" r:id="rId7"/>
  </sheets>
  <definedNames>
    <definedName name="_xlnm._FilterDatabase" localSheetId="0" hidden="1">'APROVADOS SEM FATURAMENTO'!$A$1:$W$8</definedName>
    <definedName name="_xlnm._FilterDatabase" localSheetId="1" hidden="1">FATURAMENTO!$A$1:$O$43</definedName>
    <definedName name="_xlnm._FilterDatabase" localSheetId="2" hidden="1">'ITEM ESTOQUE'!$A$1:$AK$1169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E3" i="3"/>
  <c r="C3" i="3"/>
  <c r="G3" i="3"/>
  <c r="B5" i="6"/>
  <c r="F6" i="3"/>
  <c r="E6" i="3"/>
  <c r="C6" i="3"/>
  <c r="L3" i="3"/>
  <c r="F4" i="3"/>
  <c r="E4" i="3"/>
  <c r="C4" i="3"/>
  <c r="D17" i="3"/>
  <c r="P5" i="3"/>
  <c r="O5" i="3"/>
  <c r="O3" i="3"/>
  <c r="G5" i="3"/>
  <c r="F5" i="3"/>
  <c r="E5" i="3"/>
  <c r="C5" i="3"/>
  <c r="P3" i="3"/>
  <c r="P6" i="3"/>
  <c r="G6" i="3"/>
  <c r="D16" i="3" s="1"/>
  <c r="L5" i="3"/>
  <c r="K5" i="3"/>
  <c r="K3" i="3"/>
  <c r="I3" i="3"/>
  <c r="G8" i="6"/>
  <c r="G9" i="6"/>
  <c r="G10" i="6"/>
  <c r="F13" i="6"/>
  <c r="G13" i="6" s="1"/>
  <c r="C4" i="6"/>
  <c r="I5" i="3"/>
  <c r="R5" i="3" s="1"/>
  <c r="H6" i="3"/>
  <c r="P9" i="3" l="1"/>
  <c r="P11" i="3" s="1"/>
  <c r="D12" i="3" s="1"/>
  <c r="N5" i="3"/>
  <c r="N9" i="3"/>
  <c r="O9" i="3"/>
  <c r="O11" i="3" s="1"/>
  <c r="G11" i="6"/>
  <c r="J13" i="6"/>
  <c r="H13" i="6"/>
  <c r="A13" i="6" s="1"/>
  <c r="B13" i="6"/>
  <c r="K13" i="6" l="1"/>
  <c r="C13" i="6"/>
  <c r="D11" i="3"/>
  <c r="Q3" i="3"/>
  <c r="Q5" i="3"/>
  <c r="F14" i="6" l="1"/>
  <c r="D13" i="6"/>
  <c r="J14" i="6" l="1"/>
  <c r="B14" i="6"/>
  <c r="G14" i="6"/>
  <c r="H14" i="6"/>
  <c r="A14" i="6" s="1"/>
  <c r="C14" i="6" l="1"/>
  <c r="K14" i="6"/>
  <c r="F15" i="6" l="1"/>
  <c r="D14" i="6"/>
  <c r="H15" i="6" l="1"/>
  <c r="A15" i="6" s="1"/>
  <c r="G15" i="6"/>
  <c r="J15" i="6"/>
  <c r="K15" i="6" s="1"/>
  <c r="B15" i="6"/>
  <c r="C15" i="6"/>
  <c r="F16" i="6" l="1"/>
  <c r="B16" i="6" s="1"/>
  <c r="D15" i="6"/>
  <c r="J16" i="6" l="1"/>
  <c r="H16" i="6"/>
  <c r="A16" i="6" s="1"/>
  <c r="G16" i="6"/>
  <c r="K16" i="6" l="1"/>
  <c r="C16" i="6"/>
  <c r="F17" i="6" l="1"/>
  <c r="D16" i="6"/>
  <c r="B17" i="6" l="1"/>
  <c r="H17" i="6"/>
  <c r="A17" i="6" s="1"/>
  <c r="J17" i="6"/>
  <c r="G17" i="6"/>
  <c r="C17" i="6" l="1"/>
  <c r="K17" i="6"/>
  <c r="D17" i="6" l="1"/>
  <c r="F18" i="6"/>
  <c r="J18" i="6" l="1"/>
  <c r="H18" i="6"/>
  <c r="A18" i="6" s="1"/>
  <c r="G18" i="6"/>
  <c r="B18" i="6"/>
  <c r="C18" i="6" l="1"/>
  <c r="K18" i="6"/>
  <c r="F19" i="6" l="1"/>
  <c r="D18" i="6"/>
  <c r="B19" i="6" l="1"/>
  <c r="G19" i="6"/>
  <c r="H19" i="6"/>
  <c r="A19" i="6" s="1"/>
  <c r="J19" i="6"/>
  <c r="C19" i="6" s="1"/>
  <c r="K19" i="6" l="1"/>
  <c r="D19" i="6" l="1"/>
  <c r="F20" i="6"/>
  <c r="J20" i="6" l="1"/>
  <c r="G20" i="6"/>
  <c r="H20" i="6"/>
  <c r="A20" i="6" s="1"/>
  <c r="B20" i="6"/>
  <c r="C21" i="6" l="1"/>
  <c r="C20" i="6" l="1"/>
  <c r="K20" i="6"/>
  <c r="F21" i="6" l="1"/>
  <c r="D20" i="6"/>
  <c r="J21" i="6" l="1"/>
  <c r="K21" i="6" s="1"/>
  <c r="G21" i="6"/>
  <c r="H21" i="6"/>
  <c r="A21" i="6" s="1"/>
  <c r="B21" i="6"/>
  <c r="D21" i="6" l="1"/>
  <c r="F22" i="6"/>
  <c r="G22" i="6" l="1"/>
  <c r="J22" i="6"/>
  <c r="B22" i="6"/>
  <c r="H22" i="6"/>
  <c r="A22" i="6" s="1"/>
  <c r="N6" i="3" l="1"/>
  <c r="I9" i="3"/>
  <c r="K9" i="3" s="1"/>
  <c r="I8" i="3"/>
  <c r="D18" i="3"/>
  <c r="M5" i="3"/>
  <c r="H5" i="3"/>
  <c r="N4" i="3"/>
  <c r="M3" i="3"/>
  <c r="F7" i="3"/>
  <c r="N3" i="3"/>
  <c r="H3" i="3"/>
  <c r="C22" i="6" l="1"/>
  <c r="K22" i="6"/>
  <c r="D19" i="3"/>
  <c r="E25" i="3"/>
  <c r="F25" i="3" s="1"/>
  <c r="E24" i="3"/>
  <c r="F24" i="3" s="1"/>
  <c r="F23" i="6" l="1"/>
  <c r="D22" i="6"/>
  <c r="F26" i="3"/>
  <c r="F29" i="3" s="1"/>
  <c r="J23" i="6" l="1"/>
  <c r="H23" i="6"/>
  <c r="A23" i="6" s="1"/>
  <c r="G23" i="6"/>
  <c r="B23" i="6"/>
  <c r="C23" i="6" l="1"/>
  <c r="K23" i="6"/>
  <c r="F24" i="6" l="1"/>
  <c r="D23" i="6"/>
  <c r="B24" i="6" l="1"/>
  <c r="G24" i="6"/>
  <c r="H24" i="6"/>
  <c r="A24" i="6" s="1"/>
  <c r="J24" i="6"/>
  <c r="I24" i="6" l="1"/>
  <c r="C24" i="6" l="1"/>
  <c r="K24" i="6"/>
  <c r="D24" i="6" l="1"/>
  <c r="F25" i="6"/>
  <c r="J25" i="6" l="1"/>
  <c r="H25" i="6"/>
  <c r="A25" i="6" s="1"/>
  <c r="B25" i="6"/>
  <c r="G25" i="6"/>
  <c r="I25" i="6" l="1"/>
  <c r="D9" i="3"/>
  <c r="D13" i="3" s="1"/>
  <c r="N11" i="3"/>
  <c r="C25" i="6" l="1"/>
  <c r="K25" i="6"/>
  <c r="F26" i="6" l="1"/>
  <c r="D25" i="6"/>
  <c r="H26" i="6" l="1"/>
  <c r="A26" i="6" s="1"/>
  <c r="G26" i="6"/>
  <c r="B26" i="6"/>
  <c r="J26" i="6"/>
  <c r="I26" i="6" l="1"/>
  <c r="C26" i="6" l="1"/>
  <c r="K26" i="6"/>
  <c r="F27" i="6" l="1"/>
  <c r="G27" i="6" s="1"/>
  <c r="D26" i="6"/>
  <c r="J27" i="6" l="1"/>
  <c r="I27" i="6" s="1"/>
  <c r="H27" i="6"/>
  <c r="A27" i="6" s="1"/>
  <c r="B27" i="6"/>
  <c r="K27" i="6" l="1"/>
  <c r="C27" i="6"/>
  <c r="F28" i="6" l="1"/>
  <c r="D27" i="6"/>
  <c r="G28" i="6" l="1"/>
  <c r="H28" i="6"/>
  <c r="A28" i="6" s="1"/>
  <c r="J28" i="6"/>
  <c r="B28" i="6"/>
  <c r="I28" i="6" l="1"/>
  <c r="C28" i="6" l="1"/>
  <c r="K28" i="6"/>
  <c r="F29" i="6" l="1"/>
  <c r="D28" i="6"/>
  <c r="J29" i="6" l="1"/>
  <c r="I29" i="6" s="1"/>
  <c r="H29" i="6"/>
  <c r="A29" i="6" s="1"/>
  <c r="G29" i="6"/>
  <c r="B29" i="6"/>
  <c r="C29" i="6" l="1"/>
  <c r="K29" i="6"/>
  <c r="F30" i="6" l="1"/>
  <c r="D29" i="6"/>
  <c r="G30" i="6" l="1"/>
  <c r="H30" i="6"/>
  <c r="A30" i="6" s="1"/>
  <c r="J30" i="6"/>
  <c r="B30" i="6"/>
  <c r="C30" i="6" l="1"/>
  <c r="K30" i="6"/>
  <c r="D30" i="6" l="1"/>
  <c r="F31" i="6"/>
  <c r="J31" i="6" l="1"/>
  <c r="G31" i="6"/>
  <c r="B31" i="6"/>
  <c r="H31" i="6"/>
  <c r="A31" i="6" s="1"/>
  <c r="I31" i="6" l="1"/>
  <c r="C31" i="6" l="1"/>
  <c r="K31" i="6"/>
  <c r="D31" i="6" l="1"/>
  <c r="F32" i="6"/>
  <c r="H32" i="6" l="1"/>
  <c r="A32" i="6" s="1"/>
  <c r="J32" i="6"/>
  <c r="G32" i="6"/>
  <c r="B32" i="6"/>
  <c r="I32" i="6" l="1"/>
  <c r="C32" i="6" l="1"/>
  <c r="K32" i="6"/>
  <c r="F33" i="6" l="1"/>
  <c r="D32" i="6"/>
  <c r="J33" i="6" l="1"/>
  <c r="I33" i="6" s="1"/>
  <c r="H33" i="6"/>
  <c r="A33" i="6" s="1"/>
  <c r="G33" i="6"/>
  <c r="B33" i="6"/>
  <c r="K33" i="6" l="1"/>
  <c r="C33" i="6"/>
  <c r="F34" i="6" l="1"/>
  <c r="D33" i="6"/>
  <c r="J34" i="6" l="1"/>
  <c r="H34" i="6"/>
  <c r="A34" i="6" s="1"/>
  <c r="B34" i="6"/>
  <c r="G34" i="6"/>
  <c r="I34" i="6" l="1"/>
  <c r="C34" i="6" l="1"/>
  <c r="K34" i="6"/>
  <c r="F35" i="6" l="1"/>
  <c r="D34" i="6"/>
  <c r="J35" i="6" l="1"/>
  <c r="B35" i="6"/>
  <c r="G35" i="6"/>
  <c r="H35" i="6"/>
  <c r="A35" i="6" s="1"/>
  <c r="I35" i="6" l="1"/>
  <c r="C35" i="6" l="1"/>
  <c r="K35" i="6"/>
  <c r="D35" i="6" l="1"/>
  <c r="F36" i="6"/>
  <c r="H36" i="6" l="1"/>
  <c r="A36" i="6" s="1"/>
  <c r="B36" i="6"/>
  <c r="G36" i="6"/>
  <c r="J36" i="6"/>
  <c r="I36" i="6" s="1"/>
  <c r="K36" i="6" l="1"/>
  <c r="C36" i="6"/>
  <c r="F37" i="6" l="1"/>
  <c r="D36" i="6"/>
  <c r="B37" i="6" l="1"/>
  <c r="J37" i="6"/>
  <c r="I37" i="6" s="1"/>
  <c r="C37" i="6" s="1"/>
  <c r="G37" i="6"/>
  <c r="H37" i="6"/>
  <c r="A37" i="6" s="1"/>
  <c r="K37" i="6" l="1"/>
  <c r="F38" i="6" l="1"/>
  <c r="D37" i="6"/>
  <c r="J38" i="6" l="1"/>
  <c r="B38" i="6"/>
  <c r="G38" i="6"/>
  <c r="H38" i="6"/>
  <c r="A38" i="6" s="1"/>
  <c r="I38" i="6" l="1"/>
  <c r="C38" i="6" l="1"/>
  <c r="K38" i="6"/>
  <c r="F39" i="6" l="1"/>
  <c r="D38" i="6"/>
  <c r="G39" i="6" l="1"/>
  <c r="J39" i="6"/>
  <c r="I39" i="6" s="1"/>
  <c r="B39" i="6"/>
  <c r="H39" i="6"/>
  <c r="A39" i="6" s="1"/>
  <c r="K39" i="6" l="1"/>
  <c r="C39" i="6"/>
  <c r="F40" i="6" l="1"/>
  <c r="D39" i="6"/>
  <c r="B40" i="6" l="1"/>
  <c r="G40" i="6"/>
  <c r="J40" i="6"/>
  <c r="H40" i="6"/>
  <c r="A40" i="6" s="1"/>
  <c r="I40" i="6" l="1"/>
  <c r="C40" i="6" l="1"/>
  <c r="K40" i="6"/>
  <c r="D40" i="6" l="1"/>
  <c r="F41" i="6"/>
  <c r="G41" i="6" l="1"/>
  <c r="J41" i="6"/>
  <c r="B41" i="6"/>
  <c r="H41" i="6"/>
  <c r="A41" i="6" s="1"/>
  <c r="I41" i="6" l="1"/>
  <c r="C41" i="6" l="1"/>
  <c r="K41" i="6"/>
  <c r="F42" i="6" l="1"/>
  <c r="D41" i="6"/>
  <c r="J42" i="6" l="1"/>
  <c r="G42" i="6"/>
  <c r="H42" i="6"/>
  <c r="A42" i="6" s="1"/>
  <c r="B42" i="6"/>
  <c r="I42" i="6" l="1"/>
  <c r="C42" i="6" l="1"/>
  <c r="K42" i="6"/>
  <c r="D42" i="6" l="1"/>
  <c r="F43" i="6"/>
  <c r="B43" i="6" l="1"/>
  <c r="J43" i="6"/>
  <c r="G43" i="6"/>
  <c r="H43" i="6"/>
  <c r="A43" i="6" s="1"/>
  <c r="I43" i="6" l="1"/>
  <c r="C43" i="6" l="1"/>
  <c r="K43" i="6"/>
  <c r="F44" i="6" l="1"/>
  <c r="D43" i="6"/>
  <c r="J44" i="6" l="1"/>
  <c r="G44" i="6"/>
  <c r="H44" i="6"/>
  <c r="A44" i="6" s="1"/>
  <c r="B44" i="6"/>
  <c r="I44" i="6" l="1"/>
  <c r="C45" i="6"/>
  <c r="C44" i="6" l="1"/>
  <c r="K44" i="6"/>
  <c r="F45" i="6" l="1"/>
  <c r="D44" i="6"/>
  <c r="C46" i="6"/>
  <c r="G45" i="6" l="1"/>
  <c r="B45" i="6"/>
  <c r="J45" i="6"/>
  <c r="K45" i="6" s="1"/>
  <c r="H45" i="6"/>
  <c r="A45" i="6" s="1"/>
  <c r="F46" i="6" l="1"/>
  <c r="D45" i="6"/>
  <c r="G46" i="6" l="1"/>
  <c r="J46" i="6"/>
  <c r="K46" i="6" s="1"/>
  <c r="H46" i="6"/>
  <c r="A46" i="6" s="1"/>
  <c r="B46" i="6"/>
  <c r="D46" i="6" l="1"/>
  <c r="F47" i="6"/>
  <c r="H47" i="6" l="1"/>
  <c r="A47" i="6" s="1"/>
  <c r="G47" i="6"/>
  <c r="J47" i="6"/>
  <c r="I47" i="6" s="1"/>
  <c r="B47" i="6"/>
  <c r="K47" i="6" l="1"/>
  <c r="C47" i="6"/>
  <c r="D47" i="6" l="1"/>
  <c r="F48" i="6"/>
  <c r="B48" i="6" l="1"/>
  <c r="J48" i="6"/>
  <c r="H48" i="6"/>
  <c r="A48" i="6" s="1"/>
  <c r="G48" i="6"/>
  <c r="I48" i="6" l="1"/>
  <c r="K48" i="6" l="1"/>
  <c r="C48" i="6"/>
  <c r="D48" i="6" l="1"/>
  <c r="F49" i="6"/>
  <c r="H49" i="6" l="1"/>
  <c r="A49" i="6" s="1"/>
  <c r="B49" i="6"/>
  <c r="J49" i="6"/>
  <c r="G49" i="6"/>
  <c r="I49" i="6" l="1"/>
  <c r="C49" i="6" l="1"/>
  <c r="K49" i="6"/>
  <c r="D49" i="6"/>
  <c r="F50" i="6"/>
  <c r="H50" i="6" l="1"/>
  <c r="A50" i="6" s="1"/>
  <c r="B50" i="6"/>
  <c r="G50" i="6"/>
  <c r="J50" i="6"/>
  <c r="I50" i="6" l="1"/>
  <c r="C50" i="6" l="1"/>
  <c r="K50" i="6"/>
  <c r="F51" i="6" l="1"/>
  <c r="D50" i="6"/>
  <c r="G51" i="6" l="1"/>
  <c r="B51" i="6"/>
  <c r="J51" i="6"/>
  <c r="I51" i="6" s="1"/>
  <c r="H51" i="6"/>
  <c r="A51" i="6" s="1"/>
  <c r="K51" i="6" l="1"/>
  <c r="C51" i="6"/>
  <c r="D51" i="6" l="1"/>
  <c r="F52" i="6"/>
  <c r="I52" i="6" l="1"/>
  <c r="C52" i="6" s="1"/>
  <c r="B52" i="6"/>
  <c r="G52" i="6"/>
  <c r="H52" i="6"/>
  <c r="A52" i="6" s="1"/>
  <c r="J52" i="6"/>
  <c r="K52" i="6" l="1"/>
  <c r="D52" i="6" l="1"/>
  <c r="F53" i="6"/>
  <c r="H53" i="6" l="1"/>
  <c r="A53" i="6" s="1"/>
  <c r="G53" i="6"/>
  <c r="J53" i="6"/>
  <c r="B53" i="6"/>
  <c r="I53" i="6" l="1"/>
  <c r="C53" i="6" l="1"/>
  <c r="K53" i="6"/>
  <c r="D53" i="6" l="1"/>
  <c r="F54" i="6"/>
  <c r="B54" i="6"/>
  <c r="H54" i="6"/>
  <c r="A54" i="6" s="1"/>
  <c r="J54" i="6"/>
  <c r="I54" i="6" s="1"/>
  <c r="G54" i="6"/>
  <c r="C54" i="6" l="1"/>
  <c r="K54" i="6"/>
  <c r="F55" i="6" l="1"/>
  <c r="D54" i="6"/>
  <c r="H55" i="6" l="1"/>
  <c r="A55" i="6" s="1"/>
  <c r="B55" i="6"/>
  <c r="G55" i="6"/>
  <c r="J55" i="6"/>
  <c r="I55" i="6" s="1"/>
  <c r="K55" i="6" l="1"/>
  <c r="C55" i="6"/>
  <c r="D55" i="6" l="1"/>
  <c r="F56" i="6"/>
  <c r="G56" i="6"/>
  <c r="J56" i="6"/>
  <c r="I56" i="6" s="1"/>
  <c r="B56" i="6" l="1"/>
  <c r="H56" i="6"/>
  <c r="A56" i="6" s="1"/>
  <c r="C56" i="6"/>
  <c r="K56" i="6"/>
  <c r="D56" i="6" l="1"/>
  <c r="F57" i="6"/>
  <c r="G57" i="6" l="1"/>
  <c r="H57" i="6"/>
  <c r="A57" i="6" s="1"/>
  <c r="B57" i="6"/>
  <c r="J57" i="6"/>
  <c r="I57" i="6" l="1"/>
  <c r="C57" i="6" l="1"/>
  <c r="K57" i="6"/>
  <c r="D57" i="6" l="1"/>
  <c r="F58" i="6"/>
  <c r="B58" i="6" l="1"/>
  <c r="H58" i="6"/>
  <c r="A58" i="6" s="1"/>
  <c r="J58" i="6"/>
  <c r="I58" i="6" s="1"/>
  <c r="C58" i="6" s="1"/>
  <c r="G58" i="6"/>
  <c r="K58" i="6" l="1"/>
  <c r="F59" i="6" l="1"/>
  <c r="D58" i="6"/>
  <c r="J59" i="6" l="1"/>
  <c r="I59" i="6" s="1"/>
  <c r="B59" i="6"/>
  <c r="H59" i="6"/>
  <c r="A59" i="6" s="1"/>
  <c r="G59" i="6"/>
  <c r="C59" i="6" l="1"/>
  <c r="K59" i="6"/>
  <c r="F60" i="6" l="1"/>
  <c r="D59" i="6"/>
  <c r="B60" i="6" l="1"/>
  <c r="G60" i="6"/>
  <c r="H60" i="6"/>
  <c r="A60" i="6" s="1"/>
  <c r="J60" i="6"/>
  <c r="C60" i="6" l="1"/>
  <c r="K60" i="6"/>
  <c r="F61" i="6" l="1"/>
  <c r="D60" i="6"/>
  <c r="G61" i="6" l="1"/>
  <c r="H61" i="6"/>
  <c r="A61" i="6" s="1"/>
  <c r="B61" i="6"/>
  <c r="J61" i="6"/>
  <c r="C61" i="6" l="1"/>
  <c r="K61" i="6"/>
  <c r="F62" i="6" l="1"/>
  <c r="D61" i="6"/>
  <c r="J62" i="6" l="1"/>
  <c r="B62" i="6"/>
  <c r="H62" i="6"/>
  <c r="A62" i="6" s="1"/>
  <c r="G62" i="6"/>
  <c r="I62" i="6" l="1"/>
  <c r="C62" i="6" s="1"/>
  <c r="K62" i="6"/>
  <c r="D62" i="6" l="1"/>
  <c r="F63" i="6"/>
  <c r="G63" i="6" l="1"/>
  <c r="J63" i="6"/>
  <c r="B63" i="6"/>
  <c r="H63" i="6"/>
  <c r="A63" i="6" s="1"/>
  <c r="I63" i="6" l="1"/>
  <c r="C63" i="6" s="1"/>
  <c r="K63" i="6"/>
  <c r="D63" i="6" s="1"/>
  <c r="F64" i="6"/>
  <c r="J64" i="6" l="1"/>
  <c r="I64" i="6" s="1"/>
  <c r="C64" i="6" s="1"/>
  <c r="B64" i="6"/>
  <c r="H64" i="6"/>
  <c r="A64" i="6" s="1"/>
  <c r="G64" i="6"/>
  <c r="K64" i="6" l="1"/>
  <c r="F65" i="6" l="1"/>
  <c r="D64" i="6"/>
  <c r="H65" i="6" l="1"/>
  <c r="A65" i="6" s="1"/>
  <c r="J65" i="6"/>
  <c r="I65" i="6" s="1"/>
  <c r="G65" i="6"/>
  <c r="B65" i="6"/>
  <c r="K65" i="6" l="1"/>
  <c r="F66" i="6" s="1"/>
  <c r="C65" i="6"/>
  <c r="H66" i="6" l="1"/>
  <c r="A66" i="6" s="1"/>
  <c r="G66" i="6"/>
  <c r="J66" i="6"/>
  <c r="B66" i="6"/>
  <c r="D65" i="6"/>
  <c r="I66" i="6" l="1"/>
  <c r="C66" i="6" l="1"/>
  <c r="K66" i="6"/>
  <c r="F67" i="6" l="1"/>
  <c r="D66" i="6"/>
  <c r="G67" i="6" l="1"/>
  <c r="H67" i="6"/>
  <c r="A67" i="6" s="1"/>
  <c r="I67" i="6"/>
  <c r="C67" i="6" s="1"/>
  <c r="B67" i="6"/>
  <c r="J67" i="6"/>
  <c r="K67" i="6" l="1"/>
  <c r="D67" i="6" l="1"/>
  <c r="D4" i="6"/>
</calcChain>
</file>

<file path=xl/sharedStrings.xml><?xml version="1.0" encoding="utf-8"?>
<sst xmlns="http://schemas.openxmlformats.org/spreadsheetml/2006/main" count="36239" uniqueCount="3561">
  <si>
    <t>Empresa</t>
  </si>
  <si>
    <t>Cliente</t>
  </si>
  <si>
    <t>Número Lote</t>
  </si>
  <si>
    <t>Produto P/ Faturamento</t>
  </si>
  <si>
    <t>Tipo Produto</t>
  </si>
  <si>
    <t>Produto</t>
  </si>
  <si>
    <t>Produto Comercial</t>
  </si>
  <si>
    <t>Peneira</t>
  </si>
  <si>
    <t>Campo</t>
  </si>
  <si>
    <t>Status</t>
  </si>
  <si>
    <t>Liberado Faturamento?</t>
  </si>
  <si>
    <t>Data Apontamento</t>
  </si>
  <si>
    <t>Data Produção</t>
  </si>
  <si>
    <t>Armazenado</t>
  </si>
  <si>
    <t>Data de Liberação</t>
  </si>
  <si>
    <t>Peso Impressão</t>
  </si>
  <si>
    <t>Unidade de Medida</t>
  </si>
  <si>
    <t>Quantidade Lote</t>
  </si>
  <si>
    <t>Quantidade Apontada</t>
  </si>
  <si>
    <t>Qntd. Bloqueio Estoque</t>
  </si>
  <si>
    <t>Quantidade Faturada</t>
  </si>
  <si>
    <t>Saldo Lote</t>
  </si>
  <si>
    <t>Representatividade Sacos</t>
  </si>
  <si>
    <t>VALOREM - PATOS</t>
  </si>
  <si>
    <t>CORTEVA</t>
  </si>
  <si>
    <t>PAS - Produto Acabado em Sacos</t>
  </si>
  <si>
    <t>PBT - Produto Acabado em Big Bag Tratado</t>
  </si>
  <si>
    <t>Não</t>
  </si>
  <si>
    <t>Tipo de Produto</t>
  </si>
  <si>
    <t>Data Liberação</t>
  </si>
  <si>
    <t>Data Faturamento</t>
  </si>
  <si>
    <t>Setor</t>
  </si>
  <si>
    <t>Local</t>
  </si>
  <si>
    <t>Linha</t>
  </si>
  <si>
    <t>Quantidade em Estoque</t>
  </si>
  <si>
    <t>KG</t>
  </si>
  <si>
    <t>Nome Comercial</t>
  </si>
  <si>
    <t>Número do Lote</t>
  </si>
  <si>
    <t>Safra</t>
  </si>
  <si>
    <t>Tipo de Entrada</t>
  </si>
  <si>
    <t>Tipo de Tratamento</t>
  </si>
  <si>
    <t>Responsável Movto</t>
  </si>
  <si>
    <t>Palete</t>
  </si>
  <si>
    <t>Quantidade</t>
  </si>
  <si>
    <t>Unidade Medida</t>
  </si>
  <si>
    <t>Umidade</t>
  </si>
  <si>
    <t>Peso (Kg)</t>
  </si>
  <si>
    <t>Peso Líquido (Kg)</t>
  </si>
  <si>
    <t>Localização</t>
  </si>
  <si>
    <t>Localização Física</t>
  </si>
  <si>
    <t>Em movimentação?</t>
  </si>
  <si>
    <t>Último registro qualidade</t>
  </si>
  <si>
    <t>Liberado Qualidade?</t>
  </si>
  <si>
    <t>Tipo movimentação</t>
  </si>
  <si>
    <t>Controle Pátio</t>
  </si>
  <si>
    <t>Ordem Expedição</t>
  </si>
  <si>
    <t>Célula Secagem</t>
  </si>
  <si>
    <t>Dt. Movimentação</t>
  </si>
  <si>
    <t>Dt. Fim Movimentação</t>
  </si>
  <si>
    <t>Obs</t>
  </si>
  <si>
    <t>Tipo Informativo</t>
  </si>
  <si>
    <t>Número Informativo</t>
  </si>
  <si>
    <t>Tipo Consumo</t>
  </si>
  <si>
    <t>Restrições MPB</t>
  </si>
  <si>
    <t>Código do Bag</t>
  </si>
  <si>
    <t>PREVENTIVO</t>
  </si>
  <si>
    <t>1000 - Aprovação</t>
  </si>
  <si>
    <t>Sim</t>
  </si>
  <si>
    <t>null</t>
  </si>
  <si>
    <t>Fracionamento</t>
  </si>
  <si>
    <t>FRACIONADO PARA CONSUMO</t>
  </si>
  <si>
    <t>Informativo de ensaque de classificação</t>
  </si>
  <si>
    <t>PAB - Produto acabado em Bag</t>
  </si>
  <si>
    <t>Rótulos de Linha</t>
  </si>
  <si>
    <t>Soma de Quantidade em Estoque</t>
  </si>
  <si>
    <t>CLIENTE</t>
  </si>
  <si>
    <t>QUANTID.</t>
  </si>
  <si>
    <t>PALETES</t>
  </si>
  <si>
    <t>PESO LÍQUIDO</t>
  </si>
  <si>
    <t>Total Geral</t>
  </si>
  <si>
    <t>(vazio)</t>
  </si>
  <si>
    <t>Soma de Quantidade Apontada</t>
  </si>
  <si>
    <t>(Vários itens)</t>
  </si>
  <si>
    <t>Geral</t>
  </si>
  <si>
    <t>Unidade</t>
  </si>
  <si>
    <t>Peso líquido</t>
  </si>
  <si>
    <t>Total de Paletes</t>
  </si>
  <si>
    <t>Endereçado</t>
  </si>
  <si>
    <t>Faturados</t>
  </si>
  <si>
    <t>TOTAL DE SACOS</t>
  </si>
  <si>
    <t>Corteva</t>
  </si>
  <si>
    <t>SACOS</t>
  </si>
  <si>
    <t>PDB - Produto Debulhado em Bag</t>
  </si>
  <si>
    <t>BAGS</t>
  </si>
  <si>
    <t>PAB - Produto Acabado em Bag</t>
  </si>
  <si>
    <t>Total</t>
  </si>
  <si>
    <t>Total em sacos</t>
  </si>
  <si>
    <t>DISPONIVEL CLIENTE:</t>
  </si>
  <si>
    <t>Total Ocupado</t>
  </si>
  <si>
    <t>Conversão de Clean pra PAS</t>
  </si>
  <si>
    <t>Sacos</t>
  </si>
  <si>
    <t>Projeção expedição - curva</t>
  </si>
  <si>
    <t>scs/veiculo</t>
  </si>
  <si>
    <t>saldo</t>
  </si>
  <si>
    <t>qtde. veículos</t>
  </si>
  <si>
    <t>PAS</t>
  </si>
  <si>
    <t>PBT</t>
  </si>
  <si>
    <t>CARGAS DIA</t>
  </si>
  <si>
    <t>DIAS DE EXPEDIÇÃO</t>
  </si>
  <si>
    <t>Premissas</t>
  </si>
  <si>
    <t>Valor</t>
  </si>
  <si>
    <t>Dias úteis necessários</t>
  </si>
  <si>
    <t>Data prevista de conclusão</t>
  </si>
  <si>
    <t>Data inicial</t>
  </si>
  <si>
    <t>Total de veículos estimados</t>
  </si>
  <si>
    <t>Cargas por dia útil</t>
  </si>
  <si>
    <t>Operação considerada</t>
  </si>
  <si>
    <t>Segunda a sexta</t>
  </si>
  <si>
    <t>Sábados, domingos e feriados</t>
  </si>
  <si>
    <t>Não considerados</t>
  </si>
  <si>
    <t>Cargas Estimadas</t>
  </si>
  <si>
    <t>Distribuição planejada por dia útil</t>
  </si>
  <si>
    <t>Cargas/dia</t>
  </si>
  <si>
    <t>Dias úteis previstos</t>
  </si>
  <si>
    <t>Dia útil</t>
  </si>
  <si>
    <t>Data</t>
  </si>
  <si>
    <t>Veículos planejados</t>
  </si>
  <si>
    <t>Saldo final</t>
  </si>
  <si>
    <t>Dia da semana</t>
  </si>
  <si>
    <t>Dia útil nº</t>
  </si>
  <si>
    <t>Cargas planejadas</t>
  </si>
  <si>
    <t>Saldo inicial</t>
  </si>
  <si>
    <t>Observações</t>
  </si>
  <si>
    <t>sacos</t>
  </si>
  <si>
    <t>bags</t>
  </si>
  <si>
    <t>P3845VYHR</t>
  </si>
  <si>
    <t>INV26/26</t>
  </si>
  <si>
    <t>TORRE</t>
  </si>
  <si>
    <t>Recepção do lote</t>
  </si>
  <si>
    <t>N/A</t>
  </si>
  <si>
    <t>P3889R</t>
  </si>
  <si>
    <t>7359269-85902</t>
  </si>
  <si>
    <t>C2</t>
  </si>
  <si>
    <t>GABRIELA OHANA SILVA PIMENTA</t>
  </si>
  <si>
    <t>ARMAZEM</t>
  </si>
  <si>
    <t>Camara Fria 1</t>
  </si>
  <si>
    <t>C1</t>
  </si>
  <si>
    <t>RODRIGO SILVA</t>
  </si>
  <si>
    <t>Alocação física</t>
  </si>
  <si>
    <t>(Tudo)</t>
  </si>
  <si>
    <t>EDSON JUNIOR PEREIRA LIMA</t>
  </si>
  <si>
    <t>R3</t>
  </si>
  <si>
    <t>R2</t>
  </si>
  <si>
    <t>C3</t>
  </si>
  <si>
    <t>TSI</t>
  </si>
  <si>
    <t>R3C</t>
  </si>
  <si>
    <t>Informativo de ensaque clean para PA</t>
  </si>
  <si>
    <t>STANDARD + P + D + L + L</t>
  </si>
  <si>
    <t>LEANDRO MAGALHAES MULLER ROMAGNOLI</t>
  </si>
  <si>
    <t>SC</t>
  </si>
  <si>
    <t>BAG</t>
  </si>
  <si>
    <t>CF1-03</t>
  </si>
  <si>
    <t>GUILHERME ALFENAS DE OLIVEIRA</t>
  </si>
  <si>
    <t>CF1</t>
  </si>
  <si>
    <t>Climatizado 01</t>
  </si>
  <si>
    <t>Climatizado 02</t>
  </si>
  <si>
    <t>CF2</t>
  </si>
  <si>
    <t>Em Expedição</t>
  </si>
  <si>
    <t>A Faturar Total</t>
  </si>
  <si>
    <t>Não Endereçado</t>
  </si>
  <si>
    <t>Capacidade total armazém</t>
  </si>
  <si>
    <t>Soma de Quantidade</t>
  </si>
  <si>
    <t>Camara Fria 2</t>
  </si>
  <si>
    <t>CF1-14</t>
  </si>
  <si>
    <t>SEMENTE DE MILHO HIBRIDO - P3845VYHR R2 60S -</t>
  </si>
  <si>
    <t>SEMENTE DE MILHO HIBRIDO - P3845VYHR PC2 BB -</t>
  </si>
  <si>
    <t>SEMENTE DE MILHO HIBRIDO - P3845VYHR PC2 60S -</t>
  </si>
  <si>
    <t>SEMENTE DE MILHO HIBRIDO - P3845VYHR PC1 60S -</t>
  </si>
  <si>
    <t>SEMENTE DE MILHO HIBRIDO -P3845VYHR PR3 60S -</t>
  </si>
  <si>
    <t>SEMENTE DE MILHO HIBRIDO - P3845VYHR PC1 BB -</t>
  </si>
  <si>
    <t>Silo Destino</t>
  </si>
  <si>
    <t>LOTE TOTALMENTE FATURADO</t>
  </si>
  <si>
    <t>JULIO CESAR VIEIRA SILVA</t>
  </si>
  <si>
    <t>CF1-18</t>
  </si>
  <si>
    <t>BPE</t>
  </si>
  <si>
    <t>CF1-27</t>
  </si>
  <si>
    <t>R4</t>
  </si>
  <si>
    <t>Liberado Qual.</t>
  </si>
  <si>
    <t>OK P/ Faturar</t>
  </si>
  <si>
    <t>Expectativa de inicio em 26/08</t>
  </si>
  <si>
    <t>MILHO EM GRAO DESTINADO A SEMENTE P3889R</t>
  </si>
  <si>
    <t>CF2-25</t>
  </si>
  <si>
    <t>V3I6CC0330</t>
  </si>
  <si>
    <t>0022810/26</t>
  </si>
  <si>
    <t>0022814/26</t>
  </si>
  <si>
    <t>CF2-13</t>
  </si>
  <si>
    <t>03P7609117</t>
  </si>
  <si>
    <t>SEMENTE DE MILHO HIBRIDO - P3889R R4 BB -</t>
  </si>
  <si>
    <t>03P7600741</t>
  </si>
  <si>
    <t>0022900/26</t>
  </si>
  <si>
    <t>0022902/26</t>
  </si>
  <si>
    <t>0022904/26</t>
  </si>
  <si>
    <t>0022906/26</t>
  </si>
  <si>
    <t>0022908/26</t>
  </si>
  <si>
    <t>0022910/26</t>
  </si>
  <si>
    <t>0022912/26</t>
  </si>
  <si>
    <t>0022914/26</t>
  </si>
  <si>
    <t>0022917/26</t>
  </si>
  <si>
    <t>0022919/26</t>
  </si>
  <si>
    <t>0022921/26</t>
  </si>
  <si>
    <t>0022923/26</t>
  </si>
  <si>
    <t>0022926/26</t>
  </si>
  <si>
    <t>0022928/26</t>
  </si>
  <si>
    <t>SEMENTE DE MILHO HIBRIDO - P3889R R4 60S -</t>
  </si>
  <si>
    <t>03P7609023</t>
  </si>
  <si>
    <t>0022931/26</t>
  </si>
  <si>
    <t>CF2-02</t>
  </si>
  <si>
    <t>SEMENTE DE MILHO HIBRIDO - P3889R R3C 60S -</t>
  </si>
  <si>
    <t>0022958/26</t>
  </si>
  <si>
    <t>SEMENTE DE MILHO HIBRIDO - P3889R R3 BB -</t>
  </si>
  <si>
    <t>03P7600705</t>
  </si>
  <si>
    <t>0022961/26</t>
  </si>
  <si>
    <t>0022963/26</t>
  </si>
  <si>
    <t>0022965/26</t>
  </si>
  <si>
    <t>0022967/26</t>
  </si>
  <si>
    <t>0022969/26</t>
  </si>
  <si>
    <t>0022971/26</t>
  </si>
  <si>
    <t>0022973/26</t>
  </si>
  <si>
    <t>0022975/26</t>
  </si>
  <si>
    <t>0022977/26</t>
  </si>
  <si>
    <t>0022979/26</t>
  </si>
  <si>
    <t>0022981/26</t>
  </si>
  <si>
    <t>0022983/26</t>
  </si>
  <si>
    <t>0022985/26</t>
  </si>
  <si>
    <t>0022987/26</t>
  </si>
  <si>
    <t>0022989/26</t>
  </si>
  <si>
    <t>0022991/26</t>
  </si>
  <si>
    <t>0022993/26</t>
  </si>
  <si>
    <t>SEMENTE DE MILHO HIBRIDO - P3889R R3 60S -</t>
  </si>
  <si>
    <t>03P7609046</t>
  </si>
  <si>
    <t>0022995/26</t>
  </si>
  <si>
    <t>03P7600730</t>
  </si>
  <si>
    <t>0023002/26</t>
  </si>
  <si>
    <t>0023004/26</t>
  </si>
  <si>
    <t>0023006/26</t>
  </si>
  <si>
    <t>0023008/26</t>
  </si>
  <si>
    <t>0023010/26</t>
  </si>
  <si>
    <t>0023012/26</t>
  </si>
  <si>
    <t>0023014/26</t>
  </si>
  <si>
    <t>0023016/26</t>
  </si>
  <si>
    <t>0023018/26</t>
  </si>
  <si>
    <t>0023022/26</t>
  </si>
  <si>
    <t>0023024/26</t>
  </si>
  <si>
    <t>0023026/26</t>
  </si>
  <si>
    <t>0023028/26</t>
  </si>
  <si>
    <t>CF2-10</t>
  </si>
  <si>
    <t>0023030/26</t>
  </si>
  <si>
    <t>0023032/26</t>
  </si>
  <si>
    <t>0023033/26</t>
  </si>
  <si>
    <t>0023034/26</t>
  </si>
  <si>
    <t>03P7609050</t>
  </si>
  <si>
    <t>0023035/26</t>
  </si>
  <si>
    <t>SEMENTE DE MILHO HIBRIDO - P3889R C3 BB -</t>
  </si>
  <si>
    <t>03P7600779</t>
  </si>
  <si>
    <t>0023036/26</t>
  </si>
  <si>
    <t>0023038/26</t>
  </si>
  <si>
    <t>03P7600782</t>
  </si>
  <si>
    <t>03P7609082</t>
  </si>
  <si>
    <t>03P7609089</t>
  </si>
  <si>
    <t>03P7609093</t>
  </si>
  <si>
    <t>CF2-18</t>
  </si>
  <si>
    <t>CF2-16</t>
  </si>
  <si>
    <t>0023040/26</t>
  </si>
  <si>
    <t>0023042/26</t>
  </si>
  <si>
    <t>0023044/26</t>
  </si>
  <si>
    <t>0023046/26</t>
  </si>
  <si>
    <t>0023048/26</t>
  </si>
  <si>
    <t>0023050/26</t>
  </si>
  <si>
    <t>0023052/26</t>
  </si>
  <si>
    <t>0023054/26</t>
  </si>
  <si>
    <t>0023056/26</t>
  </si>
  <si>
    <t>0023058/26</t>
  </si>
  <si>
    <t>0023060/26</t>
  </si>
  <si>
    <t>0023062/26</t>
  </si>
  <si>
    <t>0023064/26</t>
  </si>
  <si>
    <t>0023066/26</t>
  </si>
  <si>
    <t>0023068/26</t>
  </si>
  <si>
    <t>0023070/26</t>
  </si>
  <si>
    <t>0023072/26</t>
  </si>
  <si>
    <t>0023074/26</t>
  </si>
  <si>
    <t>0023076/26</t>
  </si>
  <si>
    <t>0023078/26</t>
  </si>
  <si>
    <t>0023080/26</t>
  </si>
  <si>
    <t>0023082/26</t>
  </si>
  <si>
    <t>SEMENTE DE MILHO HIBRIDO - P3889R C3 60S -</t>
  </si>
  <si>
    <t>0023084/26</t>
  </si>
  <si>
    <t>CF2-17</t>
  </si>
  <si>
    <t>0023131/26</t>
  </si>
  <si>
    <t>CF2-27</t>
  </si>
  <si>
    <t>0023133/26</t>
  </si>
  <si>
    <t>0023135/26</t>
  </si>
  <si>
    <t>0023136/26</t>
  </si>
  <si>
    <t>0023139/26</t>
  </si>
  <si>
    <t>0023142/26</t>
  </si>
  <si>
    <t>0023144/26</t>
  </si>
  <si>
    <t>0023146/26</t>
  </si>
  <si>
    <t>0023148/26</t>
  </si>
  <si>
    <t>0023151/26</t>
  </si>
  <si>
    <t>0023153/26</t>
  </si>
  <si>
    <t>0023155/26</t>
  </si>
  <si>
    <t>0023156/26</t>
  </si>
  <si>
    <t>0023159/26</t>
  </si>
  <si>
    <t>0023161/26</t>
  </si>
  <si>
    <t>0023163/26</t>
  </si>
  <si>
    <t>0023166/26</t>
  </si>
  <si>
    <t>0023168/26</t>
  </si>
  <si>
    <t>0023170/26</t>
  </si>
  <si>
    <t>0023172/26</t>
  </si>
  <si>
    <t>03P7609094</t>
  </si>
  <si>
    <t>0023217/26</t>
  </si>
  <si>
    <t>SEMENTE DE MILHO HIBRIDO - P3889R C2 BB -</t>
  </si>
  <si>
    <t>03P7600765</t>
  </si>
  <si>
    <t>0023219/26</t>
  </si>
  <si>
    <t>0023221/26</t>
  </si>
  <si>
    <t>0023223/26</t>
  </si>
  <si>
    <t>03P7600766</t>
  </si>
  <si>
    <t>03P7600767</t>
  </si>
  <si>
    <t>03P7609070</t>
  </si>
  <si>
    <t>03P7609071</t>
  </si>
  <si>
    <t>03P7609073</t>
  </si>
  <si>
    <t>0023228/26</t>
  </si>
  <si>
    <t>0023230/26</t>
  </si>
  <si>
    <t>0023232/26</t>
  </si>
  <si>
    <t>0023234/26</t>
  </si>
  <si>
    <t>0023236/26</t>
  </si>
  <si>
    <t>0023238/26</t>
  </si>
  <si>
    <t>0023240/26</t>
  </si>
  <si>
    <t>0023242/26</t>
  </si>
  <si>
    <t>SEMENTE DE MILHO HIBRIDO - P3889R C2 60S -</t>
  </si>
  <si>
    <t>0023244/26</t>
  </si>
  <si>
    <t>0023245/26</t>
  </si>
  <si>
    <t>0023247/26</t>
  </si>
  <si>
    <t>0023249/26</t>
  </si>
  <si>
    <t>0023251/26</t>
  </si>
  <si>
    <t>0023253/26</t>
  </si>
  <si>
    <t>0023255/26</t>
  </si>
  <si>
    <t>0023257/26</t>
  </si>
  <si>
    <t>0023259/26</t>
  </si>
  <si>
    <t>0023261/26</t>
  </si>
  <si>
    <t>0023263/26</t>
  </si>
  <si>
    <t>0023265/26</t>
  </si>
  <si>
    <t>0023267/26</t>
  </si>
  <si>
    <t>0023269/26</t>
  </si>
  <si>
    <t>0023271/26</t>
  </si>
  <si>
    <t>0023273/26</t>
  </si>
  <si>
    <t>0023275/26</t>
  </si>
  <si>
    <t>0023277/26</t>
  </si>
  <si>
    <t>0023278/26</t>
  </si>
  <si>
    <t>0023280/26</t>
  </si>
  <si>
    <t>0023282/26</t>
  </si>
  <si>
    <t>0023284/26</t>
  </si>
  <si>
    <t>0023286/26</t>
  </si>
  <si>
    <t>0023288/26</t>
  </si>
  <si>
    <t>0023290/26</t>
  </si>
  <si>
    <t>0023292/26</t>
  </si>
  <si>
    <t>0023294/26</t>
  </si>
  <si>
    <t>0023296/26</t>
  </si>
  <si>
    <t>0023298/26</t>
  </si>
  <si>
    <t>0023300/26</t>
  </si>
  <si>
    <t>0023302/26</t>
  </si>
  <si>
    <t>0023304/26</t>
  </si>
  <si>
    <t>03P7600768</t>
  </si>
  <si>
    <t>0023309/26</t>
  </si>
  <si>
    <t>0023311/26</t>
  </si>
  <si>
    <t>0023313/26</t>
  </si>
  <si>
    <t>0023314/26</t>
  </si>
  <si>
    <t>0023316/26</t>
  </si>
  <si>
    <t>0023318/26</t>
  </si>
  <si>
    <t>0023320/26</t>
  </si>
  <si>
    <t>0023322/26</t>
  </si>
  <si>
    <t>0023324/26</t>
  </si>
  <si>
    <t>0023326/26</t>
  </si>
  <si>
    <t>03P7609075</t>
  </si>
  <si>
    <t>0023329/26</t>
  </si>
  <si>
    <t>SEMENTE DE MILHO HIBRIDO - P3889R R2 BB -</t>
  </si>
  <si>
    <t>03P7600718</t>
  </si>
  <si>
    <t>0023333/26</t>
  </si>
  <si>
    <t>0023335/26</t>
  </si>
  <si>
    <t>CF2-23</t>
  </si>
  <si>
    <t>CF2-15</t>
  </si>
  <si>
    <t>CF2-28</t>
  </si>
  <si>
    <t>0023339/26</t>
  </si>
  <si>
    <t>0023341/26</t>
  </si>
  <si>
    <t>0023343/26</t>
  </si>
  <si>
    <t>0023345/26</t>
  </si>
  <si>
    <t>0023347/26</t>
  </si>
  <si>
    <t>0023349/26</t>
  </si>
  <si>
    <t>0023353/26</t>
  </si>
  <si>
    <t>0023355/26</t>
  </si>
  <si>
    <t>0023359/26</t>
  </si>
  <si>
    <t>0023361/26</t>
  </si>
  <si>
    <t>0023363/26</t>
  </si>
  <si>
    <t>0023365/26</t>
  </si>
  <si>
    <t>0023371/26</t>
  </si>
  <si>
    <t>SEMENTE DE MILHO HIBRIDO - P3889R R2 60S -</t>
  </si>
  <si>
    <t>03P7609035</t>
  </si>
  <si>
    <t>0023373/26</t>
  </si>
  <si>
    <t>03P7600742</t>
  </si>
  <si>
    <t>0023374/26</t>
  </si>
  <si>
    <t>CF2-19</t>
  </si>
  <si>
    <t>0023376/26</t>
  </si>
  <si>
    <t>0023378/26</t>
  </si>
  <si>
    <t>0023380/26</t>
  </si>
  <si>
    <t>0023382/26</t>
  </si>
  <si>
    <t>0023384/26</t>
  </si>
  <si>
    <t>0023386/26</t>
  </si>
  <si>
    <t>0023388/26</t>
  </si>
  <si>
    <t>0023390/26</t>
  </si>
  <si>
    <t>0023392/26</t>
  </si>
  <si>
    <t>0023394/26</t>
  </si>
  <si>
    <t>03P7600785</t>
  </si>
  <si>
    <t>0023395/26</t>
  </si>
  <si>
    <t>0023397/26</t>
  </si>
  <si>
    <t>0023399/26</t>
  </si>
  <si>
    <t>0023401/26</t>
  </si>
  <si>
    <t>0023403/26</t>
  </si>
  <si>
    <t>0023405/26</t>
  </si>
  <si>
    <t>03P7600752</t>
  </si>
  <si>
    <t>03P7609063</t>
  </si>
  <si>
    <t>03P7609095</t>
  </si>
  <si>
    <t>03P7614093</t>
  </si>
  <si>
    <t>03P7614756</t>
  </si>
  <si>
    <t>0023407/26</t>
  </si>
  <si>
    <t>0023409/26</t>
  </si>
  <si>
    <t>0023411/26</t>
  </si>
  <si>
    <t>0023413/26</t>
  </si>
  <si>
    <t>0023415/26</t>
  </si>
  <si>
    <t>0023417/26</t>
  </si>
  <si>
    <t>0023419/26</t>
  </si>
  <si>
    <t>0023421/26</t>
  </si>
  <si>
    <t>0023423/26</t>
  </si>
  <si>
    <t>0023425/26</t>
  </si>
  <si>
    <t>0023427/26</t>
  </si>
  <si>
    <t>0023429/26</t>
  </si>
  <si>
    <t>SEMENTE DE MILHO HIBRIDO - P3889R C1 BB -</t>
  </si>
  <si>
    <t>0023430/26</t>
  </si>
  <si>
    <t>0023432/26</t>
  </si>
  <si>
    <t>0023434/26</t>
  </si>
  <si>
    <t>0023436/26</t>
  </si>
  <si>
    <t>0023438/26</t>
  </si>
  <si>
    <t>SEMENTE DE MILHO HIBRIDO - P3889R C1 60S -</t>
  </si>
  <si>
    <t>0023440/26</t>
  </si>
  <si>
    <t>SEMENTE DE MILHO HIBRIDO - P3889R BPE 60S -</t>
  </si>
  <si>
    <t>0023441/26</t>
  </si>
  <si>
    <t>0023443/26</t>
  </si>
  <si>
    <t>0023445/26</t>
  </si>
  <si>
    <t>0023447/26</t>
  </si>
  <si>
    <t>0023449/26</t>
  </si>
  <si>
    <t>0023451/26</t>
  </si>
  <si>
    <t>0023453/26</t>
  </si>
  <si>
    <t>0023455/26</t>
  </si>
  <si>
    <t>0023457/26</t>
  </si>
  <si>
    <t>0023459/26</t>
  </si>
  <si>
    <t>0023461/26</t>
  </si>
  <si>
    <t>0023463/26</t>
  </si>
  <si>
    <t>0023465/26</t>
  </si>
  <si>
    <t>0023467/26</t>
  </si>
  <si>
    <t>0023469/26</t>
  </si>
  <si>
    <t>0023471/26</t>
  </si>
  <si>
    <t>0023473/26</t>
  </si>
  <si>
    <t>0023477/26</t>
  </si>
  <si>
    <t>0023481/26</t>
  </si>
  <si>
    <t>0023483/26</t>
  </si>
  <si>
    <t>03P7616361</t>
  </si>
  <si>
    <t>0023484/26</t>
  </si>
  <si>
    <t>0023486/26</t>
  </si>
  <si>
    <t>0023488/26</t>
  </si>
  <si>
    <t>0023490/26</t>
  </si>
  <si>
    <t>0023492/26</t>
  </si>
  <si>
    <t>0023494/26</t>
  </si>
  <si>
    <t>0023496/26</t>
  </si>
  <si>
    <t>0023498/26</t>
  </si>
  <si>
    <t>0023499/26</t>
  </si>
  <si>
    <t>03P7616583</t>
  </si>
  <si>
    <t>0023500/26</t>
  </si>
  <si>
    <t>0023501/26</t>
  </si>
  <si>
    <t>0023502/26</t>
  </si>
  <si>
    <t>0023503/26</t>
  </si>
  <si>
    <t>0023505/26</t>
  </si>
  <si>
    <t>03P7600731</t>
  </si>
  <si>
    <t>0023507/26</t>
  </si>
  <si>
    <t>0023509/26</t>
  </si>
  <si>
    <t>0023511/26</t>
  </si>
  <si>
    <t/>
  </si>
  <si>
    <t>0</t>
  </si>
  <si>
    <t>15/09/2026 14:58:13</t>
  </si>
  <si>
    <t>15/09/2026 14:58:10</t>
  </si>
  <si>
    <t>15/09/2026 14:57:54</t>
  </si>
  <si>
    <t>15/09/2026 14:58:25</t>
  </si>
  <si>
    <t>10/09/2026 11:15:37</t>
  </si>
  <si>
    <t>10/09/2026 11:15:36</t>
  </si>
  <si>
    <t>15/09/2026 14:57:50</t>
  </si>
  <si>
    <t>599998926249</t>
  </si>
  <si>
    <t>15/09/2026 14:57:19</t>
  </si>
  <si>
    <t>599998914534</t>
  </si>
  <si>
    <t>599998914504</t>
  </si>
  <si>
    <t>15/09/2026 14:57:59</t>
  </si>
  <si>
    <t>599998925605</t>
  </si>
  <si>
    <t>15/09/2026 14:58:03</t>
  </si>
  <si>
    <t>599999557567</t>
  </si>
  <si>
    <t>599999562730</t>
  </si>
  <si>
    <t>599999557568</t>
  </si>
  <si>
    <t>15/09/2026 14:58:06</t>
  </si>
  <si>
    <t>599998925711</t>
  </si>
  <si>
    <t>15/09/2026 14:57:39</t>
  </si>
  <si>
    <t>599999557569</t>
  </si>
  <si>
    <t>15/09/2026 14:57:43</t>
  </si>
  <si>
    <t>599998926756</t>
  </si>
  <si>
    <t>15/09/2026 14:57:46</t>
  </si>
  <si>
    <t>599999562745</t>
  </si>
  <si>
    <t>15/09/2026 14:58:21</t>
  </si>
  <si>
    <t>599999562732</t>
  </si>
  <si>
    <t>15/09/2026 14:58:17</t>
  </si>
  <si>
    <t>599999557563</t>
  </si>
  <si>
    <t>599999562719</t>
  </si>
  <si>
    <t>08/09/2026 14:47:47</t>
  </si>
  <si>
    <t>09/09/2026 08:21:46</t>
  </si>
  <si>
    <t>09/09/2026 08:29:39</t>
  </si>
  <si>
    <t>599999562752</t>
  </si>
  <si>
    <t>09/09/2026 08:32:19</t>
  </si>
  <si>
    <t>599999562726</t>
  </si>
  <si>
    <t>09/09/2026 08:33:42</t>
  </si>
  <si>
    <t>599998925704</t>
  </si>
  <si>
    <t>09/09/2026 08:34:15</t>
  </si>
  <si>
    <t>599999557578</t>
  </si>
  <si>
    <t>09/09/2026 08:33:13</t>
  </si>
  <si>
    <t>599998925710</t>
  </si>
  <si>
    <t>09/09/2026 08:34:53</t>
  </si>
  <si>
    <t>599999562737</t>
  </si>
  <si>
    <t>09/09/2026 08:35:22</t>
  </si>
  <si>
    <t>599998925708</t>
  </si>
  <si>
    <t>09/09/2026 08:36:42</t>
  </si>
  <si>
    <t>599999557570</t>
  </si>
  <si>
    <t>09/09/2026 08:36:14</t>
  </si>
  <si>
    <t>599999557566</t>
  </si>
  <si>
    <t>09/09/2026 08:37:41</t>
  </si>
  <si>
    <t>599998925706</t>
  </si>
  <si>
    <t>09/09/2026 08:37:10</t>
  </si>
  <si>
    <t>599998914404</t>
  </si>
  <si>
    <t>09/09/2026 08:38:09</t>
  </si>
  <si>
    <t>599998914518</t>
  </si>
  <si>
    <t>09/09/2026 08:29:01</t>
  </si>
  <si>
    <t>599999562746</t>
  </si>
  <si>
    <t>09/09/2026 08:35:49</t>
  </si>
  <si>
    <t>599998925715</t>
  </si>
  <si>
    <t>09/09/2026 08:30:45</t>
  </si>
  <si>
    <t>599998925705</t>
  </si>
  <si>
    <t>09/09/2026 08:32:45</t>
  </si>
  <si>
    <t>599999562725</t>
  </si>
  <si>
    <t>09/09/2026 08:30:06</t>
  </si>
  <si>
    <t>599998925198</t>
  </si>
  <si>
    <t>09/09/2026 08:24:21</t>
  </si>
  <si>
    <t>15/09/2026 14:55:36</t>
  </si>
  <si>
    <t>599999562705</t>
  </si>
  <si>
    <t>15/09/2026 14:55:21</t>
  </si>
  <si>
    <t>599999557572</t>
  </si>
  <si>
    <t>15/09/2026 14:55:45</t>
  </si>
  <si>
    <t>599998914486</t>
  </si>
  <si>
    <t>15/09/2026 14:56:50</t>
  </si>
  <si>
    <t>599999557526</t>
  </si>
  <si>
    <t>15/09/2026 14:56:43</t>
  </si>
  <si>
    <t>599999562735</t>
  </si>
  <si>
    <t>15/09/2026 14:56:54</t>
  </si>
  <si>
    <t>599999562731</t>
  </si>
  <si>
    <t>15/09/2026 14:56:46</t>
  </si>
  <si>
    <t>599999562692</t>
  </si>
  <si>
    <t>15/09/2026 14:57:01</t>
  </si>
  <si>
    <t>599998925717</t>
  </si>
  <si>
    <t>15/09/2026 14:56:58</t>
  </si>
  <si>
    <t>599999562720</t>
  </si>
  <si>
    <t>15/09/2026 14:56:00</t>
  </si>
  <si>
    <t>599998925709</t>
  </si>
  <si>
    <t>15/09/2026 14:57:07</t>
  </si>
  <si>
    <t>599998926755</t>
  </si>
  <si>
    <t>15/09/2026 14:56:15</t>
  </si>
  <si>
    <t>599998926263</t>
  </si>
  <si>
    <t>15/09/2026 14:56:40</t>
  </si>
  <si>
    <t>599998925587</t>
  </si>
  <si>
    <t>15/09/2026 14:56:25</t>
  </si>
  <si>
    <t>599998925712</t>
  </si>
  <si>
    <t>15/09/2026 14:56:36</t>
  </si>
  <si>
    <t>599998925550</t>
  </si>
  <si>
    <t>15/09/2026 14:56:32</t>
  </si>
  <si>
    <t>599998925620</t>
  </si>
  <si>
    <t>15/09/2026 14:55:48</t>
  </si>
  <si>
    <t>599999562741</t>
  </si>
  <si>
    <t>09/09/2026 10:18:02</t>
  </si>
  <si>
    <t>09/09/2026 13:29:55</t>
  </si>
  <si>
    <t>599999562743</t>
  </si>
  <si>
    <t>09/09/2026 13:31:19</t>
  </si>
  <si>
    <t>599999557520</t>
  </si>
  <si>
    <t>09/09/2026 13:30:14</t>
  </si>
  <si>
    <t>599998925626</t>
  </si>
  <si>
    <t>09/09/2026 13:31:40</t>
  </si>
  <si>
    <t>599998925590</t>
  </si>
  <si>
    <t>09/09/2026 13:27:02</t>
  </si>
  <si>
    <t>599998925613</t>
  </si>
  <si>
    <t>09/09/2026 12:09:56</t>
  </si>
  <si>
    <t>599998925619</t>
  </si>
  <si>
    <t>09/09/2026 12:09:24</t>
  </si>
  <si>
    <t>599999557540</t>
  </si>
  <si>
    <t>09/09/2026 13:33:12</t>
  </si>
  <si>
    <t>599999562733</t>
  </si>
  <si>
    <t>09/09/2026 13:32:27</t>
  </si>
  <si>
    <t>599999557549</t>
  </si>
  <si>
    <t>09/09/2026 13:32:50</t>
  </si>
  <si>
    <t>599998925618</t>
  </si>
  <si>
    <t>09/09/2026 13:32:06</t>
  </si>
  <si>
    <t>599998925612</t>
  </si>
  <si>
    <t>09/09/2026 13:27:25</t>
  </si>
  <si>
    <t>599999557548</t>
  </si>
  <si>
    <t>09/09/2026 12:12:47</t>
  </si>
  <si>
    <t>599998925622</t>
  </si>
  <si>
    <t>09/09/2026 12:12:21</t>
  </si>
  <si>
    <t>599998925551</t>
  </si>
  <si>
    <t>09/09/2026 12:11:33</t>
  </si>
  <si>
    <t>599999562729</t>
  </si>
  <si>
    <t>09/09/2026 13:29:34</t>
  </si>
  <si>
    <t>599998925614</t>
  </si>
  <si>
    <t>09/09/2026 13:25:44</t>
  </si>
  <si>
    <t>599998926283</t>
  </si>
  <si>
    <t>09/09/2026 13:28:22</t>
  </si>
  <si>
    <t>599999557560</t>
  </si>
  <si>
    <t>09/09/2026 13:29:07</t>
  </si>
  <si>
    <t>599999135184</t>
  </si>
  <si>
    <t>09/09/2026 13:28:48</t>
  </si>
  <si>
    <t>599998913839</t>
  </si>
  <si>
    <t>09/09/2026 13:26:16</t>
  </si>
  <si>
    <t>599999562620</t>
  </si>
  <si>
    <t>09/09/2026 13:27:45</t>
  </si>
  <si>
    <t>599998912100</t>
  </si>
  <si>
    <t>09/09/2026 13:30:30</t>
  </si>
  <si>
    <t>599998925221</t>
  </si>
  <si>
    <t>09/09/2026 13:30:54</t>
  </si>
  <si>
    <t>599998914503</t>
  </si>
  <si>
    <t>09/09/2026 14:05:28</t>
  </si>
  <si>
    <t>09/09/2026 16:27:13</t>
  </si>
  <si>
    <t>599999118640</t>
  </si>
  <si>
    <t>09/09/2026 16:26:51</t>
  </si>
  <si>
    <t>599998914463</t>
  </si>
  <si>
    <t>09/09/2026 15:54:55</t>
  </si>
  <si>
    <t>09/09/2026 16:45:43</t>
  </si>
  <si>
    <t>599999562621</t>
  </si>
  <si>
    <t>09/09/2026 16:26:27</t>
  </si>
  <si>
    <t>599998934214</t>
  </si>
  <si>
    <t>09/09/2026 16:25:54</t>
  </si>
  <si>
    <t>599999118639</t>
  </si>
  <si>
    <t>09/09/2026 16:25:20</t>
  </si>
  <si>
    <t>599998914543</t>
  </si>
  <si>
    <t>09/09/2026 16:24:53</t>
  </si>
  <si>
    <t>599998913142</t>
  </si>
  <si>
    <t>09/09/2026 16:24:34</t>
  </si>
  <si>
    <t>599998999961</t>
  </si>
  <si>
    <t>09/09/2026 16:32:04</t>
  </si>
  <si>
    <t>599998904636</t>
  </si>
  <si>
    <t>09/09/2026 16:27:42</t>
  </si>
  <si>
    <t>599999118763</t>
  </si>
  <si>
    <t>09/09/2026 16:28:19</t>
  </si>
  <si>
    <t>599998912115</t>
  </si>
  <si>
    <t>09/09/2026 16:32:53</t>
  </si>
  <si>
    <t>599998914517</t>
  </si>
  <si>
    <t>09/09/2026 16:31:36</t>
  </si>
  <si>
    <t>599999118848</t>
  </si>
  <si>
    <t>09/09/2026 16:46:19</t>
  </si>
  <si>
    <t>599998925207</t>
  </si>
  <si>
    <t>09/09/2026 16:33:33</t>
  </si>
  <si>
    <t>599999135197</t>
  </si>
  <si>
    <t>09/09/2026 16:23:36</t>
  </si>
  <si>
    <t>599998925206</t>
  </si>
  <si>
    <t>09/09/2026 16:33:56</t>
  </si>
  <si>
    <t>599998912110</t>
  </si>
  <si>
    <t>09/09/2026 16:32:33</t>
  </si>
  <si>
    <t>599999118847</t>
  </si>
  <si>
    <t>09/09/2026 16:55:00</t>
  </si>
  <si>
    <t>10/09/2026 08:24:37</t>
  </si>
  <si>
    <t>10/09/2026 10:40:21</t>
  </si>
  <si>
    <t>599999009601</t>
  </si>
  <si>
    <t>10/09/2026 10:39:38</t>
  </si>
  <si>
    <t>599999009606</t>
  </si>
  <si>
    <t>10/09/2026 10:38:55</t>
  </si>
  <si>
    <t>599998970771</t>
  </si>
  <si>
    <t>10/09/2026 10:25:30</t>
  </si>
  <si>
    <t>599998926270</t>
  </si>
  <si>
    <t>10/09/2026 10:26:56</t>
  </si>
  <si>
    <t>599998925799</t>
  </si>
  <si>
    <t>10/09/2026 10:26:19</t>
  </si>
  <si>
    <t>599998904634</t>
  </si>
  <si>
    <t>10/09/2026 10:27:49</t>
  </si>
  <si>
    <t>599998914537</t>
  </si>
  <si>
    <t>10/09/2026 10:28:54</t>
  </si>
  <si>
    <t>599998933303</t>
  </si>
  <si>
    <t>10/09/2026 10:28:19</t>
  </si>
  <si>
    <t>599998970731</t>
  </si>
  <si>
    <t>10/09/2026 10:29:54</t>
  </si>
  <si>
    <t>599999009564</t>
  </si>
  <si>
    <t>10/09/2026 10:30:26</t>
  </si>
  <si>
    <t>599998970675</t>
  </si>
  <si>
    <t>10/09/2026 13:39:39</t>
  </si>
  <si>
    <t>10/09/2026 12:59:26</t>
  </si>
  <si>
    <t>599999009566</t>
  </si>
  <si>
    <t>10/09/2026 12:57:03</t>
  </si>
  <si>
    <t>599998970671</t>
  </si>
  <si>
    <t>10/09/2026 12:56:20</t>
  </si>
  <si>
    <t>599998970640</t>
  </si>
  <si>
    <t>10/09/2026 12:53:40</t>
  </si>
  <si>
    <t>599998970650</t>
  </si>
  <si>
    <t>10/09/2026 12:55:48</t>
  </si>
  <si>
    <t>599999009365</t>
  </si>
  <si>
    <t>10/09/2026 12:59:57</t>
  </si>
  <si>
    <t>599998970639</t>
  </si>
  <si>
    <t>10/09/2026 13:01:07</t>
  </si>
  <si>
    <t>599998970648</t>
  </si>
  <si>
    <t>10/09/2026 12:55:16</t>
  </si>
  <si>
    <t>599998970686</t>
  </si>
  <si>
    <t>10/09/2026 13:00:35</t>
  </si>
  <si>
    <t>599998933344</t>
  </si>
  <si>
    <t>10/09/2026 13:02:18</t>
  </si>
  <si>
    <t>599998933335</t>
  </si>
  <si>
    <t>10/09/2026 13:01:43</t>
  </si>
  <si>
    <t>599999009372</t>
  </si>
  <si>
    <t>10/09/2026 12:57:36</t>
  </si>
  <si>
    <t>599999009605</t>
  </si>
  <si>
    <t>10/09/2026 12:58:51</t>
  </si>
  <si>
    <t>599998933538</t>
  </si>
  <si>
    <t>10/09/2026 12:58:10</t>
  </si>
  <si>
    <t>599998933331</t>
  </si>
  <si>
    <t>10/09/2026 14:06:40</t>
  </si>
  <si>
    <t>599999009596</t>
  </si>
  <si>
    <t>10/09/2026 14:04:09</t>
  </si>
  <si>
    <t>599998933304</t>
  </si>
  <si>
    <t>10/09/2026 13:16:00</t>
  </si>
  <si>
    <t>10/09/2026 14:07:14</t>
  </si>
  <si>
    <t>599998933346</t>
  </si>
  <si>
    <t>10/09/2026 14:05:01</t>
  </si>
  <si>
    <t>599998970667</t>
  </si>
  <si>
    <t>10/09/2026 14:10:39</t>
  </si>
  <si>
    <t>599998933326</t>
  </si>
  <si>
    <t>10/09/2026 14:11:15</t>
  </si>
  <si>
    <t>599998933347</t>
  </si>
  <si>
    <t>10/09/2026 14:10:06</t>
  </si>
  <si>
    <t>599998970743</t>
  </si>
  <si>
    <t>10/09/2026 14:09:24</t>
  </si>
  <si>
    <t>599998970747</t>
  </si>
  <si>
    <t>10/09/2026 14:05:29</t>
  </si>
  <si>
    <t>599998970646</t>
  </si>
  <si>
    <t>10/09/2026 14:03:09</t>
  </si>
  <si>
    <t>599998933342</t>
  </si>
  <si>
    <t>10/09/2026 14:03:40</t>
  </si>
  <si>
    <t>599999009562</t>
  </si>
  <si>
    <t>10/09/2026 14:06:10</t>
  </si>
  <si>
    <t>599999009595</t>
  </si>
  <si>
    <t>10/09/2026 14:02:19</t>
  </si>
  <si>
    <t>599998933305</t>
  </si>
  <si>
    <t>10/09/2026 14:07:49</t>
  </si>
  <si>
    <t>599998933332</t>
  </si>
  <si>
    <t>10/09/2026 14:08:52</t>
  </si>
  <si>
    <t>599998970748</t>
  </si>
  <si>
    <t>10/09/2026 14:08:18</t>
  </si>
  <si>
    <t>599999009585</t>
  </si>
  <si>
    <t>10/09/2026 15:57:54</t>
  </si>
  <si>
    <t>599998980103</t>
  </si>
  <si>
    <t>10/09/2026 15:55:27</t>
  </si>
  <si>
    <t>599998933545</t>
  </si>
  <si>
    <t>10/09/2026 16:03:24</t>
  </si>
  <si>
    <t>10/09/2026 15:58:33</t>
  </si>
  <si>
    <t>599998970669</t>
  </si>
  <si>
    <t>10/09/2026 15:56:15</t>
  </si>
  <si>
    <t>599999169911</t>
  </si>
  <si>
    <t>10/09/2026 15:59:03</t>
  </si>
  <si>
    <t>599999009607</t>
  </si>
  <si>
    <t>10/09/2026 16:00:06</t>
  </si>
  <si>
    <t>599999009602</t>
  </si>
  <si>
    <t>10/09/2026 15:59:31</t>
  </si>
  <si>
    <t>599999009370</t>
  </si>
  <si>
    <t>10/09/2026 16:00:41</t>
  </si>
  <si>
    <t>599999009432</t>
  </si>
  <si>
    <t>10/09/2026 16:01:24</t>
  </si>
  <si>
    <t>599998933544</t>
  </si>
  <si>
    <t>10/09/2026 16:07:14</t>
  </si>
  <si>
    <t>10/09/2026 17:36:16</t>
  </si>
  <si>
    <t>599998933333</t>
  </si>
  <si>
    <t>10/09/2026 17:35:08</t>
  </si>
  <si>
    <t>599999009567</t>
  </si>
  <si>
    <t>10/09/2026 17:38:12</t>
  </si>
  <si>
    <t>599999009431</t>
  </si>
  <si>
    <t>10/09/2026 17:39:16</t>
  </si>
  <si>
    <t>599999009603</t>
  </si>
  <si>
    <t>10/09/2026 17:34:07</t>
  </si>
  <si>
    <t>599999009425</t>
  </si>
  <si>
    <t>10/09/2026 17:37:14</t>
  </si>
  <si>
    <t>599999009604</t>
  </si>
  <si>
    <t>10/09/2026 17:37:44</t>
  </si>
  <si>
    <t>599998980105</t>
  </si>
  <si>
    <t>10/09/2026 17:34:34</t>
  </si>
  <si>
    <t>599999009597</t>
  </si>
  <si>
    <t>10/09/2026 17:33:38</t>
  </si>
  <si>
    <t>599998933535</t>
  </si>
  <si>
    <t>10/09/2026 17:32:35</t>
  </si>
  <si>
    <t>599998970684</t>
  </si>
  <si>
    <t>10/09/2026 17:38:43</t>
  </si>
  <si>
    <t>599998970784</t>
  </si>
  <si>
    <t>10/09/2026 17:33:10</t>
  </si>
  <si>
    <t>599998970670</t>
  </si>
  <si>
    <t>10/09/2026 17:35:43</t>
  </si>
  <si>
    <t>599998980086</t>
  </si>
  <si>
    <t>10/09/2026 17:36:43</t>
  </si>
  <si>
    <t>599999169910</t>
  </si>
  <si>
    <t>10/09/2026 17:39:50</t>
  </si>
  <si>
    <t>599999169901</t>
  </si>
  <si>
    <t>10/09/2026 17:02:48</t>
  </si>
  <si>
    <t>10/09/2026 18:19:17</t>
  </si>
  <si>
    <t>599999745457</t>
  </si>
  <si>
    <t>10/09/2026 18:20:46</t>
  </si>
  <si>
    <t>599999745538</t>
  </si>
  <si>
    <t>10/09/2026 18:19:48</t>
  </si>
  <si>
    <t>599999743627</t>
  </si>
  <si>
    <t>10/09/2026 18:16:33</t>
  </si>
  <si>
    <t>599999745544</t>
  </si>
  <si>
    <t>10/09/2026 18:18:51</t>
  </si>
  <si>
    <t>599999745596</t>
  </si>
  <si>
    <t>10/09/2026 18:17:33</t>
  </si>
  <si>
    <t>599999736754</t>
  </si>
  <si>
    <t>10/09/2026 18:17:58</t>
  </si>
  <si>
    <t>599999681403</t>
  </si>
  <si>
    <t>10/09/2026 18:20:17</t>
  </si>
  <si>
    <t>599999736686</t>
  </si>
  <si>
    <t>10/09/2026 18:21:13</t>
  </si>
  <si>
    <t>599999743623</t>
  </si>
  <si>
    <t>10/09/2026 18:22:13</t>
  </si>
  <si>
    <t>599999743614</t>
  </si>
  <si>
    <t>10/09/2026 18:21:41</t>
  </si>
  <si>
    <t>599999736843</t>
  </si>
  <si>
    <t>11/09/2026 09:59:18</t>
  </si>
  <si>
    <t>599998970728</t>
  </si>
  <si>
    <t>11/09/2026 10:00:24</t>
  </si>
  <si>
    <t>599998933325</t>
  </si>
  <si>
    <t>11/09/2026 09:58:54</t>
  </si>
  <si>
    <t>599998970727</t>
  </si>
  <si>
    <t>11/09/2026 10:00:09</t>
  </si>
  <si>
    <t>599998933337</t>
  </si>
  <si>
    <t>11/09/2026 09:59:43</t>
  </si>
  <si>
    <t>599998933540</t>
  </si>
  <si>
    <t>11/09/2026 09:58:32</t>
  </si>
  <si>
    <t>599999009592</t>
  </si>
  <si>
    <t>11/09/2026 09:48:58</t>
  </si>
  <si>
    <t>599998933323</t>
  </si>
  <si>
    <t>11/09/2026 09:57:43</t>
  </si>
  <si>
    <t>599998970668</t>
  </si>
  <si>
    <t>11/09/2026 09:48:23</t>
  </si>
  <si>
    <t>599999009599</t>
  </si>
  <si>
    <t>11/09/2026 09:47:50</t>
  </si>
  <si>
    <t>599998970641</t>
  </si>
  <si>
    <t>11/09/2026 09:47:11</t>
  </si>
  <si>
    <t>599998980109</t>
  </si>
  <si>
    <t>11/09/2026 09:57:21</t>
  </si>
  <si>
    <t>599998970685</t>
  </si>
  <si>
    <t>11/09/2026 09:49:38</t>
  </si>
  <si>
    <t>599999009593</t>
  </si>
  <si>
    <t>11/09/2026 09:57:01</t>
  </si>
  <si>
    <t>599998980102</t>
  </si>
  <si>
    <t>11/09/2026 09:49:19</t>
  </si>
  <si>
    <t>599998970729</t>
  </si>
  <si>
    <t>11/09/2026 09:56:12</t>
  </si>
  <si>
    <t>599998933330</t>
  </si>
  <si>
    <t>11/09/2026 09:56:42</t>
  </si>
  <si>
    <t>599999009590</t>
  </si>
  <si>
    <t>11/09/2026 10:03:27</t>
  </si>
  <si>
    <t>11/09/2026 13:35:45</t>
  </si>
  <si>
    <t>599999009799</t>
  </si>
  <si>
    <t>11/09/2026 13:38:01</t>
  </si>
  <si>
    <t>599998933327</t>
  </si>
  <si>
    <t>11/09/2026 13:36:35</t>
  </si>
  <si>
    <t>599999009598</t>
  </si>
  <si>
    <t>11/09/2026 13:38:37</t>
  </si>
  <si>
    <t>599999009756</t>
  </si>
  <si>
    <t>11/09/2026 13:37:25</t>
  </si>
  <si>
    <t>599999009361</t>
  </si>
  <si>
    <t>11/09/2026 13:43:25</t>
  </si>
  <si>
    <t>11/09/2026 14:15:54</t>
  </si>
  <si>
    <t>11/09/2026 14:21:32</t>
  </si>
  <si>
    <t>11/09/2026 14:19:06</t>
  </si>
  <si>
    <t>11/09/2026 14:20:42</t>
  </si>
  <si>
    <t>11/09/2026 14:18:22</t>
  </si>
  <si>
    <t>11/09/2026 14:15:11</t>
  </si>
  <si>
    <t>11/09/2026 14:17:41</t>
  </si>
  <si>
    <t>11/09/2026 14:16:54</t>
  </si>
  <si>
    <t>11/09/2026 14:20:01</t>
  </si>
  <si>
    <t>11/09/2026 14:32:54</t>
  </si>
  <si>
    <t>11/09/2026 15:45:05</t>
  </si>
  <si>
    <t>11/09/2026 15:39:13</t>
  </si>
  <si>
    <t>11/09/2026 15:46:38</t>
  </si>
  <si>
    <t>11/09/2026 15:40:24</t>
  </si>
  <si>
    <t>11/09/2026 15:48:23</t>
  </si>
  <si>
    <t>11/09/2026 15:49:46</t>
  </si>
  <si>
    <t>11/09/2026 15:44:52</t>
  </si>
  <si>
    <t>11/09/2026 15:44:43</t>
  </si>
  <si>
    <t>11/09/2026 15:38:07</t>
  </si>
  <si>
    <t>11/09/2026 15:36:24</t>
  </si>
  <si>
    <t>11/09/2026 16:22:49</t>
  </si>
  <si>
    <t>11/09/2026 16:25:35</t>
  </si>
  <si>
    <t>11/09/2026 16:24:36</t>
  </si>
  <si>
    <t>11/09/2026 16:27:09</t>
  </si>
  <si>
    <t>11/09/2026 16:26:20</t>
  </si>
  <si>
    <t>11/09/2026 16:30:06</t>
  </si>
  <si>
    <t>11/09/2026 16:28:13</t>
  </si>
  <si>
    <t>11/09/2026 16:30:47</t>
  </si>
  <si>
    <t>11/09/2026 16:23:47</t>
  </si>
  <si>
    <t>11/09/2026 16:35:48</t>
  </si>
  <si>
    <t>11/09/2026 16:34:49</t>
  </si>
  <si>
    <t>11/09/2026 16:34:10</t>
  </si>
  <si>
    <t>11/09/2026 16:33:29</t>
  </si>
  <si>
    <t>11/09/2026 16:32:52</t>
  </si>
  <si>
    <t>CF2-14</t>
  </si>
  <si>
    <t>15/09/2026 15:00:34</t>
  </si>
  <si>
    <t>599998926265</t>
  </si>
  <si>
    <t>15/09/2026 15:00:26</t>
  </si>
  <si>
    <t>599999562706</t>
  </si>
  <si>
    <t>15/09/2026 15:00:20</t>
  </si>
  <si>
    <t>599998914526</t>
  </si>
  <si>
    <t>GRAO DESTINADO SEMENTE - P3845VYHR -</t>
  </si>
  <si>
    <t>V1I6BC0084</t>
  </si>
  <si>
    <t>7345816-434001</t>
  </si>
  <si>
    <t>Transferência Interna</t>
  </si>
  <si>
    <t>PDB - Produto Debulhado em bag</t>
  </si>
  <si>
    <t>GRAO DESTINADO A SEMENTE -  P3845VYHR -</t>
  </si>
  <si>
    <t>Inicial</t>
  </si>
  <si>
    <t>05P7622520</t>
  </si>
  <si>
    <t>PBT-P3845VYHR-C2</t>
  </si>
  <si>
    <t>LOTE NÃO FATURADO</t>
  </si>
  <si>
    <t>Sem Registro</t>
  </si>
  <si>
    <t>21/09/2026</t>
  </si>
  <si>
    <t>SIM</t>
  </si>
  <si>
    <t>05P7622521</t>
  </si>
  <si>
    <t>05P7622522</t>
  </si>
  <si>
    <t>05P7626459</t>
  </si>
  <si>
    <t>PAS-P3845VYHR-C2</t>
  </si>
  <si>
    <t>05P7626460</t>
  </si>
  <si>
    <t>05P7626461</t>
  </si>
  <si>
    <t>0024013/26</t>
  </si>
  <si>
    <t>21/09/2026 15:50:44</t>
  </si>
  <si>
    <t>599998934892</t>
  </si>
  <si>
    <t>0024015/26</t>
  </si>
  <si>
    <t>21/09/2026 16:05:30</t>
  </si>
  <si>
    <t>599998934891</t>
  </si>
  <si>
    <t>0024017/26</t>
  </si>
  <si>
    <t>21/09/2026 16:01:41</t>
  </si>
  <si>
    <t>599998970611</t>
  </si>
  <si>
    <t>0024019/26</t>
  </si>
  <si>
    <t>21/09/2026 16:00:32</t>
  </si>
  <si>
    <t>599998934867</t>
  </si>
  <si>
    <t>0024021/26</t>
  </si>
  <si>
    <t>21/09/2026 16:06:29</t>
  </si>
  <si>
    <t>599998934865</t>
  </si>
  <si>
    <t>0024023/26</t>
  </si>
  <si>
    <t>21/09/2026 16:07:11</t>
  </si>
  <si>
    <t>599998970824</t>
  </si>
  <si>
    <t>0024025/26</t>
  </si>
  <si>
    <t>21/09/2026 15:52:28</t>
  </si>
  <si>
    <t>599999194240</t>
  </si>
  <si>
    <t>0024027/26</t>
  </si>
  <si>
    <t>21/09/2026 16:04:27</t>
  </si>
  <si>
    <t>599998934898</t>
  </si>
  <si>
    <t>0024029/26</t>
  </si>
  <si>
    <t>21/09/2026 16:02:13</t>
  </si>
  <si>
    <t>599998978795</t>
  </si>
  <si>
    <t>0024031/26</t>
  </si>
  <si>
    <t>21/09/2026 16:01:12</t>
  </si>
  <si>
    <t>599998934807</t>
  </si>
  <si>
    <t>0024033/26</t>
  </si>
  <si>
    <t>21/09/2026 16:03:20</t>
  </si>
  <si>
    <t>599998970623</t>
  </si>
  <si>
    <t>0024035/26</t>
  </si>
  <si>
    <t>21/09/2026 15:59:30</t>
  </si>
  <si>
    <t>599998934888</t>
  </si>
  <si>
    <t>0024037/26</t>
  </si>
  <si>
    <t>21/09/2026 16:02:45</t>
  </si>
  <si>
    <t>599998970635</t>
  </si>
  <si>
    <t>0024039/26</t>
  </si>
  <si>
    <t>CF1-28</t>
  </si>
  <si>
    <t>21/09/2026 15:52:33</t>
  </si>
  <si>
    <t>0024040/26</t>
  </si>
  <si>
    <t>21/09/2026 16:35:34</t>
  </si>
  <si>
    <t>599998970702</t>
  </si>
  <si>
    <t>0024042/26</t>
  </si>
  <si>
    <t>21/09/2026 16:33:57</t>
  </si>
  <si>
    <t>599998934868</t>
  </si>
  <si>
    <t>0024044/26</t>
  </si>
  <si>
    <t>21/09/2026 16:42:10</t>
  </si>
  <si>
    <t>599998970825</t>
  </si>
  <si>
    <t>0024046/26</t>
  </si>
  <si>
    <t>21/09/2026 16:40:11</t>
  </si>
  <si>
    <t>599998970829</t>
  </si>
  <si>
    <t>0024048/26</t>
  </si>
  <si>
    <t>21/09/2026 16:38:44</t>
  </si>
  <si>
    <t>599998934505</t>
  </si>
  <si>
    <t>0024050/26</t>
  </si>
  <si>
    <t>21/09/2026 16:39:46</t>
  </si>
  <si>
    <t>599998970698</t>
  </si>
  <si>
    <t>0024052/26</t>
  </si>
  <si>
    <t>21/09/2026 16:38:02</t>
  </si>
  <si>
    <t>599998933355</t>
  </si>
  <si>
    <t>0024054/26</t>
  </si>
  <si>
    <t>21/09/2026 16:30:38</t>
  </si>
  <si>
    <t>599998934461</t>
  </si>
  <si>
    <t>0024056/26</t>
  </si>
  <si>
    <t>21/09/2026 16:31:12</t>
  </si>
  <si>
    <t>599998934463</t>
  </si>
  <si>
    <t>0024058/26</t>
  </si>
  <si>
    <t>21/09/2026 16:29:01</t>
  </si>
  <si>
    <t>599998933365</t>
  </si>
  <si>
    <t>0024060/26</t>
  </si>
  <si>
    <t>21/09/2026 16:31:41</t>
  </si>
  <si>
    <t>599998933364</t>
  </si>
  <si>
    <t>0024062/26</t>
  </si>
  <si>
    <t>21/09/2026 16:29:46</t>
  </si>
  <si>
    <t>599998970700</t>
  </si>
  <si>
    <t>0024064/26</t>
  </si>
  <si>
    <t>21/09/2026 16:33:17</t>
  </si>
  <si>
    <t>599998934963</t>
  </si>
  <si>
    <t>0024066/26</t>
  </si>
  <si>
    <t>21/09/2026 16:34:43</t>
  </si>
  <si>
    <t>599998970694</t>
  </si>
  <si>
    <t>0024068/26</t>
  </si>
  <si>
    <t>21/09/2026 16:37:03</t>
  </si>
  <si>
    <t>599998934460</t>
  </si>
  <si>
    <t>0024070/26</t>
  </si>
  <si>
    <t>21/09/2026 16:37:31</t>
  </si>
  <si>
    <t>599998934465</t>
  </si>
  <si>
    <t>0024072/26</t>
  </si>
  <si>
    <t>21/09/2026 16:36:35</t>
  </si>
  <si>
    <t>599998970696</t>
  </si>
  <si>
    <t>0024073/26</t>
  </si>
  <si>
    <t>21/09/2026 16:36:11</t>
  </si>
  <si>
    <t>599998934393</t>
  </si>
  <si>
    <t>0024074/26</t>
  </si>
  <si>
    <t>21/09/2026 16:10:29</t>
  </si>
  <si>
    <t>BRUNO SILVA MAGALHAES</t>
  </si>
  <si>
    <t>0024075/26</t>
  </si>
  <si>
    <t>599998934438</t>
  </si>
  <si>
    <t>0024077/26</t>
  </si>
  <si>
    <t>599998934873</t>
  </si>
  <si>
    <t>0024079/26</t>
  </si>
  <si>
    <t>599998970855</t>
  </si>
  <si>
    <t>0024081/26</t>
  </si>
  <si>
    <t>599998934882</t>
  </si>
  <si>
    <t>0024083/26</t>
  </si>
  <si>
    <t>599998934880</t>
  </si>
  <si>
    <t>0024085/26</t>
  </si>
  <si>
    <t>599998934878</t>
  </si>
  <si>
    <t>0024087/26</t>
  </si>
  <si>
    <t>599998934869</t>
  </si>
  <si>
    <t>0024089/26</t>
  </si>
  <si>
    <t>599998934962</t>
  </si>
  <si>
    <t>0024091/26</t>
  </si>
  <si>
    <t>599998933362</t>
  </si>
  <si>
    <t>0024093/26</t>
  </si>
  <si>
    <t>599998970827</t>
  </si>
  <si>
    <t>0024095/26</t>
  </si>
  <si>
    <t>599998934925</t>
  </si>
  <si>
    <t>0024097/26</t>
  </si>
  <si>
    <t>599998970834</t>
  </si>
  <si>
    <t>0024099/26</t>
  </si>
  <si>
    <t>599998934504</t>
  </si>
  <si>
    <t>0024101/26</t>
  </si>
  <si>
    <t>599998970631</t>
  </si>
  <si>
    <t>0024103/26</t>
  </si>
  <si>
    <t>599998934396</t>
  </si>
  <si>
    <t>0024105/26</t>
  </si>
  <si>
    <t>599998934904</t>
  </si>
  <si>
    <t>0024107/26</t>
  </si>
  <si>
    <t>05P7622510</t>
  </si>
  <si>
    <t>0024108/26</t>
  </si>
  <si>
    <t>Análise Setor de Qualidade</t>
  </si>
  <si>
    <t>599998934398</t>
  </si>
  <si>
    <t>0024110/26</t>
  </si>
  <si>
    <t>599998934500</t>
  </si>
  <si>
    <t>0024112/26</t>
  </si>
  <si>
    <t>599998970828</t>
  </si>
  <si>
    <t>0024114/26</t>
  </si>
  <si>
    <t>599998970636</t>
  </si>
  <si>
    <t>0024116/26</t>
  </si>
  <si>
    <t>599998970647</t>
  </si>
  <si>
    <t>0024118/26</t>
  </si>
  <si>
    <t>599998934809</t>
  </si>
  <si>
    <t>ALTAIR BATISTA PEREIRA</t>
  </si>
  <si>
    <t>0024160/26</t>
  </si>
  <si>
    <t>599998934876</t>
  </si>
  <si>
    <t>0024162/26</t>
  </si>
  <si>
    <t>599998934810</t>
  </si>
  <si>
    <t>0024164/26</t>
  </si>
  <si>
    <t>599998935033</t>
  </si>
  <si>
    <t>0024166/26</t>
  </si>
  <si>
    <t>599998935036</t>
  </si>
  <si>
    <t>0024168/26</t>
  </si>
  <si>
    <t>599998935034</t>
  </si>
  <si>
    <t>0024170/26</t>
  </si>
  <si>
    <t>599998970676</t>
  </si>
  <si>
    <t>0024172/26</t>
  </si>
  <si>
    <t>599998934980</t>
  </si>
  <si>
    <t>0024174/26</t>
  </si>
  <si>
    <t>599998934344</t>
  </si>
  <si>
    <t>0024176/26</t>
  </si>
  <si>
    <t>599998934994</t>
  </si>
  <si>
    <t>0024178/26</t>
  </si>
  <si>
    <t>599998935001</t>
  </si>
  <si>
    <t>0024219/26</t>
  </si>
  <si>
    <t>599998970397</t>
  </si>
  <si>
    <t>0024221/26</t>
  </si>
  <si>
    <t>599998970833</t>
  </si>
  <si>
    <t>0024223/26</t>
  </si>
  <si>
    <t>599998934808</t>
  </si>
  <si>
    <t>0024225/26</t>
  </si>
  <si>
    <t>599998970837</t>
  </si>
  <si>
    <t>PBT-P3845VYHR-C1</t>
  </si>
  <si>
    <t>22/09/2026</t>
  </si>
  <si>
    <t>05P7622511</t>
  </si>
  <si>
    <t>05P7622512</t>
  </si>
  <si>
    <t>23/09/2026</t>
  </si>
  <si>
    <t>05P7626450</t>
  </si>
  <si>
    <t>PAS-P3845VYHR-C1</t>
  </si>
  <si>
    <t>05P7626451</t>
  </si>
  <si>
    <t>LOTE PARCIALMENTE FATURADO</t>
  </si>
  <si>
    <t>CF1-17</t>
  </si>
  <si>
    <t>22/09/2026 08:57:10</t>
  </si>
  <si>
    <t>22/09/2026 08:54:29</t>
  </si>
  <si>
    <t>22/09/2026 08:50:01</t>
  </si>
  <si>
    <t>22/09/2026 08:49:26</t>
  </si>
  <si>
    <t>22/09/2026 08:48:51</t>
  </si>
  <si>
    <t>22/09/2026 08:48:16</t>
  </si>
  <si>
    <t>22/09/2026 08:52:26</t>
  </si>
  <si>
    <t>22/09/2026 08:51:14</t>
  </si>
  <si>
    <t>22/09/2026 08:53:06</t>
  </si>
  <si>
    <t>22/09/2026 08:56:02</t>
  </si>
  <si>
    <t>22/09/2026 08:53:53</t>
  </si>
  <si>
    <t>22/09/2026 08:55:12</t>
  </si>
  <si>
    <t>22/09/2026 08:47:45</t>
  </si>
  <si>
    <t>22/09/2026 08:46:46</t>
  </si>
  <si>
    <t>22/09/2026 08:51:51</t>
  </si>
  <si>
    <t>22/09/2026 08:50:37</t>
  </si>
  <si>
    <t>22/09/2026 10:02:12</t>
  </si>
  <si>
    <t>22/09/2026 15:31:21</t>
  </si>
  <si>
    <t>22/09/2026 15:32:54</t>
  </si>
  <si>
    <t>22/09/2026 15:31:41</t>
  </si>
  <si>
    <t>22/09/2026 15:33:20</t>
  </si>
  <si>
    <t>22/09/2026 15:35:15</t>
  </si>
  <si>
    <t>22/09/2026 15:34:26</t>
  </si>
  <si>
    <t>22/09/2026 15:34:51</t>
  </si>
  <si>
    <t>22/09/2026 15:30:30</t>
  </si>
  <si>
    <t>22/09/2026 15:30:08</t>
  </si>
  <si>
    <t>22/09/2026 15:32:30</t>
  </si>
  <si>
    <t>22/09/2026 15:32:05</t>
  </si>
  <si>
    <t>22/09/2026 15:30:56</t>
  </si>
  <si>
    <t>22/09/2026 15:39:11</t>
  </si>
  <si>
    <t>22/09/2026 15:39:56</t>
  </si>
  <si>
    <t>22/09/2026 15:40:24</t>
  </si>
  <si>
    <t>22/09/2026 15:39:32</t>
  </si>
  <si>
    <t>22/09/2026 15:27:24</t>
  </si>
  <si>
    <t>22/09/2026 15:42:27</t>
  </si>
  <si>
    <t>22/09/2026 15:40:58</t>
  </si>
  <si>
    <t>22/09/2026 15:43:06</t>
  </si>
  <si>
    <t>22/09/2026 15:42:00</t>
  </si>
  <si>
    <t>0024227/26</t>
  </si>
  <si>
    <t>22/09/2026 15:41:21</t>
  </si>
  <si>
    <t>599998934929</t>
  </si>
  <si>
    <t>0024229/26</t>
  </si>
  <si>
    <t>22/09/2026 15:28:14</t>
  </si>
  <si>
    <t>599998934507</t>
  </si>
  <si>
    <t>0024231/26</t>
  </si>
  <si>
    <t>22/09/2026 15:27:06</t>
  </si>
  <si>
    <t>599998934335</t>
  </si>
  <si>
    <t>0024233/26</t>
  </si>
  <si>
    <t>22/09/2026 15:27:51</t>
  </si>
  <si>
    <t>599998934885</t>
  </si>
  <si>
    <t>0024235/26</t>
  </si>
  <si>
    <t>599998970625</t>
  </si>
  <si>
    <t>0024237/26</t>
  </si>
  <si>
    <t>22/09/2026 15:29:44</t>
  </si>
  <si>
    <t>599998978566</t>
  </si>
  <si>
    <t>0024239/26</t>
  </si>
  <si>
    <t>22/09/2026 15:29:19</t>
  </si>
  <si>
    <t>599999193916</t>
  </si>
  <si>
    <t>0024241/26</t>
  </si>
  <si>
    <t>22/09/2026 15:28:58</t>
  </si>
  <si>
    <t>599998934973</t>
  </si>
  <si>
    <t>0024243/26</t>
  </si>
  <si>
    <t>22/09/2026 15:37:40</t>
  </si>
  <si>
    <t>599998934362</t>
  </si>
  <si>
    <t>0024245/26</t>
  </si>
  <si>
    <t>22/09/2026 15:38:43</t>
  </si>
  <si>
    <t>599998934875</t>
  </si>
  <si>
    <t>0024247/26</t>
  </si>
  <si>
    <t>22/09/2026 15:36:47</t>
  </si>
  <si>
    <t>599998934345</t>
  </si>
  <si>
    <t>0024249/26</t>
  </si>
  <si>
    <t>22/09/2026 15:38:05</t>
  </si>
  <si>
    <t>599998934360</t>
  </si>
  <si>
    <t>0024251/26</t>
  </si>
  <si>
    <t>22/09/2026 15:36:20</t>
  </si>
  <si>
    <t>599998934927</t>
  </si>
  <si>
    <t>0024253/26</t>
  </si>
  <si>
    <t>22/09/2026 15:37:11</t>
  </si>
  <si>
    <t>599998978475</t>
  </si>
  <si>
    <t>0024255/26</t>
  </si>
  <si>
    <t>22/09/2026 15:28:37</t>
  </si>
  <si>
    <t>599998934996</t>
  </si>
  <si>
    <t>0024257/26</t>
  </si>
  <si>
    <t>22/09/2026 15:54:03</t>
  </si>
  <si>
    <t>0024258/26</t>
  </si>
  <si>
    <t>CF1-19</t>
  </si>
  <si>
    <t>22/09/2026 18:12:31</t>
  </si>
  <si>
    <t>599998970697</t>
  </si>
  <si>
    <t>0024260/26</t>
  </si>
  <si>
    <t>22/09/2026 18:07:26</t>
  </si>
  <si>
    <t>599998934919</t>
  </si>
  <si>
    <t>0024262/26</t>
  </si>
  <si>
    <t>22/09/2026 17:48:34</t>
  </si>
  <si>
    <t>599998970810</t>
  </si>
  <si>
    <t>0024264/26</t>
  </si>
  <si>
    <t>22/09/2026 17:54:43</t>
  </si>
  <si>
    <t>599998970831</t>
  </si>
  <si>
    <t>0024266/26</t>
  </si>
  <si>
    <t>22/09/2026 17:49:28</t>
  </si>
  <si>
    <t>599998970823</t>
  </si>
  <si>
    <t>0024268/26</t>
  </si>
  <si>
    <t>22/09/2026 18:03:55</t>
  </si>
  <si>
    <t>599998970634</t>
  </si>
  <si>
    <t>0024270/26</t>
  </si>
  <si>
    <t>22/09/2026 17:49:49</t>
  </si>
  <si>
    <t>599998933534</t>
  </si>
  <si>
    <t>0024272/26</t>
  </si>
  <si>
    <t>22/09/2026 17:53:18</t>
  </si>
  <si>
    <t>599998934836</t>
  </si>
  <si>
    <t>0024274/26</t>
  </si>
  <si>
    <t>22/09/2026 17:52:36</t>
  </si>
  <si>
    <t>599998970830</t>
  </si>
  <si>
    <t>0024276/26</t>
  </si>
  <si>
    <t>22/09/2026 18:05:58</t>
  </si>
  <si>
    <t>599998934905</t>
  </si>
  <si>
    <t>0024278/26</t>
  </si>
  <si>
    <t>22/09/2026 18:06:27</t>
  </si>
  <si>
    <t>599998933516</t>
  </si>
  <si>
    <t>0024280/26</t>
  </si>
  <si>
    <t>22/09/2026 18:06:57</t>
  </si>
  <si>
    <t>599998933314</t>
  </si>
  <si>
    <t>0024282/26</t>
  </si>
  <si>
    <t>22/09/2026 17:48:58</t>
  </si>
  <si>
    <t>599998934395</t>
  </si>
  <si>
    <t>0024284/26</t>
  </si>
  <si>
    <t>22/09/2026 18:04:30</t>
  </si>
  <si>
    <t>599999194273</t>
  </si>
  <si>
    <t>0024286/26</t>
  </si>
  <si>
    <t>22/09/2026 17:54:09</t>
  </si>
  <si>
    <t>599998970780</t>
  </si>
  <si>
    <t>0024288/26</t>
  </si>
  <si>
    <t>22/09/2026 17:53:45</t>
  </si>
  <si>
    <t>599998934411</t>
  </si>
  <si>
    <t>0024290/26</t>
  </si>
  <si>
    <t>22/09/2026 17:46:01</t>
  </si>
  <si>
    <t>599998934829</t>
  </si>
  <si>
    <t>0024292/26</t>
  </si>
  <si>
    <t>22/09/2026 17:46:25</t>
  </si>
  <si>
    <t>599999193920</t>
  </si>
  <si>
    <t>0024294/26</t>
  </si>
  <si>
    <t>22/09/2026 17:46:46</t>
  </si>
  <si>
    <t>599998934413</t>
  </si>
  <si>
    <t>6389-PTM-COR-09/2026</t>
  </si>
  <si>
    <t>0024298/26</t>
  </si>
  <si>
    <t>22/09/2026 17:50:15</t>
  </si>
  <si>
    <t>599998934414</t>
  </si>
  <si>
    <t>0024300/26</t>
  </si>
  <si>
    <t>22/09/2026 17:47:50</t>
  </si>
  <si>
    <t>599999194309</t>
  </si>
  <si>
    <t>0024302/26</t>
  </si>
  <si>
    <t>22/09/2026 17:52:58</t>
  </si>
  <si>
    <t>599998934410</t>
  </si>
  <si>
    <t>0024306/26</t>
  </si>
  <si>
    <t>22/09/2026 17:48:12</t>
  </si>
  <si>
    <t>599998934407</t>
  </si>
  <si>
    <t>0024308/26</t>
  </si>
  <si>
    <t>22/09/2026 17:52:07</t>
  </si>
  <si>
    <t>599998934405</t>
  </si>
  <si>
    <t>0024312/26</t>
  </si>
  <si>
    <t>22/09/2026 18:07:54</t>
  </si>
  <si>
    <t>599998934874</t>
  </si>
  <si>
    <t>0024314/26</t>
  </si>
  <si>
    <t>22/09/2026 18:08:22</t>
  </si>
  <si>
    <t>599998934993</t>
  </si>
  <si>
    <t>0024318/26</t>
  </si>
  <si>
    <t>22/09/2026 18:08:48</t>
  </si>
  <si>
    <t>599998934805</t>
  </si>
  <si>
    <t>0024320/26</t>
  </si>
  <si>
    <t>22/09/2026 18:09:18</t>
  </si>
  <si>
    <t>599998934972</t>
  </si>
  <si>
    <t>0024324/26</t>
  </si>
  <si>
    <t>22/09/2026 18:09:55</t>
  </si>
  <si>
    <t>599998934334</t>
  </si>
  <si>
    <t>0024326/26</t>
  </si>
  <si>
    <t>22/09/2026 18:10:30</t>
  </si>
  <si>
    <t>599998970649</t>
  </si>
  <si>
    <t>0024328/26</t>
  </si>
  <si>
    <t>22/09/2026 18:12:59</t>
  </si>
  <si>
    <t>599998934806</t>
  </si>
  <si>
    <t>0024332/26</t>
  </si>
  <si>
    <t>22/09/2026 18:11:02</t>
  </si>
  <si>
    <t>599998934394</t>
  </si>
  <si>
    <t>0024336/26</t>
  </si>
  <si>
    <t>22/09/2026 18:15:29</t>
  </si>
  <si>
    <t>0024338/26</t>
  </si>
  <si>
    <t>599998934338</t>
  </si>
  <si>
    <t>0024340/26</t>
  </si>
  <si>
    <t>599998934960</t>
  </si>
  <si>
    <t>0024344/26</t>
  </si>
  <si>
    <t>599998970624</t>
  </si>
  <si>
    <t>0024348/26</t>
  </si>
  <si>
    <t>599998934811</t>
  </si>
  <si>
    <t>0024350/26</t>
  </si>
  <si>
    <t>599998934342</t>
  </si>
  <si>
    <t>0024352/26</t>
  </si>
  <si>
    <t>599998934341</t>
  </si>
  <si>
    <t>0024354/26</t>
  </si>
  <si>
    <t>599998970783</t>
  </si>
  <si>
    <t>0024356/26</t>
  </si>
  <si>
    <t>599998934800</t>
  </si>
  <si>
    <t>0024358/26</t>
  </si>
  <si>
    <t>599998933315</t>
  </si>
  <si>
    <t>0024360/26</t>
  </si>
  <si>
    <t>599998934825</t>
  </si>
  <si>
    <t>0024362/26</t>
  </si>
  <si>
    <t>599998933329</t>
  </si>
  <si>
    <t>0024364/26</t>
  </si>
  <si>
    <t>599998933339</t>
  </si>
  <si>
    <t>0024366/26</t>
  </si>
  <si>
    <t>599998970680</t>
  </si>
  <si>
    <t>0024368/26</t>
  </si>
  <si>
    <t>599998934403</t>
  </si>
  <si>
    <t>0024370/26</t>
  </si>
  <si>
    <t>599998980107</t>
  </si>
  <si>
    <t>0024372/26</t>
  </si>
  <si>
    <t>599998934822</t>
  </si>
  <si>
    <t>0024374/26</t>
  </si>
  <si>
    <t>599998980001</t>
  </si>
  <si>
    <t>0024376/26</t>
  </si>
  <si>
    <t>599998933514</t>
  </si>
  <si>
    <t>0024378/26</t>
  </si>
  <si>
    <t>599998970657</t>
  </si>
  <si>
    <t>0024380/26</t>
  </si>
  <si>
    <t>599998934437</t>
  </si>
  <si>
    <t>0024382/26</t>
  </si>
  <si>
    <t>599998970836</t>
  </si>
  <si>
    <t>0024384/26</t>
  </si>
  <si>
    <t>599998934838</t>
  </si>
  <si>
    <t>0024386/26</t>
  </si>
  <si>
    <t>599998934340</t>
  </si>
  <si>
    <t>0024388/26</t>
  </si>
  <si>
    <t>599998970835</t>
  </si>
  <si>
    <t>0024390/26</t>
  </si>
  <si>
    <t>599998970396</t>
  </si>
  <si>
    <t>0024392/26</t>
  </si>
  <si>
    <t>599998934951</t>
  </si>
  <si>
    <t>0024394/26</t>
  </si>
  <si>
    <t>599998934812</t>
  </si>
  <si>
    <t>0024396/26</t>
  </si>
  <si>
    <t>599998935032</t>
  </si>
  <si>
    <t>0024398/26</t>
  </si>
  <si>
    <t>599998970853</t>
  </si>
  <si>
    <t>0024400/26</t>
  </si>
  <si>
    <t>599998970701</t>
  </si>
  <si>
    <t>0024402/26</t>
  </si>
  <si>
    <t>599998934445</t>
  </si>
  <si>
    <t>SEMENTE DE MILHO HIBRIDO - P3845VYHR R2 BB -</t>
  </si>
  <si>
    <t>05P7622450</t>
  </si>
  <si>
    <t>0024404/26</t>
  </si>
  <si>
    <t>599998934922</t>
  </si>
  <si>
    <t>0024446/26</t>
  </si>
  <si>
    <t>599998934924</t>
  </si>
  <si>
    <t>0024448/26</t>
  </si>
  <si>
    <t>599998934926</t>
  </si>
  <si>
    <t>0024450/26</t>
  </si>
  <si>
    <t>599998934887</t>
  </si>
  <si>
    <t>0024452/26</t>
  </si>
  <si>
    <t>599998934978</t>
  </si>
  <si>
    <t>05P7626455</t>
  </si>
  <si>
    <t>0024454/26</t>
  </si>
  <si>
    <t>0024455/26</t>
  </si>
  <si>
    <t>599998934957</t>
  </si>
  <si>
    <t>0024457/26</t>
  </si>
  <si>
    <t>599998934979</t>
  </si>
  <si>
    <t>0024459/26</t>
  </si>
  <si>
    <t>599998934337</t>
  </si>
  <si>
    <t>PBT-P3845VYHR-R2</t>
  </si>
  <si>
    <t>05P7626424</t>
  </si>
  <si>
    <t>PAS-P3845VYHR-R2</t>
  </si>
  <si>
    <t>0024461/26</t>
  </si>
  <si>
    <t>599998934346</t>
  </si>
  <si>
    <t>0024463/26</t>
  </si>
  <si>
    <t>599998934464</t>
  </si>
  <si>
    <t>0024465/26</t>
  </si>
  <si>
    <t>599998934864</t>
  </si>
  <si>
    <t>0024467/26</t>
  </si>
  <si>
    <t>599998934866</t>
  </si>
  <si>
    <t>0024469/26</t>
  </si>
  <si>
    <t>05P7622449</t>
  </si>
  <si>
    <t>0024470/26</t>
  </si>
  <si>
    <t>599998980098</t>
  </si>
  <si>
    <t>0024472/26</t>
  </si>
  <si>
    <t>599998970721</t>
  </si>
  <si>
    <t>0024474/26</t>
  </si>
  <si>
    <t>599998933520</t>
  </si>
  <si>
    <t>0024476/26</t>
  </si>
  <si>
    <t>599998970681</t>
  </si>
  <si>
    <t>0024478/26</t>
  </si>
  <si>
    <t>599998970720</t>
  </si>
  <si>
    <t>0024480/26</t>
  </si>
  <si>
    <t>599998934955</t>
  </si>
  <si>
    <t>0024482/26</t>
  </si>
  <si>
    <t>599998934902</t>
  </si>
  <si>
    <t>0024484/26</t>
  </si>
  <si>
    <t>599998970826</t>
  </si>
  <si>
    <t>0024486/26</t>
  </si>
  <si>
    <t>599998934436</t>
  </si>
  <si>
    <t>0024488/26</t>
  </si>
  <si>
    <t>599998934975</t>
  </si>
  <si>
    <t>0024490/26</t>
  </si>
  <si>
    <t>599998934339</t>
  </si>
  <si>
    <t>0024492/26</t>
  </si>
  <si>
    <t>599998934435</t>
  </si>
  <si>
    <t>0024494/26</t>
  </si>
  <si>
    <t>599998934343</t>
  </si>
  <si>
    <t>0024496/26</t>
  </si>
  <si>
    <t>599998934974</t>
  </si>
  <si>
    <t>05P7622468</t>
  </si>
  <si>
    <t>PBT-P3845VYHR-R3</t>
  </si>
  <si>
    <t>24/09/2026</t>
  </si>
  <si>
    <t>05P7622513</t>
  </si>
  <si>
    <t>05P7622525</t>
  </si>
  <si>
    <t>05P7626423</t>
  </si>
  <si>
    <t>05P7626429</t>
  </si>
  <si>
    <t>PAS-P3845VYHR-R3</t>
  </si>
  <si>
    <t>05P7626452</t>
  </si>
  <si>
    <t>05P7626462</t>
  </si>
  <si>
    <t>JOSE WILSON FERNANDES</t>
  </si>
  <si>
    <t>CF1-20</t>
  </si>
  <si>
    <t>23/09/2026 11:58:56</t>
  </si>
  <si>
    <t>23/09/2026 11:57:33</t>
  </si>
  <si>
    <t>23/09/2026 11:58:36</t>
  </si>
  <si>
    <t>23/09/2026 11:57:10</t>
  </si>
  <si>
    <t>23/09/2026 12:03:20</t>
  </si>
  <si>
    <t>23/09/2026 12:05:31</t>
  </si>
  <si>
    <t>23/09/2026 12:03:53</t>
  </si>
  <si>
    <t>23/09/2026 12:04:19</t>
  </si>
  <si>
    <t>23/09/2026 12:06:24</t>
  </si>
  <si>
    <t>23/09/2026 12:06:02</t>
  </si>
  <si>
    <t>23/09/2026 11:54:31</t>
  </si>
  <si>
    <t>23/09/2026 12:04:59</t>
  </si>
  <si>
    <t>23/09/2026 12:02:53</t>
  </si>
  <si>
    <t>23/09/2026 11:56:48</t>
  </si>
  <si>
    <t>23/09/2026 12:07:04</t>
  </si>
  <si>
    <t>23/09/2026 11:57:54</t>
  </si>
  <si>
    <t>23/09/2026 12:07:26</t>
  </si>
  <si>
    <t>23/09/2026 13:29:36</t>
  </si>
  <si>
    <t>23/09/2026 11:53:25</t>
  </si>
  <si>
    <t>23/09/2026 11:53:46</t>
  </si>
  <si>
    <t>23/09/2026 11:54:54</t>
  </si>
  <si>
    <t>23/09/2026 11:54:09</t>
  </si>
  <si>
    <t>23/09/2026 11:55:42</t>
  </si>
  <si>
    <t>23/09/2026 12:00:50</t>
  </si>
  <si>
    <t>23/09/2026 11:56:23</t>
  </si>
  <si>
    <t>23/09/2026 11:56:03</t>
  </si>
  <si>
    <t>23/09/2026 12:00:20</t>
  </si>
  <si>
    <t>23/09/2026 12:01:24</t>
  </si>
  <si>
    <t>23/09/2026 11:59:38</t>
  </si>
  <si>
    <t>23/09/2026 11:55:15</t>
  </si>
  <si>
    <t>23/09/2026 11:59:20</t>
  </si>
  <si>
    <t>23/09/2026 14:21:19</t>
  </si>
  <si>
    <t>23/09/2026 14:23:01</t>
  </si>
  <si>
    <t>23/09/2026 14:22:43</t>
  </si>
  <si>
    <t>23/09/2026 14:21:36</t>
  </si>
  <si>
    <t>23/09/2026 14:20:57</t>
  </si>
  <si>
    <t>23/09/2026 14:00:06</t>
  </si>
  <si>
    <t>23/09/2026 14:22:21</t>
  </si>
  <si>
    <t>23/09/2026 14:20:21</t>
  </si>
  <si>
    <t>23/09/2026 14:21:57</t>
  </si>
  <si>
    <t>23/09/2026 14:23:46</t>
  </si>
  <si>
    <t>23/09/2026 14:24:12</t>
  </si>
  <si>
    <t>23/09/2026 14:20:03</t>
  </si>
  <si>
    <t>23/09/2026 14:23:30</t>
  </si>
  <si>
    <t>23/09/2026 13:54:49</t>
  </si>
  <si>
    <t>23/09/2026 16:17:37</t>
  </si>
  <si>
    <t>23/09/2026 16:11:54</t>
  </si>
  <si>
    <t>23/09/2026 16:12:50</t>
  </si>
  <si>
    <t>23/09/2026 16:11:20</t>
  </si>
  <si>
    <t>23/09/2026 16:10:39</t>
  </si>
  <si>
    <t>23/09/2026 16:13:24</t>
  </si>
  <si>
    <t>23/09/2026 16:14:02</t>
  </si>
  <si>
    <t>23/09/2026 16:09:49</t>
  </si>
  <si>
    <t>23/09/2026 16:14:54</t>
  </si>
  <si>
    <t>23/09/2026 16:15:32</t>
  </si>
  <si>
    <t>23/09/2026 16:09:15</t>
  </si>
  <si>
    <t>23/09/2026 16:18:15</t>
  </si>
  <si>
    <t>23/09/2026 16:08:45</t>
  </si>
  <si>
    <t>23/09/2026 16:16:59</t>
  </si>
  <si>
    <t>0024498/26</t>
  </si>
  <si>
    <t>23/09/2026 16:08:10</t>
  </si>
  <si>
    <t>599998934802</t>
  </si>
  <si>
    <t>0024500/26</t>
  </si>
  <si>
    <t>23/09/2026 16:23:33</t>
  </si>
  <si>
    <t>0024502/26</t>
  </si>
  <si>
    <t>CF1-22</t>
  </si>
  <si>
    <t>23/09/2026 18:00:40</t>
  </si>
  <si>
    <t>599998934397</t>
  </si>
  <si>
    <t>0024504/26</t>
  </si>
  <si>
    <t>23/09/2026 17:52:31</t>
  </si>
  <si>
    <t>599998934830</t>
  </si>
  <si>
    <t>0024506/26</t>
  </si>
  <si>
    <t>23/09/2026 17:53:43</t>
  </si>
  <si>
    <t>599998970644</t>
  </si>
  <si>
    <t>0024508/26</t>
  </si>
  <si>
    <t>23/09/2026 17:51:26</t>
  </si>
  <si>
    <t>599998933519</t>
  </si>
  <si>
    <t>0024510/26</t>
  </si>
  <si>
    <t>23/09/2026 17:50:36</t>
  </si>
  <si>
    <t>599999009360</t>
  </si>
  <si>
    <t>0024512/26</t>
  </si>
  <si>
    <t>23/09/2026 17:57:46</t>
  </si>
  <si>
    <t>599998933512</t>
  </si>
  <si>
    <t>0024514/26</t>
  </si>
  <si>
    <t>23/09/2026 17:58:28</t>
  </si>
  <si>
    <t>599998933543</t>
  </si>
  <si>
    <t>0024516/26</t>
  </si>
  <si>
    <t>23/09/2026 17:59:13</t>
  </si>
  <si>
    <t>599998933302</t>
  </si>
  <si>
    <t>0024518/26</t>
  </si>
  <si>
    <t>23/09/2026 17:50:05</t>
  </si>
  <si>
    <t>599998933515</t>
  </si>
  <si>
    <t>0024520/26</t>
  </si>
  <si>
    <t>23/09/2026 17:49:28</t>
  </si>
  <si>
    <t>599999009571</t>
  </si>
  <si>
    <t>0024522/26</t>
  </si>
  <si>
    <t>23/09/2026 17:59:49</t>
  </si>
  <si>
    <t>599998934823</t>
  </si>
  <si>
    <t>0024524/26</t>
  </si>
  <si>
    <t>23/09/2026 18:00:16</t>
  </si>
  <si>
    <t>599998970619</t>
  </si>
  <si>
    <t>0024526/26</t>
  </si>
  <si>
    <t>23/09/2026 18:01:04</t>
  </si>
  <si>
    <t>599998980085</t>
  </si>
  <si>
    <t>0024528/26</t>
  </si>
  <si>
    <t>23/09/2026 17:53:11</t>
  </si>
  <si>
    <t>599998970742</t>
  </si>
  <si>
    <t>0024530/26</t>
  </si>
  <si>
    <t>23/09/2026 17:54:47</t>
  </si>
  <si>
    <t>599998934801</t>
  </si>
  <si>
    <t>0024532/26</t>
  </si>
  <si>
    <t>23/09/2026 17:54:16</t>
  </si>
  <si>
    <t>599998933485</t>
  </si>
  <si>
    <t>0024534/26</t>
  </si>
  <si>
    <t>23/09/2026 17:52:00</t>
  </si>
  <si>
    <t>599998970725</t>
  </si>
  <si>
    <t>0024536/26</t>
  </si>
  <si>
    <t>23/09/2026 16:40:50</t>
  </si>
  <si>
    <t>0024537/26</t>
  </si>
  <si>
    <t>599999009652</t>
  </si>
  <si>
    <t>0024539/26</t>
  </si>
  <si>
    <t>599998933518</t>
  </si>
  <si>
    <t>0024541/26</t>
  </si>
  <si>
    <t>599998980097</t>
  </si>
  <si>
    <t>0024543/26</t>
  </si>
  <si>
    <t>599998934401</t>
  </si>
  <si>
    <t>0024545/26</t>
  </si>
  <si>
    <t>599998970730</t>
  </si>
  <si>
    <t>0024547/26</t>
  </si>
  <si>
    <t>599998933510</t>
  </si>
  <si>
    <t>0024549/26</t>
  </si>
  <si>
    <t>599998934402</t>
  </si>
  <si>
    <t>0024551/26</t>
  </si>
  <si>
    <t>599999169738</t>
  </si>
  <si>
    <t>0024553/26</t>
  </si>
  <si>
    <t>599998970678</t>
  </si>
  <si>
    <t>0024555/26</t>
  </si>
  <si>
    <t>599998933484</t>
  </si>
  <si>
    <t>0024597/26</t>
  </si>
  <si>
    <t>599998933539</t>
  </si>
  <si>
    <t>0024599/26</t>
  </si>
  <si>
    <t>599998934828</t>
  </si>
  <si>
    <t>0024601/26</t>
  </si>
  <si>
    <t>599998933536</t>
  </si>
  <si>
    <t>0024603/26</t>
  </si>
  <si>
    <t>599999193432</t>
  </si>
  <si>
    <t>0024605/26</t>
  </si>
  <si>
    <t>599998970673</t>
  </si>
  <si>
    <t>0024607/26</t>
  </si>
  <si>
    <t>599998934399</t>
  </si>
  <si>
    <t>0024609/26</t>
  </si>
  <si>
    <t>599999009573</t>
  </si>
  <si>
    <t>0024611/26</t>
  </si>
  <si>
    <t>599998934406</t>
  </si>
  <si>
    <t>0024613/26</t>
  </si>
  <si>
    <t>599998934416</t>
  </si>
  <si>
    <t>0024615/26</t>
  </si>
  <si>
    <t>599998970660</t>
  </si>
  <si>
    <t>0024617/26</t>
  </si>
  <si>
    <t>599998970732</t>
  </si>
  <si>
    <t>0024619/26</t>
  </si>
  <si>
    <t>599999194586</t>
  </si>
  <si>
    <t>0024621/26</t>
  </si>
  <si>
    <t>599998970672</t>
  </si>
  <si>
    <t>0024623/26</t>
  </si>
  <si>
    <t>23/09/2026 18:04:20</t>
  </si>
  <si>
    <t>SEMENTE DE MILHO HIBRIDO - P3845VYHR R3 BB -</t>
  </si>
  <si>
    <t>0024624/26</t>
  </si>
  <si>
    <t>23/09/2026 18:23:41</t>
  </si>
  <si>
    <t>599998970652</t>
  </si>
  <si>
    <t>0024625/26</t>
  </si>
  <si>
    <t>23/09/2026 18:41:29</t>
  </si>
  <si>
    <t>599998933517</t>
  </si>
  <si>
    <t>0024626/26</t>
  </si>
  <si>
    <t>23/09/2026 18:29:04</t>
  </si>
  <si>
    <t>599998970779</t>
  </si>
  <si>
    <t>0024627/26</t>
  </si>
  <si>
    <t>23/09/2026 18:29:40</t>
  </si>
  <si>
    <t>599998970682</t>
  </si>
  <si>
    <t>0024629/26</t>
  </si>
  <si>
    <t>23/09/2026 18:30:28</t>
  </si>
  <si>
    <t>599998970757</t>
  </si>
  <si>
    <t>0024631/26</t>
  </si>
  <si>
    <t>23/09/2026 18:28:11</t>
  </si>
  <si>
    <t>599998970718</t>
  </si>
  <si>
    <t>0024633/26</t>
  </si>
  <si>
    <t>23/09/2026 18:26:56</t>
  </si>
  <si>
    <t>599998970722</t>
  </si>
  <si>
    <t>0024635/26</t>
  </si>
  <si>
    <t>23/09/2026 18:27:31</t>
  </si>
  <si>
    <t>599998970658</t>
  </si>
  <si>
    <t>0024637/26</t>
  </si>
  <si>
    <t>23/09/2026 18:25:20</t>
  </si>
  <si>
    <t>599998933513</t>
  </si>
  <si>
    <t>0024639/26</t>
  </si>
  <si>
    <t>23/09/2026 18:26:18</t>
  </si>
  <si>
    <t>599998934824</t>
  </si>
  <si>
    <t>0024641/26</t>
  </si>
  <si>
    <t>23/09/2026 18:24:14</t>
  </si>
  <si>
    <t>599999009948</t>
  </si>
  <si>
    <t>0024642/26</t>
  </si>
  <si>
    <t>23/09/2026 18:23:04</t>
  </si>
  <si>
    <t>599998933541</t>
  </si>
  <si>
    <t>0024643/26</t>
  </si>
  <si>
    <t>23/09/2026 18:22:16</t>
  </si>
  <si>
    <t>599998970655</t>
  </si>
  <si>
    <t>0024644/26</t>
  </si>
  <si>
    <t>23/09/2026 18:06:45</t>
  </si>
  <si>
    <t>05P7622451</t>
  </si>
  <si>
    <t>05P7622528</t>
  </si>
  <si>
    <t>05P7626426</t>
  </si>
  <si>
    <t>05P7626464</t>
  </si>
  <si>
    <t>CF1-21</t>
  </si>
  <si>
    <t>24/09/2026 10:25:31</t>
  </si>
  <si>
    <t>24/09/2026 10:25:59</t>
  </si>
  <si>
    <t>24/09/2026 10:29:29</t>
  </si>
  <si>
    <t>24/09/2026 10:31:04</t>
  </si>
  <si>
    <t>24/09/2026 10:31:43</t>
  </si>
  <si>
    <t>24/09/2026 10:33:11</t>
  </si>
  <si>
    <t>24/09/2026 10:23:30</t>
  </si>
  <si>
    <t>24/09/2026 10:24:32</t>
  </si>
  <si>
    <t>24/09/2026 10:24:02</t>
  </si>
  <si>
    <t>24/09/2026 10:22:31</t>
  </si>
  <si>
    <t>24/09/2026 10:21:33</t>
  </si>
  <si>
    <t>24/09/2026 10:20:56</t>
  </si>
  <si>
    <t>24/09/2026 10:27:42</t>
  </si>
  <si>
    <t>24/09/2026 10:25:01</t>
  </si>
  <si>
    <t>24/09/2026 10:27:12</t>
  </si>
  <si>
    <t>24/09/2026 10:32:14</t>
  </si>
  <si>
    <t>24/09/2026 10:28:11</t>
  </si>
  <si>
    <t>24/09/2026 10:30:27</t>
  </si>
  <si>
    <t>24/09/2026 10:22:59</t>
  </si>
  <si>
    <t>24/09/2026 10:22:02</t>
  </si>
  <si>
    <t>24/09/2026 10:20:23</t>
  </si>
  <si>
    <t>24/09/2026 10:19:06</t>
  </si>
  <si>
    <t>24/09/2026 10:16:43</t>
  </si>
  <si>
    <t>0024754/26</t>
  </si>
  <si>
    <t>CF1-23</t>
  </si>
  <si>
    <t>24/09/2026 16:15:57</t>
  </si>
  <si>
    <t>0024756/26</t>
  </si>
  <si>
    <t>24/09/2026 16:14:52</t>
  </si>
  <si>
    <t>0024760/26</t>
  </si>
  <si>
    <t>24/09/2026 16:15:22</t>
  </si>
  <si>
    <t>0024764/26</t>
  </si>
  <si>
    <t>24/09/2026 17:17:11</t>
  </si>
  <si>
    <t>0024770/26</t>
  </si>
  <si>
    <t>24/09/2026 17:24:55</t>
  </si>
  <si>
    <t>0024774/26</t>
  </si>
  <si>
    <t>24/09/2026 17:23:08</t>
  </si>
  <si>
    <t>0024776/26</t>
  </si>
  <si>
    <t>24/09/2026 17:25:25</t>
  </si>
  <si>
    <t>0024780/26</t>
  </si>
  <si>
    <t>24/09/2026 17:26:16</t>
  </si>
  <si>
    <t>0024782/26</t>
  </si>
  <si>
    <t>24/09/2026 16:09:13</t>
  </si>
  <si>
    <t>0024784/26</t>
  </si>
  <si>
    <t>24/09/2026 16:08:42</t>
  </si>
  <si>
    <t>0024788/26</t>
  </si>
  <si>
    <t>24/09/2026 16:10:28</t>
  </si>
  <si>
    <t>0024792/26</t>
  </si>
  <si>
    <t>24/09/2026 17:16:34</t>
  </si>
  <si>
    <t>0024796/26</t>
  </si>
  <si>
    <t>24/09/2026 18:31:00</t>
  </si>
  <si>
    <t>0024798/26</t>
  </si>
  <si>
    <t>24/09/2026 18:34:00</t>
  </si>
  <si>
    <t>0024802/26</t>
  </si>
  <si>
    <t>24/09/2026 18:32:07</t>
  </si>
  <si>
    <t>0024806/26</t>
  </si>
  <si>
    <t>24/09/2026 18:28:44</t>
  </si>
  <si>
    <t>0024819/26</t>
  </si>
  <si>
    <t>0024821/26</t>
  </si>
  <si>
    <t>0024825/26</t>
  </si>
  <si>
    <t>0024829/26</t>
  </si>
  <si>
    <t>0024831/26</t>
  </si>
  <si>
    <t>0024837/26</t>
  </si>
  <si>
    <t>0024880/26</t>
  </si>
  <si>
    <t>0024882/26</t>
  </si>
  <si>
    <t>0024884/26</t>
  </si>
  <si>
    <t>0024888/26</t>
  </si>
  <si>
    <t>0024894/26</t>
  </si>
  <si>
    <t>SEMENTE DE MILHO HIBRIDO - P3845VYHR R2C BB -</t>
  </si>
  <si>
    <t>05P7622557</t>
  </si>
  <si>
    <t>R2C</t>
  </si>
  <si>
    <t>0024900/26</t>
  </si>
  <si>
    <t>0024902/26</t>
  </si>
  <si>
    <t>0024906/26</t>
  </si>
  <si>
    <t>0024908/26</t>
  </si>
  <si>
    <t>0024910/26</t>
  </si>
  <si>
    <t>0024914/26</t>
  </si>
  <si>
    <t>0024916/26</t>
  </si>
  <si>
    <t>0024926/26</t>
  </si>
  <si>
    <t>0024928/26</t>
  </si>
  <si>
    <t>0024932/26</t>
  </si>
  <si>
    <t>SEMENTE DE MILHO HIBRIDO - P3845VYHR R2C 60S -</t>
  </si>
  <si>
    <t>05P7626478</t>
  </si>
  <si>
    <t>0024934/26</t>
  </si>
  <si>
    <t>Cronograma de Cargas Pendentes (Expectativa de 175k sacos)</t>
  </si>
  <si>
    <t>Key</t>
  </si>
  <si>
    <t>TTL</t>
  </si>
  <si>
    <t>Model</t>
  </si>
  <si>
    <t>System Role</t>
  </si>
  <si>
    <t>Temperature</t>
  </si>
  <si>
    <t>Max tokens</t>
  </si>
  <si>
    <t>Response</t>
  </si>
  <si>
    <t>PBT-P3845VYHR-R2C</t>
  </si>
  <si>
    <t>PAS-P3845VYHR-R2C</t>
  </si>
  <si>
    <t>25/09/2026</t>
  </si>
  <si>
    <t>28/09/2026</t>
  </si>
  <si>
    <t>599999009429</t>
  </si>
  <si>
    <t>599998970651</t>
  </si>
  <si>
    <t>599999009740</t>
  </si>
  <si>
    <t>599998933345</t>
  </si>
  <si>
    <t>599999009764</t>
  </si>
  <si>
    <t>599999169890</t>
  </si>
  <si>
    <t>599999010064</t>
  </si>
  <si>
    <t>599999009430</t>
  </si>
  <si>
    <t>599999010012</t>
  </si>
  <si>
    <t>599998933343</t>
  </si>
  <si>
    <t>599998980100</t>
  </si>
  <si>
    <t>599999009369</t>
  </si>
  <si>
    <t>599998933313</t>
  </si>
  <si>
    <t>599998970769</t>
  </si>
  <si>
    <t>599998934910</t>
  </si>
  <si>
    <t>25/09/2026 13:44:11</t>
  </si>
  <si>
    <t>599999169893</t>
  </si>
  <si>
    <t>25/09/2026 13:43:29</t>
  </si>
  <si>
    <t>599998970838</t>
  </si>
  <si>
    <t>25/09/2026 13:44:55</t>
  </si>
  <si>
    <t>599998933300</t>
  </si>
  <si>
    <t>25/09/2026 13:45:31</t>
  </si>
  <si>
    <t>599998934845</t>
  </si>
  <si>
    <t>25/09/2026 13:49:04</t>
  </si>
  <si>
    <t>599999169891</t>
  </si>
  <si>
    <t>25/09/2026 13:22:28</t>
  </si>
  <si>
    <t>599999169889</t>
  </si>
  <si>
    <t>25/09/2026 13:49:46</t>
  </si>
  <si>
    <t>599998933354</t>
  </si>
  <si>
    <t>25/09/2026 13:50:26</t>
  </si>
  <si>
    <t>599999009366</t>
  </si>
  <si>
    <t>25/09/2026 13:47:39</t>
  </si>
  <si>
    <t>599999169886</t>
  </si>
  <si>
    <t>25/09/2026 13:48:16</t>
  </si>
  <si>
    <t>599998970610</t>
  </si>
  <si>
    <t>25/09/2026 11:25:51</t>
  </si>
  <si>
    <t>25/09/2026 14:17:09</t>
  </si>
  <si>
    <t>599998934336</t>
  </si>
  <si>
    <t>25/09/2026 14:18:44</t>
  </si>
  <si>
    <t>599998934839</t>
  </si>
  <si>
    <t>25/09/2026 14:17:49</t>
  </si>
  <si>
    <t>599998934881</t>
  </si>
  <si>
    <t>25/09/2026 14:27:08</t>
  </si>
  <si>
    <t>599998934843</t>
  </si>
  <si>
    <t>25/09/2026 14:26:33</t>
  </si>
  <si>
    <t>599998970856</t>
  </si>
  <si>
    <t>25/09/2026 14:26:50</t>
  </si>
  <si>
    <t>599998935037</t>
  </si>
  <si>
    <t>25/09/2026 14:26:13</t>
  </si>
  <si>
    <t>599998933359</t>
  </si>
  <si>
    <t>25/09/2026 14:22:57</t>
  </si>
  <si>
    <t>599998934872</t>
  </si>
  <si>
    <t>25/09/2026 14:14:46</t>
  </si>
  <si>
    <t>599998933352</t>
  </si>
  <si>
    <t>25/09/2026 14:15:26</t>
  </si>
  <si>
    <t>599998933353</t>
  </si>
  <si>
    <t>25/09/2026 11:30:34</t>
  </si>
  <si>
    <t>Armazem convencional</t>
  </si>
  <si>
    <t>QB12-PM</t>
  </si>
  <si>
    <t>05P7626458</t>
  </si>
  <si>
    <t>0025114/26</t>
  </si>
  <si>
    <t>25/09/2026 16:47:44</t>
  </si>
  <si>
    <t>V3I6CC0371</t>
  </si>
  <si>
    <t>C2C</t>
  </si>
  <si>
    <t>0025115/26</t>
  </si>
  <si>
    <t>27/09/2026 14:31:30</t>
  </si>
  <si>
    <t>0025117/26</t>
  </si>
  <si>
    <t>27/09/2026 14:32:00</t>
  </si>
  <si>
    <t>05P7622515</t>
  </si>
  <si>
    <t>0025119/26</t>
  </si>
  <si>
    <t>25/09/2026 18:42:20</t>
  </si>
  <si>
    <t>599998933356</t>
  </si>
  <si>
    <t>0025121/26</t>
  </si>
  <si>
    <t>25/09/2026 18:40:58</t>
  </si>
  <si>
    <t>599998978402</t>
  </si>
  <si>
    <t>0025123/26</t>
  </si>
  <si>
    <t>27/09/2026 14:32:24</t>
  </si>
  <si>
    <t>0025125/26</t>
  </si>
  <si>
    <t>25/09/2026 18:40:21</t>
  </si>
  <si>
    <t>599998978401</t>
  </si>
  <si>
    <t>0025127/26</t>
  </si>
  <si>
    <t>25/09/2026 18:39:38</t>
  </si>
  <si>
    <t>599998933367</t>
  </si>
  <si>
    <t>0025129/26</t>
  </si>
  <si>
    <t>25/09/2026 18:39:03</t>
  </si>
  <si>
    <t>599998978588</t>
  </si>
  <si>
    <t>0025131/26</t>
  </si>
  <si>
    <t>27/09/2026 14:33:03</t>
  </si>
  <si>
    <t>0025133/26</t>
  </si>
  <si>
    <t>25/09/2026 18:46:12</t>
  </si>
  <si>
    <t>599998978812</t>
  </si>
  <si>
    <t>0025157/26</t>
  </si>
  <si>
    <t>25/09/2026 18:38:06</t>
  </si>
  <si>
    <t>599998978839</t>
  </si>
  <si>
    <t>0025159/26</t>
  </si>
  <si>
    <t>27/09/2026 14:35:08</t>
  </si>
  <si>
    <t>0025161/26</t>
  </si>
  <si>
    <t>27/09/2026 19:09:45</t>
  </si>
  <si>
    <t>0025162/26</t>
  </si>
  <si>
    <t>27/09/2026 19:10:52</t>
  </si>
  <si>
    <t>0025163/26</t>
  </si>
  <si>
    <t>27/09/2026 19:09:20</t>
  </si>
  <si>
    <t>0025164/26</t>
  </si>
  <si>
    <t>28/09/2026 08:20:23</t>
  </si>
  <si>
    <t>0025166/26</t>
  </si>
  <si>
    <t>27/09/2026 19:08:04</t>
  </si>
  <si>
    <t>0025167/26</t>
  </si>
  <si>
    <t>27/09/2026 19:10:37</t>
  </si>
  <si>
    <t>0025168/26</t>
  </si>
  <si>
    <t>27/09/2026 19:09:55</t>
  </si>
  <si>
    <t>0025169/26</t>
  </si>
  <si>
    <t>27/09/2026 19:10:04</t>
  </si>
  <si>
    <t>0025170/26</t>
  </si>
  <si>
    <t>27/09/2026 19:09:28</t>
  </si>
  <si>
    <t>0025171/26</t>
  </si>
  <si>
    <t>27/09/2026 19:13:21</t>
  </si>
  <si>
    <t>0025172/26</t>
  </si>
  <si>
    <t>27/09/2026 19:08:28</t>
  </si>
  <si>
    <t>0025173/26</t>
  </si>
  <si>
    <t>27/09/2026 19:10:13</t>
  </si>
  <si>
    <t>0025174/26</t>
  </si>
  <si>
    <t>28/09/2026 08:17:53</t>
  </si>
  <si>
    <t>0025176/26</t>
  </si>
  <si>
    <t>27/09/2026 19:12:38</t>
  </si>
  <si>
    <t>0025177/26</t>
  </si>
  <si>
    <t>27/09/2026 19:12:53</t>
  </si>
  <si>
    <t>0025178/26</t>
  </si>
  <si>
    <t>27/09/2026 19:09:37</t>
  </si>
  <si>
    <t>0025180/26</t>
  </si>
  <si>
    <t>27/09/2026 19:10:44</t>
  </si>
  <si>
    <t>0025181/26</t>
  </si>
  <si>
    <t>27/09/2026 19:12:16</t>
  </si>
  <si>
    <t>0025182/26</t>
  </si>
  <si>
    <t>27/09/2026 19:13:13</t>
  </si>
  <si>
    <t>0025183/26</t>
  </si>
  <si>
    <t>25/09/2026 18:46:41</t>
  </si>
  <si>
    <t>599998978835</t>
  </si>
  <si>
    <t>0025185/26</t>
  </si>
  <si>
    <t>25/09/2026 18:45:02</t>
  </si>
  <si>
    <t>599999169618</t>
  </si>
  <si>
    <t>0025187/26</t>
  </si>
  <si>
    <t>27/09/2026 14:35:26</t>
  </si>
  <si>
    <t>0025189/26</t>
  </si>
  <si>
    <t>25/09/2026 18:41:42</t>
  </si>
  <si>
    <t>599998978723</t>
  </si>
  <si>
    <t>V1I6BC0043</t>
  </si>
  <si>
    <t>7334891-434002</t>
  </si>
  <si>
    <t>0025196/26</t>
  </si>
  <si>
    <t>27/09/2026 19:08:41</t>
  </si>
  <si>
    <t>0025197/26</t>
  </si>
  <si>
    <t>28/09/2026 08:20:55</t>
  </si>
  <si>
    <t>0025198/26</t>
  </si>
  <si>
    <t>0025199/26</t>
  </si>
  <si>
    <t>27/09/2026 19:10:29</t>
  </si>
  <si>
    <t>0025200/26</t>
  </si>
  <si>
    <t>27/09/2026 19:10:21</t>
  </si>
  <si>
    <t>0025201/26</t>
  </si>
  <si>
    <t>28/09/2026 08:19:02</t>
  </si>
  <si>
    <t>0025202/26</t>
  </si>
  <si>
    <t>28/09/2026 08:18:54</t>
  </si>
  <si>
    <t>0025203/26</t>
  </si>
  <si>
    <t>28/09/2026 08:19:28</t>
  </si>
  <si>
    <t>0025204/26</t>
  </si>
  <si>
    <t>27/09/2026 19:16:12</t>
  </si>
  <si>
    <t>0025205/26</t>
  </si>
  <si>
    <t>28/09/2026 08:18:17</t>
  </si>
  <si>
    <t>0025206/26</t>
  </si>
  <si>
    <t>28/09/2026 08:19:59</t>
  </si>
  <si>
    <t>0025207/26</t>
  </si>
  <si>
    <t>28/09/2026 08:21:12</t>
  </si>
  <si>
    <t>0025208/26</t>
  </si>
  <si>
    <t>28/09/2026 08:20:49</t>
  </si>
  <si>
    <t>0025209/26</t>
  </si>
  <si>
    <t>28/09/2026 08:18:40</t>
  </si>
  <si>
    <t>0025210/26</t>
  </si>
  <si>
    <t>28/09/2026 08:21:32</t>
  </si>
  <si>
    <t>0025211/26</t>
  </si>
  <si>
    <t>27/09/2026 19:09:12</t>
  </si>
  <si>
    <t>0025212/26</t>
  </si>
  <si>
    <t>28/09/2026 08:19:23</t>
  </si>
  <si>
    <t>0025213/26</t>
  </si>
  <si>
    <t>28/09/2026 08:20:11</t>
  </si>
  <si>
    <t>0025214/26</t>
  </si>
  <si>
    <t>27/09/2026 19:09:03</t>
  </si>
  <si>
    <t>0025215/26</t>
  </si>
  <si>
    <t>28/09/2026 08:19:52</t>
  </si>
  <si>
    <t>0025216/26</t>
  </si>
  <si>
    <t>0025217/26</t>
  </si>
  <si>
    <t>28/09/2026 08:20:05</t>
  </si>
  <si>
    <t>0025218/26</t>
  </si>
  <si>
    <t>28/09/2026 08:18:47</t>
  </si>
  <si>
    <t>0025219/26</t>
  </si>
  <si>
    <t>28/09/2026 08:20:34</t>
  </si>
  <si>
    <t>0025220/26</t>
  </si>
  <si>
    <t>28/09/2026 08:20:29</t>
  </si>
  <si>
    <t>0025221/26</t>
  </si>
  <si>
    <t>28/09/2026 08:19:39</t>
  </si>
  <si>
    <t>0025222/26</t>
  </si>
  <si>
    <t>28/09/2026 08:18:08</t>
  </si>
  <si>
    <t>0025223/26</t>
  </si>
  <si>
    <t>28/09/2026 08:17:46</t>
  </si>
  <si>
    <t>0025224/26</t>
  </si>
  <si>
    <t>28/09/2026 08:18:00</t>
  </si>
  <si>
    <t>0025225/26</t>
  </si>
  <si>
    <t>28/09/2026 08:19:34</t>
  </si>
  <si>
    <t>0025226/26</t>
  </si>
  <si>
    <t>28/09/2026 08:19:11</t>
  </si>
  <si>
    <t>0025227/26</t>
  </si>
  <si>
    <t>28/09/2026 08:18:25</t>
  </si>
  <si>
    <t>0025228/26</t>
  </si>
  <si>
    <t>28/09/2026 08:20:43</t>
  </si>
  <si>
    <t>0025229/26</t>
  </si>
  <si>
    <t>28/09/2026 08:19:16</t>
  </si>
  <si>
    <t>0025230/26</t>
  </si>
  <si>
    <t>25/09/2026 18:45:37</t>
  </si>
  <si>
    <t>599998978587</t>
  </si>
  <si>
    <t>0025232/26</t>
  </si>
  <si>
    <t>25/09/2026 18:43:30</t>
  </si>
  <si>
    <t>599998978586</t>
  </si>
  <si>
    <t>0025234/26</t>
  </si>
  <si>
    <t>27/09/2026 14:35:48</t>
  </si>
  <si>
    <t>0025236/26</t>
  </si>
  <si>
    <t>25/09/2026 18:42:57</t>
  </si>
  <si>
    <t>599998978591</t>
  </si>
  <si>
    <t>0025238/26</t>
  </si>
  <si>
    <t>26/09/2026 17:39:44</t>
  </si>
  <si>
    <t>0025239/26</t>
  </si>
  <si>
    <t>26/09/2026 17:39:36</t>
  </si>
  <si>
    <t>0025240/26</t>
  </si>
  <si>
    <t>26/09/2026 17:38:10</t>
  </si>
  <si>
    <t>0025241/26</t>
  </si>
  <si>
    <t>26/09/2026 17:39:17</t>
  </si>
  <si>
    <t>0025242/26</t>
  </si>
  <si>
    <t>26/09/2026 17:38:22</t>
  </si>
  <si>
    <t>0025245/26</t>
  </si>
  <si>
    <t>26/09/2026 18:15:27</t>
  </si>
  <si>
    <t>0025246/26</t>
  </si>
  <si>
    <t>26/09/2026 18:15:36</t>
  </si>
  <si>
    <t>0025247/26</t>
  </si>
  <si>
    <t>26/09/2026 18:16:11</t>
  </si>
  <si>
    <t>0025248/26</t>
  </si>
  <si>
    <t>26/09/2026 18:15:18</t>
  </si>
  <si>
    <t>0025249/26</t>
  </si>
  <si>
    <t>26/09/2026 17:38:51</t>
  </si>
  <si>
    <t>0025250/26</t>
  </si>
  <si>
    <t>26/09/2026 17:39:26</t>
  </si>
  <si>
    <t>0025251/26</t>
  </si>
  <si>
    <t>26/09/2026 17:39:00</t>
  </si>
  <si>
    <t>0025252/26</t>
  </si>
  <si>
    <t>26/09/2026 17:39:08</t>
  </si>
  <si>
    <t>0025253/26</t>
  </si>
  <si>
    <t>26/09/2026 17:38:34</t>
  </si>
  <si>
    <t>0025254/26</t>
  </si>
  <si>
    <t>26/09/2026 17:40:01</t>
  </si>
  <si>
    <t>0025255/26</t>
  </si>
  <si>
    <t>26/09/2026 17:40:10</t>
  </si>
  <si>
    <t>0025256/26</t>
  </si>
  <si>
    <t>26/09/2026 17:39:53</t>
  </si>
  <si>
    <t>0025257/26</t>
  </si>
  <si>
    <t>26/09/2026 17:40:18</t>
  </si>
  <si>
    <t>0025259/26</t>
  </si>
  <si>
    <t>26/09/2026 18:45:59</t>
  </si>
  <si>
    <t>0025260/26</t>
  </si>
  <si>
    <t>26/09/2026 18:46:08</t>
  </si>
  <si>
    <t>0025261/26</t>
  </si>
  <si>
    <t>26/09/2026 18:16:20</t>
  </si>
  <si>
    <t>0025262/26</t>
  </si>
  <si>
    <t>26/09/2026 18:45:39</t>
  </si>
  <si>
    <t>0025263/26</t>
  </si>
  <si>
    <t>26/09/2026 18:16:29</t>
  </si>
  <si>
    <t>0025264/26</t>
  </si>
  <si>
    <t>26/09/2026 18:46:17</t>
  </si>
  <si>
    <t>0025265/26</t>
  </si>
  <si>
    <t>26/09/2026 18:16:46</t>
  </si>
  <si>
    <t>0025266/26</t>
  </si>
  <si>
    <t>26/09/2026 18:45:49</t>
  </si>
  <si>
    <t>0025267/26</t>
  </si>
  <si>
    <t>26/09/2026 18:16:56</t>
  </si>
  <si>
    <t>0025278/26</t>
  </si>
  <si>
    <t>25/09/2026 18:43:58</t>
  </si>
  <si>
    <t>599998978722</t>
  </si>
  <si>
    <t>0025280/26</t>
  </si>
  <si>
    <t>27/09/2026 14:36:03</t>
  </si>
  <si>
    <t>0025282/26</t>
  </si>
  <si>
    <t>25/09/2026 18:47:19</t>
  </si>
  <si>
    <t>599998978725</t>
  </si>
  <si>
    <t>05P7643440</t>
  </si>
  <si>
    <t>0025284/26</t>
  </si>
  <si>
    <t>27/09/2026 09:26:23</t>
  </si>
  <si>
    <t>QB08-PM</t>
  </si>
  <si>
    <t>QB06-PM</t>
  </si>
  <si>
    <t>V3I6CC0374</t>
  </si>
  <si>
    <t>V3I6CC0376</t>
  </si>
  <si>
    <t>0025431/26</t>
  </si>
  <si>
    <t>27/09/2026 16:34:54</t>
  </si>
  <si>
    <t>0025433/26</t>
  </si>
  <si>
    <t>27/09/2026 16:34:43</t>
  </si>
  <si>
    <t>0025435/26</t>
  </si>
  <si>
    <t>27/09/2026 16:33:49</t>
  </si>
  <si>
    <t>0025437/26</t>
  </si>
  <si>
    <t>27/09/2026 16:34:04</t>
  </si>
  <si>
    <t>0025439/26</t>
  </si>
  <si>
    <t>27/09/2026 16:34:16</t>
  </si>
  <si>
    <t>0025441/26</t>
  </si>
  <si>
    <t>27/09/2026 16:34:27</t>
  </si>
  <si>
    <t>0025443/26</t>
  </si>
  <si>
    <t>27/09/2026 16:33:36</t>
  </si>
  <si>
    <t>0025445/26</t>
  </si>
  <si>
    <t>27/09/2026 16:33:21</t>
  </si>
  <si>
    <t>0025447/26</t>
  </si>
  <si>
    <t>27/09/2026 16:33:09</t>
  </si>
  <si>
    <t>0025449/26</t>
  </si>
  <si>
    <t>27/09/2026 16:32:55</t>
  </si>
  <si>
    <t>V3I6CC0378</t>
  </si>
  <si>
    <t>R1</t>
  </si>
  <si>
    <t>0025507/26</t>
  </si>
  <si>
    <t>0025509/26</t>
  </si>
  <si>
    <t>0025511/26</t>
  </si>
  <si>
    <t>0025513/26</t>
  </si>
  <si>
    <t>0025515/26</t>
  </si>
  <si>
    <t>0025517/26</t>
  </si>
  <si>
    <t>0025519/26</t>
  </si>
  <si>
    <t>0025521/26</t>
  </si>
  <si>
    <t>0025523/26</t>
  </si>
  <si>
    <t>0025525/26</t>
  </si>
  <si>
    <t>0025527/26</t>
  </si>
  <si>
    <t>0025529/26</t>
  </si>
  <si>
    <t>0025531/26</t>
  </si>
  <si>
    <t>0025533/26</t>
  </si>
  <si>
    <t>0025535/26</t>
  </si>
  <si>
    <t>0025537/26</t>
  </si>
  <si>
    <t>0025539/26</t>
  </si>
  <si>
    <t>0025541/26</t>
  </si>
  <si>
    <t>0025543/26</t>
  </si>
  <si>
    <t>0025545/26</t>
  </si>
  <si>
    <t>05P7622532</t>
  </si>
  <si>
    <t>05P7643456</t>
  </si>
  <si>
    <t>28/09/2026 08:47:44</t>
  </si>
  <si>
    <t>28/09/2026 08:47:36</t>
  </si>
  <si>
    <t>QC05-PM</t>
  </si>
  <si>
    <t>28/09/2026 10:27:46</t>
  </si>
  <si>
    <t>28/09/2026 10:28:25</t>
  </si>
  <si>
    <t>28/09/2026 10:27:01</t>
  </si>
  <si>
    <t>28/09/2026 10:35:09</t>
  </si>
  <si>
    <t>28/09/2026 10:33:27</t>
  </si>
  <si>
    <t>28/09/2026 10:30:02</t>
  </si>
  <si>
    <t>28/09/2026 10:30:57</t>
  </si>
  <si>
    <t>28/09/2026 10:38:29</t>
  </si>
  <si>
    <t>28/09/2026 10:36:39</t>
  </si>
  <si>
    <t>28/09/2026 10:35:50</t>
  </si>
  <si>
    <t>28/09/2026 10:39:26</t>
  </si>
  <si>
    <t>28/09/2026 10:32:27</t>
  </si>
  <si>
    <t>28/09/2026 10:34:12</t>
  </si>
  <si>
    <t>28/09/2026 10:40:12</t>
  </si>
  <si>
    <t>28/09/2026 10:29:21</t>
  </si>
  <si>
    <t>28/09/2026 10:31:44</t>
  </si>
  <si>
    <t>28/09/2026 10:26:06</t>
  </si>
  <si>
    <t>28/09/2026 10:23:02</t>
  </si>
  <si>
    <t>28/09/2026 10:37:36</t>
  </si>
  <si>
    <t>28/09/2026 10:25:22</t>
  </si>
  <si>
    <t>0025547/26</t>
  </si>
  <si>
    <t>599998979779</t>
  </si>
  <si>
    <t>0025549/26</t>
  </si>
  <si>
    <t>599998978917</t>
  </si>
  <si>
    <t>V3I6CC0379</t>
  </si>
  <si>
    <t>0025551/26</t>
  </si>
  <si>
    <t>28/09/2026 13:33:20</t>
  </si>
  <si>
    <t>0025553/26</t>
  </si>
  <si>
    <t>599998979771</t>
  </si>
  <si>
    <t>0025555/26</t>
  </si>
  <si>
    <t>599999169824</t>
  </si>
  <si>
    <t>0025557/26</t>
  </si>
  <si>
    <t>599999009882</t>
  </si>
  <si>
    <t>0025559/26</t>
  </si>
  <si>
    <t>599999169617</t>
  </si>
  <si>
    <t>0025561/26</t>
  </si>
  <si>
    <t>599999009670</t>
  </si>
  <si>
    <t>0025563/26</t>
  </si>
  <si>
    <t>599998978726</t>
  </si>
  <si>
    <t>0025565/26</t>
  </si>
  <si>
    <t>28/09/2026 13:31:56</t>
  </si>
  <si>
    <t>0025567/26</t>
  </si>
  <si>
    <t>599998978743</t>
  </si>
  <si>
    <t>0025569/26</t>
  </si>
  <si>
    <t>28/09/2026 13:32:36</t>
  </si>
  <si>
    <t>0025571/26</t>
  </si>
  <si>
    <t>599998978737</t>
  </si>
  <si>
    <t>0025573/26</t>
  </si>
  <si>
    <t>599998979230</t>
  </si>
  <si>
    <t>0025575/26</t>
  </si>
  <si>
    <t>28/09/2026 13:34:01</t>
  </si>
  <si>
    <t>0025577/26</t>
  </si>
  <si>
    <t>599999169942</t>
  </si>
  <si>
    <t>0025579/26</t>
  </si>
  <si>
    <t>28/09/2026 13:30:27</t>
  </si>
  <si>
    <t>0025581/26</t>
  </si>
  <si>
    <t>599998978750</t>
  </si>
  <si>
    <t>0025583/26</t>
  </si>
  <si>
    <t>599998978756</t>
  </si>
  <si>
    <t>0025585/26</t>
  </si>
  <si>
    <t>28/09/2026 13:31:20</t>
  </si>
  <si>
    <t>0025587/26</t>
  </si>
  <si>
    <t>28/09/2026 13:28:55</t>
  </si>
  <si>
    <t>0025589/26</t>
  </si>
  <si>
    <t>599998978742</t>
  </si>
  <si>
    <t>0025591/26</t>
  </si>
  <si>
    <t>599998978811</t>
  </si>
  <si>
    <t>0025593/26</t>
  </si>
  <si>
    <t>599998978590</t>
  </si>
  <si>
    <t>0025595/26</t>
  </si>
  <si>
    <t>599998978746</t>
  </si>
  <si>
    <t>0025597/26</t>
  </si>
  <si>
    <t>599999169977</t>
  </si>
  <si>
    <t>0025599/26</t>
  </si>
  <si>
    <t>599999169947</t>
  </si>
  <si>
    <t>0025601/26</t>
  </si>
  <si>
    <t>599999169968</t>
  </si>
  <si>
    <t>0025603/26</t>
  </si>
  <si>
    <t>599998978705</t>
  </si>
  <si>
    <t>0025605/26</t>
  </si>
  <si>
    <t>28/09/2026 13:29:47</t>
  </si>
  <si>
    <t>0025607/26</t>
  </si>
  <si>
    <t>599999169969</t>
  </si>
  <si>
    <t>0025609/26</t>
  </si>
  <si>
    <t>28/09/2026 13:34:40</t>
  </si>
  <si>
    <t>0025611/26</t>
  </si>
  <si>
    <t>599998979768</t>
  </si>
  <si>
    <t>0025613/26</t>
  </si>
  <si>
    <t>599998978908</t>
  </si>
  <si>
    <t>0025615/26</t>
  </si>
  <si>
    <t>599999169940</t>
  </si>
  <si>
    <t>0025617/26</t>
  </si>
  <si>
    <t>599998978923</t>
  </si>
  <si>
    <t>0025619/26</t>
  </si>
  <si>
    <t>599998979876</t>
  </si>
  <si>
    <t>0025621/26</t>
  </si>
  <si>
    <t>CF1-24</t>
  </si>
  <si>
    <t>28/09/2026 14:22:32</t>
  </si>
  <si>
    <t>599999169946</t>
  </si>
  <si>
    <t>0025623/26</t>
  </si>
  <si>
    <t>28/09/2026 14:08:45</t>
  </si>
  <si>
    <t>05P7622452</t>
  </si>
  <si>
    <t>0025628/26</t>
  </si>
  <si>
    <t>599998978918</t>
  </si>
  <si>
    <t>0025632/26</t>
  </si>
  <si>
    <t>599998978817</t>
  </si>
  <si>
    <t>0025636/26</t>
  </si>
  <si>
    <t>599999169972</t>
  </si>
  <si>
    <t>0025638/26</t>
  </si>
  <si>
    <t>599998978432</t>
  </si>
  <si>
    <t>0025642/26</t>
  </si>
  <si>
    <t>599998978711</t>
  </si>
  <si>
    <t>0025646/26</t>
  </si>
  <si>
    <t>599998978712</t>
  </si>
  <si>
    <t>0025648/26</t>
  </si>
  <si>
    <t>599998978816</t>
  </si>
  <si>
    <t>0025652/26</t>
  </si>
  <si>
    <t>599998978717</t>
  </si>
  <si>
    <t>0025654/26</t>
  </si>
  <si>
    <t>599998978416</t>
  </si>
  <si>
    <t>0025658/26</t>
  </si>
  <si>
    <t>599998978718</t>
  </si>
  <si>
    <t>0025660/26</t>
  </si>
  <si>
    <t>599998978472</t>
  </si>
  <si>
    <t>0025664/26</t>
  </si>
  <si>
    <t>599998978747</t>
  </si>
  <si>
    <t>0025666/26</t>
  </si>
  <si>
    <t>599998978834</t>
  </si>
  <si>
    <t>29/09/2026</t>
  </si>
  <si>
    <t>05P7626427</t>
  </si>
  <si>
    <t>1001 - Liberado Especial Cliente</t>
  </si>
  <si>
    <t>28/09/2026 14:37:14</t>
  </si>
  <si>
    <t>28/09/2026 14:38:24</t>
  </si>
  <si>
    <t>28/09/2026 14:36:44</t>
  </si>
  <si>
    <t>28/09/2026 14:36:17</t>
  </si>
  <si>
    <t>28/09/2026 14:41:02</t>
  </si>
  <si>
    <t>28/09/2026 14:31:21</t>
  </si>
  <si>
    <t>28/09/2026 14:35:50</t>
  </si>
  <si>
    <t>28/09/2026 14:35:21</t>
  </si>
  <si>
    <t>28/09/2026 14:33:15</t>
  </si>
  <si>
    <t>28/09/2026 14:30:53</t>
  </si>
  <si>
    <t>28/09/2026 14:34:20</t>
  </si>
  <si>
    <t>28/09/2026 14:39:23</t>
  </si>
  <si>
    <t>28/09/2026 14:41:36</t>
  </si>
  <si>
    <t>28/09/2026 14:37:55</t>
  </si>
  <si>
    <t>28/09/2026 14:34:51</t>
  </si>
  <si>
    <t>28/09/2026 14:29:21</t>
  </si>
  <si>
    <t>28/09/2026 14:29:48</t>
  </si>
  <si>
    <t>28/09/2026 14:25:32</t>
  </si>
  <si>
    <t>28/09/2026 14:28:49</t>
  </si>
  <si>
    <t>28/09/2026 14:27:06</t>
  </si>
  <si>
    <t>28/09/2026 14:26:33</t>
  </si>
  <si>
    <t>28/09/2026 14:30:18</t>
  </si>
  <si>
    <t>28/09/2026 14:28:22</t>
  </si>
  <si>
    <t>28/09/2026 14:26:05</t>
  </si>
  <si>
    <t>28/09/2026 14:24:23</t>
  </si>
  <si>
    <t>28/09/2026 14:27:36</t>
  </si>
  <si>
    <t>28/09/2026 14:23:53</t>
  </si>
  <si>
    <t>28/09/2026 14:24:54</t>
  </si>
  <si>
    <t>CF1-01</t>
  </si>
  <si>
    <t>28/09/2026 17:24:30</t>
  </si>
  <si>
    <t>28/09/2026 17:24:01</t>
  </si>
  <si>
    <t>28/09/2026 17:23:29</t>
  </si>
  <si>
    <t>28/09/2026 17:21:41</t>
  </si>
  <si>
    <t>28/09/2026 17:20:59</t>
  </si>
  <si>
    <t>28/09/2026 17:20:35</t>
  </si>
  <si>
    <t>28/09/2026 17:26:15</t>
  </si>
  <si>
    <t>28/09/2026 17:20:06</t>
  </si>
  <si>
    <t>28/09/2026 17:26:48</t>
  </si>
  <si>
    <t>28/09/2026 17:25:48</t>
  </si>
  <si>
    <t>28/09/2026 17:27:22</t>
  </si>
  <si>
    <t>28/09/2026 17:22:23</t>
  </si>
  <si>
    <t>28/09/2026 17:25:19</t>
  </si>
  <si>
    <t>0025668/26</t>
  </si>
  <si>
    <t>28/09/2026 17:22:49</t>
  </si>
  <si>
    <t>599999009668</t>
  </si>
  <si>
    <t>0025672/26</t>
  </si>
  <si>
    <t>28/09/2026 16:23:30</t>
  </si>
  <si>
    <t>05P7622533</t>
  </si>
  <si>
    <t>0025673/26</t>
  </si>
  <si>
    <t>599998978579</t>
  </si>
  <si>
    <t>0025675/26</t>
  </si>
  <si>
    <t>599998978581</t>
  </si>
  <si>
    <t>0025677/26</t>
  </si>
  <si>
    <t>599998979212</t>
  </si>
  <si>
    <t>0025679/26</t>
  </si>
  <si>
    <t>599998979206</t>
  </si>
  <si>
    <t>0025681/26</t>
  </si>
  <si>
    <t>599998978578</t>
  </si>
  <si>
    <t>0025685/26</t>
  </si>
  <si>
    <t>599998978253</t>
  </si>
  <si>
    <t>0025687/26</t>
  </si>
  <si>
    <t>599999169974</t>
  </si>
  <si>
    <t>0025689/26</t>
  </si>
  <si>
    <t>599998979262</t>
  </si>
  <si>
    <t>0025691/26</t>
  </si>
  <si>
    <t>599998979171</t>
  </si>
  <si>
    <t>0025693/26</t>
  </si>
  <si>
    <t>599998978806</t>
  </si>
  <si>
    <t>0025695/26</t>
  </si>
  <si>
    <t>599998978704</t>
  </si>
  <si>
    <t>0025697/26</t>
  </si>
  <si>
    <t>599998978422</t>
  </si>
  <si>
    <t>0025699/26</t>
  </si>
  <si>
    <t>599998979235</t>
  </si>
  <si>
    <t>0025701/26</t>
  </si>
  <si>
    <t>599998979872</t>
  </si>
  <si>
    <t>0025703/26</t>
  </si>
  <si>
    <t>RECEPÇÃO DE MOVIMENTAÇÃO INTERNA ENTRE UNIDADES</t>
  </si>
  <si>
    <t>0025704/26</t>
  </si>
  <si>
    <t>0025705/26</t>
  </si>
  <si>
    <t>0025706/26</t>
  </si>
  <si>
    <t>0025707/26</t>
  </si>
  <si>
    <t>0025708/26</t>
  </si>
  <si>
    <t>0025709/26</t>
  </si>
  <si>
    <t>0025710/26</t>
  </si>
  <si>
    <t>0025711/26</t>
  </si>
  <si>
    <t>0025712/26</t>
  </si>
  <si>
    <t>0025713/26</t>
  </si>
  <si>
    <t>0025714/26</t>
  </si>
  <si>
    <t>0025715/26</t>
  </si>
  <si>
    <t>0025716/26</t>
  </si>
  <si>
    <t>0025717/26</t>
  </si>
  <si>
    <t>0025718/26</t>
  </si>
  <si>
    <t>0025719/26</t>
  </si>
  <si>
    <t>0025720/26</t>
  </si>
  <si>
    <t>0025721/26</t>
  </si>
  <si>
    <t>0025722/26</t>
  </si>
  <si>
    <t>0025723/26</t>
  </si>
  <si>
    <t>0025724/26</t>
  </si>
  <si>
    <t>0025725/26</t>
  </si>
  <si>
    <t>0025726/26</t>
  </si>
  <si>
    <t>0025727/26</t>
  </si>
  <si>
    <t>0025728/26</t>
  </si>
  <si>
    <t>0025729/26</t>
  </si>
  <si>
    <t>0025730/26</t>
  </si>
  <si>
    <t>0025731/26</t>
  </si>
  <si>
    <t>28/09/2026 16:02:46</t>
  </si>
  <si>
    <t>0025732/26</t>
  </si>
  <si>
    <t>0025733/26</t>
  </si>
  <si>
    <t>0025734/26</t>
  </si>
  <si>
    <t>28/09/2026 16:02:47</t>
  </si>
  <si>
    <t>0025735/26</t>
  </si>
  <si>
    <t>0025736/26</t>
  </si>
  <si>
    <t>0025737/26</t>
  </si>
  <si>
    <t>0025738/26</t>
  </si>
  <si>
    <t>0025739/26</t>
  </si>
  <si>
    <t>0025740/26</t>
  </si>
  <si>
    <t>0025741/26</t>
  </si>
  <si>
    <t>0025742/26</t>
  </si>
  <si>
    <t>0025743/26</t>
  </si>
  <si>
    <t>599998978916</t>
  </si>
  <si>
    <t>0025745/26</t>
  </si>
  <si>
    <t>599999169938</t>
  </si>
  <si>
    <t>0025747/26</t>
  </si>
  <si>
    <t>599999170406</t>
  </si>
  <si>
    <t>0025749/26</t>
  </si>
  <si>
    <t>599999169945</t>
  </si>
  <si>
    <t>0025751/26</t>
  </si>
  <si>
    <t>0025753/26</t>
  </si>
  <si>
    <t>599999169949</t>
  </si>
  <si>
    <t>0025755/26</t>
  </si>
  <si>
    <t>599998979860</t>
  </si>
  <si>
    <t>0025757/26</t>
  </si>
  <si>
    <t>599999009667</t>
  </si>
  <si>
    <t>0025761/26</t>
  </si>
  <si>
    <t>599998979874</t>
  </si>
  <si>
    <t>0025763/26</t>
  </si>
  <si>
    <t>599998979232</t>
  </si>
  <si>
    <t>0025765/26</t>
  </si>
  <si>
    <t>599998978577</t>
  </si>
  <si>
    <t>0025767/26</t>
  </si>
  <si>
    <t>599998979234</t>
  </si>
  <si>
    <t>0025769/26</t>
  </si>
  <si>
    <t>599998979256</t>
  </si>
  <si>
    <t>V3I6CC0381</t>
  </si>
  <si>
    <t>0025771/26</t>
  </si>
  <si>
    <t>0025773/26</t>
  </si>
  <si>
    <t>0025775/26</t>
  </si>
  <si>
    <t>0025777/26</t>
  </si>
  <si>
    <t>0025779/26</t>
  </si>
  <si>
    <t>0025781/26</t>
  </si>
  <si>
    <t>0025783/26</t>
  </si>
  <si>
    <t>0025785/26</t>
  </si>
  <si>
    <t>0025787/26</t>
  </si>
  <si>
    <t>0025789/26</t>
  </si>
  <si>
    <t>05P7643458</t>
  </si>
  <si>
    <t>0025791/26</t>
  </si>
  <si>
    <t>0025792/26</t>
  </si>
  <si>
    <t>05P7622453</t>
  </si>
  <si>
    <t>0025794/26</t>
  </si>
  <si>
    <t>599998979274</t>
  </si>
  <si>
    <t>0025796/26</t>
  </si>
  <si>
    <t>0025798/26</t>
  </si>
  <si>
    <t>599998979208</t>
  </si>
  <si>
    <t>0025800/26</t>
  </si>
  <si>
    <t>599998978815</t>
  </si>
  <si>
    <t>0025802/26</t>
  </si>
  <si>
    <t>0025804/26</t>
  </si>
  <si>
    <t>599998979273</t>
  </si>
  <si>
    <t>0025806/26</t>
  </si>
  <si>
    <t>0025808/26</t>
  </si>
  <si>
    <t>599998978850</t>
  </si>
  <si>
    <t>0025810/26</t>
  </si>
  <si>
    <t>0025812/26</t>
  </si>
  <si>
    <t>0025814/26</t>
  </si>
  <si>
    <t>599998978714</t>
  </si>
  <si>
    <t>0025816/26</t>
  </si>
  <si>
    <t>599998979210</t>
  </si>
  <si>
    <t>0025818/26</t>
  </si>
  <si>
    <t>0025820/26</t>
  </si>
  <si>
    <t>599998978818</t>
  </si>
  <si>
    <t>0025822/26</t>
  </si>
  <si>
    <t>599998978716</t>
  </si>
  <si>
    <t>0025824/26</t>
  </si>
  <si>
    <t>0025826/26</t>
  </si>
  <si>
    <t>599998979336</t>
  </si>
  <si>
    <t>05P7626428</t>
  </si>
  <si>
    <t>0025828/26</t>
  </si>
  <si>
    <t>05P7622516</t>
  </si>
  <si>
    <t>05P7622518</t>
  </si>
  <si>
    <t>05P7643441</t>
  </si>
  <si>
    <t>CF1-02</t>
  </si>
  <si>
    <t>29/09/2026 10:06:56</t>
  </si>
  <si>
    <t>29/09/2026 10:03:57</t>
  </si>
  <si>
    <t>29/09/2026 10:05:46</t>
  </si>
  <si>
    <t>29/09/2026 10:05:24</t>
  </si>
  <si>
    <t>29/09/2026 10:06:38</t>
  </si>
  <si>
    <t>29/09/2026 10:06:03</t>
  </si>
  <si>
    <t>29/09/2026 10:07:16</t>
  </si>
  <si>
    <t>29/09/2026 10:08:10</t>
  </si>
  <si>
    <t>29/09/2026 10:09:04</t>
  </si>
  <si>
    <t>29/09/2026 10:07:53</t>
  </si>
  <si>
    <t>29/09/2026 10:25:44</t>
  </si>
  <si>
    <t>29/09/2026 10:04:27</t>
  </si>
  <si>
    <t>29/09/2026 10:06:22</t>
  </si>
  <si>
    <t>29/09/2026 10:02:59</t>
  </si>
  <si>
    <t>29/09/2026 11:07:03</t>
  </si>
  <si>
    <t>29/09/2026 11:05:35</t>
  </si>
  <si>
    <t>29/09/2026 11:06:53</t>
  </si>
  <si>
    <t>29/09/2026 11:04:14</t>
  </si>
  <si>
    <t>29/09/2026 11:06:04</t>
  </si>
  <si>
    <t>29/09/2026 11:03:17</t>
  </si>
  <si>
    <t>29/09/2026 11:03:27</t>
  </si>
  <si>
    <t>29/09/2026 11:04:53</t>
  </si>
  <si>
    <t>29/09/2026 11:05:13</t>
  </si>
  <si>
    <t>29/09/2026 11:03:37</t>
  </si>
  <si>
    <t>29/09/2026 11:03:07</t>
  </si>
  <si>
    <t>29/09/2026 11:03:56</t>
  </si>
  <si>
    <t>29/09/2026 11:05:04</t>
  </si>
  <si>
    <t>29/09/2026 11:04:04</t>
  </si>
  <si>
    <t>29/09/2026 11:02:55</t>
  </si>
  <si>
    <t>29/09/2026 11:00:56</t>
  </si>
  <si>
    <t>29/09/2026 11:06:25</t>
  </si>
  <si>
    <t>29/09/2026 11:00:44</t>
  </si>
  <si>
    <t>29/09/2026 11:02:08</t>
  </si>
  <si>
    <t>29/09/2026 11:01:43</t>
  </si>
  <si>
    <t>29/09/2026 11:01:53</t>
  </si>
  <si>
    <t>29/09/2026 11:00:04</t>
  </si>
  <si>
    <t>29/09/2026 10:59:16</t>
  </si>
  <si>
    <t>29/09/2026 11:04:29</t>
  </si>
  <si>
    <t>29/09/2026 11:05:54</t>
  </si>
  <si>
    <t>29/09/2026 11:03:46</t>
  </si>
  <si>
    <t>29/09/2026 11:02:28</t>
  </si>
  <si>
    <t>29/09/2026 11:04:37</t>
  </si>
  <si>
    <t>29/09/2026 11:07:14</t>
  </si>
  <si>
    <t>29/09/2026 11:06:17</t>
  </si>
  <si>
    <t>29/09/2026 11:01:13</t>
  </si>
  <si>
    <t>29/09/2026 11:01:34</t>
  </si>
  <si>
    <t>29/09/2026 11:07:32</t>
  </si>
  <si>
    <t>29/09/2026 11:05:24</t>
  </si>
  <si>
    <t>29/09/2026 11:06:43</t>
  </si>
  <si>
    <t>29/09/2026 11:02:39</t>
  </si>
  <si>
    <t>29/09/2026 11:07:22</t>
  </si>
  <si>
    <t>29/09/2026 11:06:34</t>
  </si>
  <si>
    <t>29/09/2026 10:02:39</t>
  </si>
  <si>
    <t>29/09/2026 10:05:04</t>
  </si>
  <si>
    <t>29/09/2026 10:02:00</t>
  </si>
  <si>
    <t>29/09/2026 10:09:36</t>
  </si>
  <si>
    <t>29/09/2026 10:01:43</t>
  </si>
  <si>
    <t>29/09/2026 10:00:46</t>
  </si>
  <si>
    <t>29/09/2026 09:59:43</t>
  </si>
  <si>
    <t>29/09/2026 10:01:03</t>
  </si>
  <si>
    <t>29/09/2026 10:00:02</t>
  </si>
  <si>
    <t>29/09/2026 10:00:23</t>
  </si>
  <si>
    <t>29/09/2026 10:03:35</t>
  </si>
  <si>
    <t>29/09/2026 10:04:45</t>
  </si>
  <si>
    <t>29/09/2026 10:01:21</t>
  </si>
  <si>
    <t>29/09/2026 14:09:11</t>
  </si>
  <si>
    <t>29/09/2026 14:09:50</t>
  </si>
  <si>
    <t>29/09/2026 14:08:33</t>
  </si>
  <si>
    <t>29/09/2026 14:11:38</t>
  </si>
  <si>
    <t>29/09/2026 14:12:12</t>
  </si>
  <si>
    <t>29/09/2026 14:10:26</t>
  </si>
  <si>
    <t>29/09/2026 14:11:02</t>
  </si>
  <si>
    <t>29/09/2026 14:15:11</t>
  </si>
  <si>
    <t>29/09/2026 14:15:48</t>
  </si>
  <si>
    <t>29/09/2026 14:12:47</t>
  </si>
  <si>
    <t>29/09/2026 10:42:40</t>
  </si>
  <si>
    <t>29/09/2026 14:14:29</t>
  </si>
  <si>
    <t>29/09/2026 13:30:37</t>
  </si>
  <si>
    <t>29/09/2026 14:17:21</t>
  </si>
  <si>
    <t>29/09/2026 13:30:33</t>
  </si>
  <si>
    <t>29/09/2026 13:30:46</t>
  </si>
  <si>
    <t>29/09/2026 14:17:52</t>
  </si>
  <si>
    <t>29/09/2026 13:30:29</t>
  </si>
  <si>
    <t>29/09/2026 14:20:38</t>
  </si>
  <si>
    <t>29/09/2026 13:30:25</t>
  </si>
  <si>
    <t>29/09/2026 14:21:11</t>
  </si>
  <si>
    <t>29/09/2026 14:22:08</t>
  </si>
  <si>
    <t>29/09/2026 13:30:49</t>
  </si>
  <si>
    <t>29/09/2026 13:30:42</t>
  </si>
  <si>
    <t>29/09/2026 14:18:45</t>
  </si>
  <si>
    <t>29/09/2026 13:30:54</t>
  </si>
  <si>
    <t>29/09/2026 13:30:58</t>
  </si>
  <si>
    <t>29/09/2026 14:20:01</t>
  </si>
  <si>
    <t>29/09/2026 13:31:01</t>
  </si>
  <si>
    <t>29/09/2026 16:29:38</t>
  </si>
  <si>
    <t>V3I6CC0382</t>
  </si>
  <si>
    <t>0025831/26</t>
  </si>
  <si>
    <t>29/09/2026 16:02:47</t>
  </si>
  <si>
    <t>599998978428</t>
  </si>
  <si>
    <t>0025835/26</t>
  </si>
  <si>
    <t>29/09/2026 16:01:17</t>
  </si>
  <si>
    <t>599998978706</t>
  </si>
  <si>
    <t>0025837/26</t>
  </si>
  <si>
    <t>29/09/2026 16:23:02</t>
  </si>
  <si>
    <t>599998978719</t>
  </si>
  <si>
    <t>0025841/26</t>
  </si>
  <si>
    <t>29/09/2026 16:21:45</t>
  </si>
  <si>
    <t>599998979272</t>
  </si>
  <si>
    <t>0025845/26</t>
  </si>
  <si>
    <t>29/09/2026 16:02:05</t>
  </si>
  <si>
    <t>599998978882</t>
  </si>
  <si>
    <t>0025847/26</t>
  </si>
  <si>
    <t>29/09/2026 16:23:54</t>
  </si>
  <si>
    <t>599998978427</t>
  </si>
  <si>
    <t>0025851/26</t>
  </si>
  <si>
    <t>29/09/2026 16:09:08</t>
  </si>
  <si>
    <t>599998979241</t>
  </si>
  <si>
    <t>0025853/26</t>
  </si>
  <si>
    <t>29/09/2026 16:11:03</t>
  </si>
  <si>
    <t>599998978926</t>
  </si>
  <si>
    <t>0025857/26</t>
  </si>
  <si>
    <t>29/09/2026 16:10:07</t>
  </si>
  <si>
    <t>599998979282</t>
  </si>
  <si>
    <t>0025859/26</t>
  </si>
  <si>
    <t>29/09/2026 16:20:55</t>
  </si>
  <si>
    <t>599998978580</t>
  </si>
  <si>
    <t>0025861/26</t>
  </si>
  <si>
    <t>29/09/2026 16:18:37</t>
  </si>
  <si>
    <t>599998979261</t>
  </si>
  <si>
    <t>0025867/26</t>
  </si>
  <si>
    <t>599998978829</t>
  </si>
  <si>
    <t>0025869/26</t>
  </si>
  <si>
    <t>599999170413</t>
  </si>
  <si>
    <t>0025873/26</t>
  </si>
  <si>
    <t>599998978876</t>
  </si>
  <si>
    <t>0025877/26</t>
  </si>
  <si>
    <t>599999169614</t>
  </si>
  <si>
    <t>0025879/26</t>
  </si>
  <si>
    <t>599999170744</t>
  </si>
  <si>
    <t>0025883/26</t>
  </si>
  <si>
    <t>599998979847</t>
  </si>
  <si>
    <t>0025885/26</t>
  </si>
  <si>
    <t>599998979245</t>
  </si>
  <si>
    <t>0025889/26</t>
  </si>
  <si>
    <t>599998978803</t>
  </si>
  <si>
    <t>0025891/26</t>
  </si>
  <si>
    <t>599998979288</t>
  </si>
  <si>
    <t>0025893/26</t>
  </si>
  <si>
    <t>599998979216</t>
  </si>
  <si>
    <t>0025895/26</t>
  </si>
  <si>
    <t>599998978514</t>
  </si>
  <si>
    <t>0025897/26</t>
  </si>
  <si>
    <t>599998979238</t>
  </si>
  <si>
    <t>0025899/26</t>
  </si>
  <si>
    <t>599999170385</t>
  </si>
  <si>
    <t>V3I6CC0383</t>
  </si>
  <si>
    <t>0025901/26</t>
  </si>
  <si>
    <t>29/09/2026 18:31:25</t>
  </si>
  <si>
    <t>0025903/26</t>
  </si>
  <si>
    <t>29/09/2026 18:31:16</t>
  </si>
  <si>
    <t>0025905/26</t>
  </si>
  <si>
    <t>29/09/2026 18:31:07</t>
  </si>
  <si>
    <t>0025907/26</t>
  </si>
  <si>
    <t>29/09/2026 18:27:44</t>
  </si>
  <si>
    <t>0025909/26</t>
  </si>
  <si>
    <t>29/09/2026 18:27:56</t>
  </si>
  <si>
    <t>0025911/26</t>
  </si>
  <si>
    <t>599998978497</t>
  </si>
  <si>
    <t>0025913/26</t>
  </si>
  <si>
    <t>29/09/2026 18:27:35</t>
  </si>
  <si>
    <t>0025915/26</t>
  </si>
  <si>
    <t>599998978802</t>
  </si>
  <si>
    <t>0025917/26</t>
  </si>
  <si>
    <t>29/09/2026 18:27:27</t>
  </si>
  <si>
    <t>0025919/26</t>
  </si>
  <si>
    <t>599998978804</t>
  </si>
  <si>
    <t>0025921/26</t>
  </si>
  <si>
    <t>29/09/2026 18:27:16</t>
  </si>
  <si>
    <t>0025923/26</t>
  </si>
  <si>
    <t>599998979222</t>
  </si>
  <si>
    <t>0025925/26</t>
  </si>
  <si>
    <t>29/09/2026 18:26:06</t>
  </si>
  <si>
    <t>0025927/26</t>
  </si>
  <si>
    <t>599998978796</t>
  </si>
  <si>
    <t>0025929/26</t>
  </si>
  <si>
    <t>29/09/2026 18:25:53</t>
  </si>
  <si>
    <t>0025931/26</t>
  </si>
  <si>
    <t>599998978160</t>
  </si>
  <si>
    <t>0025933/26</t>
  </si>
  <si>
    <t>29/09/2026 18:25:37</t>
  </si>
  <si>
    <t>0025935/26</t>
  </si>
  <si>
    <t>599998978260</t>
  </si>
  <si>
    <t>0025937/26</t>
  </si>
  <si>
    <t>29/09/2026 18:23:11</t>
  </si>
  <si>
    <t>0025939/26</t>
  </si>
  <si>
    <t>29/09/2026 18:24:14</t>
  </si>
  <si>
    <t>0025941/26</t>
  </si>
  <si>
    <t>599998979231</t>
  </si>
  <si>
    <t>0025943/26</t>
  </si>
  <si>
    <t>29/09/2026 16:51:07</t>
  </si>
  <si>
    <t>0025944/26</t>
  </si>
  <si>
    <t>29/09/2026 16:51:47</t>
  </si>
  <si>
    <t>0025945/26</t>
  </si>
  <si>
    <t>29/09/2026 16:50:43</t>
  </si>
  <si>
    <t>0025946/26</t>
  </si>
  <si>
    <t>29/09/2026 16:54:29</t>
  </si>
  <si>
    <t>0025947/26</t>
  </si>
  <si>
    <t>29/09/2026 16:56:07</t>
  </si>
  <si>
    <t>0025948/26</t>
  </si>
  <si>
    <t>29/09/2026 16:54:38</t>
  </si>
  <si>
    <t>0025949/26</t>
  </si>
  <si>
    <t>29/09/2026 16:53:27</t>
  </si>
  <si>
    <t>0025950/26</t>
  </si>
  <si>
    <t>29/09/2026 16:56:23</t>
  </si>
  <si>
    <t>0025951/26</t>
  </si>
  <si>
    <t>29/09/2026 16:54:08</t>
  </si>
  <si>
    <t>0025952/26</t>
  </si>
  <si>
    <t>29/09/2026 16:52:28</t>
  </si>
  <si>
    <t>0025953/26</t>
  </si>
  <si>
    <t>29/09/2026 16:53:37</t>
  </si>
  <si>
    <t>0025954/26</t>
  </si>
  <si>
    <t>29/09/2026 16:50:32</t>
  </si>
  <si>
    <t>0025955/26</t>
  </si>
  <si>
    <t>29/09/2026 16:52:54</t>
  </si>
  <si>
    <t>0025956/26</t>
  </si>
  <si>
    <t>29/09/2026 16:55:05</t>
  </si>
  <si>
    <t>0025957/26</t>
  </si>
  <si>
    <t>29/09/2026 16:55:25</t>
  </si>
  <si>
    <t>0025958/26</t>
  </si>
  <si>
    <t>29/09/2026 16:52:43</t>
  </si>
  <si>
    <t>0025959/26</t>
  </si>
  <si>
    <t>29/09/2026 16:55:15</t>
  </si>
  <si>
    <t>0025960/26</t>
  </si>
  <si>
    <t>29/09/2026 16:54:48</t>
  </si>
  <si>
    <t>0025961/26</t>
  </si>
  <si>
    <t>29/09/2026 16:54:57</t>
  </si>
  <si>
    <t>0025962/26</t>
  </si>
  <si>
    <t>29/09/2026 16:50:52</t>
  </si>
  <si>
    <t>0025963/26</t>
  </si>
  <si>
    <t>29/09/2026 16:55:58</t>
  </si>
  <si>
    <t>0025964/26</t>
  </si>
  <si>
    <t>29/09/2026 16:53:58</t>
  </si>
  <si>
    <t>0025965/26</t>
  </si>
  <si>
    <t>29/09/2026 16:51:17</t>
  </si>
  <si>
    <t>0025966/26</t>
  </si>
  <si>
    <t>29/09/2026 16:55:49</t>
  </si>
  <si>
    <t>0025967/26</t>
  </si>
  <si>
    <t>29/09/2026 16:55:42</t>
  </si>
  <si>
    <t>0025968/26</t>
  </si>
  <si>
    <t>29/09/2026 16:55:33</t>
  </si>
  <si>
    <t>0025969/26</t>
  </si>
  <si>
    <t>29/09/2026 16:53:49</t>
  </si>
  <si>
    <t>0025970/26</t>
  </si>
  <si>
    <t>29/09/2026 16:53:02</t>
  </si>
  <si>
    <t>0025971/26</t>
  </si>
  <si>
    <t>29/09/2026 16:53:16</t>
  </si>
  <si>
    <t>0025972/26</t>
  </si>
  <si>
    <t>29/09/2026 16:51:30</t>
  </si>
  <si>
    <t>0025973/26</t>
  </si>
  <si>
    <t>29/09/2026 16:56:58</t>
  </si>
  <si>
    <t>0025974/26</t>
  </si>
  <si>
    <t>29/09/2026 16:52:02</t>
  </si>
  <si>
    <t>0025975/26</t>
  </si>
  <si>
    <t>29/09/2026 16:56:49</t>
  </si>
  <si>
    <t>0025976/26</t>
  </si>
  <si>
    <t>29/09/2026 16:54:19</t>
  </si>
  <si>
    <t>0025977/26</t>
  </si>
  <si>
    <t>29/09/2026 16:56:15</t>
  </si>
  <si>
    <t>0025978/26</t>
  </si>
  <si>
    <t>29/09/2026 16:51:39</t>
  </si>
  <si>
    <t>0025979/26</t>
  </si>
  <si>
    <t>29/09/2026 16:56:40</t>
  </si>
  <si>
    <t>0025980/26</t>
  </si>
  <si>
    <t>29/09/2026 16:52:18</t>
  </si>
  <si>
    <t>0025981/26</t>
  </si>
  <si>
    <t>29/09/2026 16:56:32</t>
  </si>
  <si>
    <t>0025982/26</t>
  </si>
  <si>
    <t>29/09/2026 18:24:27</t>
  </si>
  <si>
    <t>0025984/26</t>
  </si>
  <si>
    <t>599999170090</t>
  </si>
  <si>
    <t>0025986/26</t>
  </si>
  <si>
    <t>29/09/2026 18:24:39</t>
  </si>
  <si>
    <t>0025988/26</t>
  </si>
  <si>
    <t>599998978503</t>
  </si>
  <si>
    <t>0025990/26</t>
  </si>
  <si>
    <t>29/09/2026 18:24:51</t>
  </si>
  <si>
    <t>0025992/26</t>
  </si>
  <si>
    <t>599998978112</t>
  </si>
  <si>
    <t>0025994/26</t>
  </si>
  <si>
    <t>29/09/2026 18:24:59</t>
  </si>
  <si>
    <t>0025996/26</t>
  </si>
  <si>
    <t>29/09/2026 18:25:08</t>
  </si>
  <si>
    <t>0025998/26</t>
  </si>
  <si>
    <t>599998978499</t>
  </si>
  <si>
    <t>0026000/26</t>
  </si>
  <si>
    <t>29/09/2026 18:25:18</t>
  </si>
  <si>
    <t>0026002/26</t>
  </si>
  <si>
    <t>29/09/2026 18:28:08</t>
  </si>
  <si>
    <t>0026004/26</t>
  </si>
  <si>
    <t>599998978521</t>
  </si>
  <si>
    <t>0026006/26</t>
  </si>
  <si>
    <t>599998978527</t>
  </si>
  <si>
    <t>0026008/26</t>
  </si>
  <si>
    <t>29/09/2026 18:30:51</t>
  </si>
  <si>
    <t>0026010/26</t>
  </si>
  <si>
    <t>29/09/2026 18:30:42</t>
  </si>
  <si>
    <t>0026012/26</t>
  </si>
  <si>
    <t>599998979281</t>
  </si>
  <si>
    <t>0026014/26</t>
  </si>
  <si>
    <t>599998978498</t>
  </si>
  <si>
    <t>0026016/26</t>
  </si>
  <si>
    <t>599998978208</t>
  </si>
  <si>
    <t>0026018/26</t>
  </si>
  <si>
    <t>29/09/2026 18:30:32</t>
  </si>
  <si>
    <t>0026020/26</t>
  </si>
  <si>
    <t>29/09/2026 18:30:23</t>
  </si>
  <si>
    <t>0026022/26</t>
  </si>
  <si>
    <t>29/09/2026 18:30:15</t>
  </si>
  <si>
    <t>0026024/26</t>
  </si>
  <si>
    <t>599999170399</t>
  </si>
  <si>
    <t>0026026/26</t>
  </si>
  <si>
    <t>29/09/2026 18:30:06</t>
  </si>
  <si>
    <t>0026028/26</t>
  </si>
  <si>
    <t>599998978895</t>
  </si>
  <si>
    <t>0026030/26</t>
  </si>
  <si>
    <t>29/09/2026 18:29:52</t>
  </si>
  <si>
    <t>0026032/26</t>
  </si>
  <si>
    <t>599998979284</t>
  </si>
  <si>
    <t>0026034/26</t>
  </si>
  <si>
    <t>29/09/2026 18:29:29</t>
  </si>
  <si>
    <t>0026036/26</t>
  </si>
  <si>
    <t>599998978508</t>
  </si>
  <si>
    <t>0026038/26</t>
  </si>
  <si>
    <t>29/09/2026 18:29:21</t>
  </si>
  <si>
    <t>0026040/26</t>
  </si>
  <si>
    <t>599998979364</t>
  </si>
  <si>
    <t>0026042/26</t>
  </si>
  <si>
    <t>599999170091</t>
  </si>
  <si>
    <t>0026044/26</t>
  </si>
  <si>
    <t>599999170341</t>
  </si>
  <si>
    <t>0026046/26</t>
  </si>
  <si>
    <t>29/09/2026 18:29:07</t>
  </si>
  <si>
    <t>0026048/26</t>
  </si>
  <si>
    <t>599998978932</t>
  </si>
  <si>
    <t>0026050/26</t>
  </si>
  <si>
    <t>29/09/2026 18:28:54</t>
  </si>
  <si>
    <t>0026052/26</t>
  </si>
  <si>
    <t>599998978984</t>
  </si>
  <si>
    <t>0026054/26</t>
  </si>
  <si>
    <t>29/09/2026 18:28:42</t>
  </si>
  <si>
    <t>0026056/26</t>
  </si>
  <si>
    <t>599999170102</t>
  </si>
  <si>
    <t>0026058/26</t>
  </si>
  <si>
    <t>29/09/2026 18:28:35</t>
  </si>
  <si>
    <t>0026060/26</t>
  </si>
  <si>
    <t>29/09/2026 18:29:40</t>
  </si>
  <si>
    <t>0026062/26</t>
  </si>
  <si>
    <t>V3I6CC0384</t>
  </si>
  <si>
    <t>0026063/26</t>
  </si>
  <si>
    <t>05P7622517</t>
  </si>
  <si>
    <t>0026065/26</t>
  </si>
  <si>
    <t>599998978739</t>
  </si>
  <si>
    <t>0026067/26</t>
  </si>
  <si>
    <t>0026069/26</t>
  </si>
  <si>
    <t>0026071/26</t>
  </si>
  <si>
    <t>599998978814</t>
  </si>
  <si>
    <t>0026073/26</t>
  </si>
  <si>
    <t>0026075/26</t>
  </si>
  <si>
    <t>599998979280</t>
  </si>
  <si>
    <t>0026077/26</t>
  </si>
  <si>
    <t>0026079/26</t>
  </si>
  <si>
    <t>0026081/26</t>
  </si>
  <si>
    <t>599998978945</t>
  </si>
  <si>
    <t>0026083/26</t>
  </si>
  <si>
    <t>0026085/26</t>
  </si>
  <si>
    <t>599999170549</t>
  </si>
  <si>
    <t>0026087/26</t>
  </si>
  <si>
    <t>0026089/26</t>
  </si>
  <si>
    <t>599999170485</t>
  </si>
  <si>
    <t>0026091/26</t>
  </si>
  <si>
    <t>0026093/26</t>
  </si>
  <si>
    <t>0026095/26</t>
  </si>
  <si>
    <t>599998978963</t>
  </si>
  <si>
    <t>0026097/26</t>
  </si>
  <si>
    <t>599998978887</t>
  </si>
  <si>
    <t>0026099/26</t>
  </si>
  <si>
    <t>599998978946</t>
  </si>
  <si>
    <t>0026101/26</t>
  </si>
  <si>
    <t>599998978826</t>
  </si>
  <si>
    <t>0026103/26</t>
  </si>
  <si>
    <t>0026105/26</t>
  </si>
  <si>
    <t>599998978118</t>
  </si>
  <si>
    <t>0026107/26</t>
  </si>
  <si>
    <t>599998978271</t>
  </si>
  <si>
    <t>0026109/26</t>
  </si>
  <si>
    <t>0026111/26</t>
  </si>
  <si>
    <t>0026113/26</t>
  </si>
  <si>
    <t>0026115/26</t>
  </si>
  <si>
    <t>0026117/26</t>
  </si>
  <si>
    <t>0026119/26</t>
  </si>
  <si>
    <t>0026121/26</t>
  </si>
  <si>
    <t>0026123/26</t>
  </si>
  <si>
    <t>0026125/26</t>
  </si>
  <si>
    <t>0026127/26</t>
  </si>
  <si>
    <t>05P7622514</t>
  </si>
  <si>
    <t>30/09/2026</t>
  </si>
  <si>
    <t>10/09/2026</t>
  </si>
  <si>
    <t>08/09/2026</t>
  </si>
  <si>
    <t>09/09/2026</t>
  </si>
  <si>
    <t>14/09/2026</t>
  </si>
  <si>
    <t>11/09/2026</t>
  </si>
  <si>
    <t>17/09/2026</t>
  </si>
  <si>
    <t>14/07/2026</t>
  </si>
  <si>
    <t>15/09/2026</t>
  </si>
  <si>
    <t>25/08/2026</t>
  </si>
  <si>
    <t>0024989/26</t>
  </si>
  <si>
    <t>Desbloqueio de material</t>
  </si>
  <si>
    <t>30/09/2026 13:21:52</t>
  </si>
  <si>
    <t>TROCA DE EMBALAGENS</t>
  </si>
  <si>
    <t>6467-PTM-COR-09/2026</t>
  </si>
  <si>
    <t>0024991/26</t>
  </si>
  <si>
    <t>30/09/2026 13:21:50</t>
  </si>
  <si>
    <t>0024995/26</t>
  </si>
  <si>
    <t>30/09/2026 13:21:46</t>
  </si>
  <si>
    <t>0024997/26</t>
  </si>
  <si>
    <t>30/09/2026 13:21:42</t>
  </si>
  <si>
    <t>0025001/26</t>
  </si>
  <si>
    <t>30/09/2026 13:21:39</t>
  </si>
  <si>
    <t>0025005/26</t>
  </si>
  <si>
    <t>30/09/2026 13:21:36</t>
  </si>
  <si>
    <t>0025007/26</t>
  </si>
  <si>
    <t>30/09/2026 13:21:34</t>
  </si>
  <si>
    <t>0025009/26</t>
  </si>
  <si>
    <t>30/09/2026 13:21:29</t>
  </si>
  <si>
    <t>0025013/26</t>
  </si>
  <si>
    <t>30/09/2026 13:21:26</t>
  </si>
  <si>
    <t>0025017/26</t>
  </si>
  <si>
    <t>30/09/2026 13:21:24</t>
  </si>
  <si>
    <t>0025019/26</t>
  </si>
  <si>
    <t>30/09/2026 13:21:21</t>
  </si>
  <si>
    <t>0025023/26</t>
  </si>
  <si>
    <t>30/09/2026 13:21:17</t>
  </si>
  <si>
    <t>0025025/26</t>
  </si>
  <si>
    <t>30/09/2026 13:21:14</t>
  </si>
  <si>
    <t>0025029/26</t>
  </si>
  <si>
    <t>30/09/2026 13:21:11</t>
  </si>
  <si>
    <t>0025031/26</t>
  </si>
  <si>
    <t>30/09/2026 13:21:09</t>
  </si>
  <si>
    <t>0025033/26</t>
  </si>
  <si>
    <t>30/09/2026 13:21:06</t>
  </si>
  <si>
    <t>0025035/26</t>
  </si>
  <si>
    <t>30/09/2026 13:21:03</t>
  </si>
  <si>
    <t>0025037/26</t>
  </si>
  <si>
    <t>30/09/2026 13:21:01</t>
  </si>
  <si>
    <t>0025039/26</t>
  </si>
  <si>
    <t>30/09/2026 13:20:58</t>
  </si>
  <si>
    <t>0025041/26</t>
  </si>
  <si>
    <t>30/09/2026 13:20:55</t>
  </si>
  <si>
    <t>0025043/26</t>
  </si>
  <si>
    <t>30/09/2026 13:20:53</t>
  </si>
  <si>
    <t>0025049/26</t>
  </si>
  <si>
    <t>30/09/2026 13:20:50</t>
  </si>
  <si>
    <t>0025051/26</t>
  </si>
  <si>
    <t>30/09/2026 13:20:47</t>
  </si>
  <si>
    <t>0025053/26</t>
  </si>
  <si>
    <t>30/09/2026 13:20:44</t>
  </si>
  <si>
    <t>0025057/26</t>
  </si>
  <si>
    <t>30/09/2026 13:20:41</t>
  </si>
  <si>
    <t>0025061/26</t>
  </si>
  <si>
    <t>30/09/2026 13:20:38</t>
  </si>
  <si>
    <t>0025063/26</t>
  </si>
  <si>
    <t>30/09/2026 13:20:35</t>
  </si>
  <si>
    <t>0025067/26</t>
  </si>
  <si>
    <t>30/09/2026 13:20:32</t>
  </si>
  <si>
    <t>0025069/26</t>
  </si>
  <si>
    <t>30/09/2026 13:20:29</t>
  </si>
  <si>
    <t>0025073/26</t>
  </si>
  <si>
    <t>30/09/2026 13:20:25</t>
  </si>
  <si>
    <t>0025077/26</t>
  </si>
  <si>
    <t>30/09/2026 13:20:22</t>
  </si>
  <si>
    <t>0025079/26</t>
  </si>
  <si>
    <t>30/09/2026 13:20:18</t>
  </si>
  <si>
    <t>0025085/26</t>
  </si>
  <si>
    <t>30/09/2026 13:20:15</t>
  </si>
  <si>
    <t>0025091/26</t>
  </si>
  <si>
    <t>30/09/2026 13:20:10</t>
  </si>
  <si>
    <t>0025093/26</t>
  </si>
  <si>
    <t>30/09/2026 13:20:07</t>
  </si>
  <si>
    <t>0025095/26</t>
  </si>
  <si>
    <t>30/09/2026 13:20:03</t>
  </si>
  <si>
    <t>0025097/26</t>
  </si>
  <si>
    <t>30/09/2026 13:20:00</t>
  </si>
  <si>
    <t>0025099/26</t>
  </si>
  <si>
    <t>30/09/2026 13:19:57</t>
  </si>
  <si>
    <t>0025101/26</t>
  </si>
  <si>
    <t>30/09/2026 13:19:53</t>
  </si>
  <si>
    <t>0025103/26</t>
  </si>
  <si>
    <t>30/09/2026 13:19:50</t>
  </si>
  <si>
    <t>0025109/26</t>
  </si>
  <si>
    <t>30/09/2026 13:19:46</t>
  </si>
  <si>
    <t>0025111/26</t>
  </si>
  <si>
    <t>30/09/2026 13:19:37</t>
  </si>
  <si>
    <t>0025113/26</t>
  </si>
  <si>
    <t>30/09/2026 13:19:43</t>
  </si>
  <si>
    <t>30/09/2026 09:49:06</t>
  </si>
  <si>
    <t>30/09/2026 09:51:18</t>
  </si>
  <si>
    <t>30/09/2026 09:51:50</t>
  </si>
  <si>
    <t>30/09/2026 09:52:22</t>
  </si>
  <si>
    <t>30/09/2026 09:48:32</t>
  </si>
  <si>
    <t>30/09/2026 09:48:01</t>
  </si>
  <si>
    <t>30/09/2026 09:41:13</t>
  </si>
  <si>
    <t>30/09/2026 09:47:31</t>
  </si>
  <si>
    <t>30/09/2026 09:41:59</t>
  </si>
  <si>
    <t>30/09/2026 09:40:35</t>
  </si>
  <si>
    <t>30/09/2026 09:42:45</t>
  </si>
  <si>
    <t>30/09/2026 09:21:06</t>
  </si>
  <si>
    <t>30/09/2026 09:27:17</t>
  </si>
  <si>
    <t>30/09/2026 09:25:41</t>
  </si>
  <si>
    <t>30/09/2026 09:20:32</t>
  </si>
  <si>
    <t>30/09/2026 09:25:15</t>
  </si>
  <si>
    <t>30/09/2026 09:19:56</t>
  </si>
  <si>
    <t>30/09/2026 09:50:46</t>
  </si>
  <si>
    <t>30/09/2026 09:53:02</t>
  </si>
  <si>
    <t>30/09/2026 09:50:15</t>
  </si>
  <si>
    <t>30/09/2026 09:07:56</t>
  </si>
  <si>
    <t>30/09/2026 09:07:06</t>
  </si>
  <si>
    <t>30/09/2026 09:06:23</t>
  </si>
  <si>
    <t>30/09/2026 09:29:23</t>
  </si>
  <si>
    <t>30/09/2026 09:43:18</t>
  </si>
  <si>
    <t>30/09/2026 09:28:47</t>
  </si>
  <si>
    <t>30/09/2026 09:32:52</t>
  </si>
  <si>
    <t>30/09/2026 09:28:17</t>
  </si>
  <si>
    <t>30/09/2026 09:30:25</t>
  </si>
  <si>
    <t>30/09/2026 09:29:54</t>
  </si>
  <si>
    <t>30/09/2026 09:27:50</t>
  </si>
  <si>
    <t>30/09/2026 09:03:25</t>
  </si>
  <si>
    <t>30/09/2026 09:04:00</t>
  </si>
  <si>
    <t>30/09/2026 09:00:52</t>
  </si>
  <si>
    <t>30/09/2026 09:05:55</t>
  </si>
  <si>
    <t>30/09/2026 09:01:23</t>
  </si>
  <si>
    <t>30/09/2026 09:05:12</t>
  </si>
  <si>
    <t>30/09/2026 09:02:51</t>
  </si>
  <si>
    <t>30/09/2026 09:02:23</t>
  </si>
  <si>
    <t>30/09/2026 09:04:42</t>
  </si>
  <si>
    <t>30/09/2026 08:54:38</t>
  </si>
  <si>
    <t>30/09/2026 10:41:04</t>
  </si>
  <si>
    <t>QB04-PM</t>
  </si>
  <si>
    <t>30/09/2026 10:52:30</t>
  </si>
  <si>
    <t>30/09/2026 10:54:02</t>
  </si>
  <si>
    <t>30/09/2026 10:53:16</t>
  </si>
  <si>
    <t>30/09/2026 10:54:48</t>
  </si>
  <si>
    <t>30/09/2026 10:33:55</t>
  </si>
  <si>
    <t>30/09/2026 10:47:14</t>
  </si>
  <si>
    <t>30/09/2026 10:34:53</t>
  </si>
  <si>
    <t>30/09/2026 10:37:06</t>
  </si>
  <si>
    <t>30/09/2026 11:01:56</t>
  </si>
  <si>
    <t>30/09/2026 11:04:27</t>
  </si>
  <si>
    <t>30/09/2026 11:37:49</t>
  </si>
  <si>
    <t>30/09/2026 11:03:07</t>
  </si>
  <si>
    <t>30/09/2026 11:39:57</t>
  </si>
  <si>
    <t>30/09/2026 10:38:58</t>
  </si>
  <si>
    <t>30/09/2026 10:41:47</t>
  </si>
  <si>
    <t>30/09/2026 10:40:24</t>
  </si>
  <si>
    <t>30/09/2026 10:50:20</t>
  </si>
  <si>
    <t>30/09/2026 10:39:40</t>
  </si>
  <si>
    <t>30/09/2026 10:51:36</t>
  </si>
  <si>
    <t>30/09/2026 10:55:41</t>
  </si>
  <si>
    <t>0026129/26</t>
  </si>
  <si>
    <t>599998978219</t>
  </si>
  <si>
    <t>V3I6CC0385</t>
  </si>
  <si>
    <t>JOHNE ROSA SILVA</t>
  </si>
  <si>
    <t>0026131/26</t>
  </si>
  <si>
    <t>0026133/26</t>
  </si>
  <si>
    <t>599998978572</t>
  </si>
  <si>
    <t>0026135/26</t>
  </si>
  <si>
    <t>599998978111</t>
  </si>
  <si>
    <t>0026137/26</t>
  </si>
  <si>
    <t>0026139/26</t>
  </si>
  <si>
    <t>30/09/2026 10:57:56</t>
  </si>
  <si>
    <t>0026140/26</t>
  </si>
  <si>
    <t>30/09/2026 10:58:05</t>
  </si>
  <si>
    <t>0026141/26</t>
  </si>
  <si>
    <t>30/09/2026 10:57:48</t>
  </si>
  <si>
    <t>V1I6BC0076</t>
  </si>
  <si>
    <t>7392695-321004</t>
  </si>
  <si>
    <t>0026145/26</t>
  </si>
  <si>
    <t>30/09/2026 09:02:31</t>
  </si>
  <si>
    <t>0026146/26</t>
  </si>
  <si>
    <t>0026147/26</t>
  </si>
  <si>
    <t>30/09/2026 09:01:49</t>
  </si>
  <si>
    <t>0026148/26</t>
  </si>
  <si>
    <t>30/09/2026 09:01:41</t>
  </si>
  <si>
    <t>0026149/26</t>
  </si>
  <si>
    <t>0026150/26</t>
  </si>
  <si>
    <t>0026151/26</t>
  </si>
  <si>
    <t>30/09/2026 09:02:21</t>
  </si>
  <si>
    <t>0026152/26</t>
  </si>
  <si>
    <t>30/09/2026 09:02:13</t>
  </si>
  <si>
    <t>0026153/26</t>
  </si>
  <si>
    <t>0026154/26</t>
  </si>
  <si>
    <t>30/09/2026 09:02:05</t>
  </si>
  <si>
    <t>0026155/26</t>
  </si>
  <si>
    <t>0026156/26</t>
  </si>
  <si>
    <t>0026157/26</t>
  </si>
  <si>
    <t>0026158/26</t>
  </si>
  <si>
    <t>0026159/26</t>
  </si>
  <si>
    <t>0026160/26</t>
  </si>
  <si>
    <t>0026161/26</t>
  </si>
  <si>
    <t>30/09/2026 09:01:57</t>
  </si>
  <si>
    <t>0026162/26</t>
  </si>
  <si>
    <t>0026163/26</t>
  </si>
  <si>
    <t>0026164/26</t>
  </si>
  <si>
    <t>30/09/2026 09:03:21</t>
  </si>
  <si>
    <t>0026165/26</t>
  </si>
  <si>
    <t>30/09/2026 09:03:12</t>
  </si>
  <si>
    <t>0026166/26</t>
  </si>
  <si>
    <t>0026167/26</t>
  </si>
  <si>
    <t>30/09/2026 09:03:04</t>
  </si>
  <si>
    <t>0026168/26</t>
  </si>
  <si>
    <t>0026169/26</t>
  </si>
  <si>
    <t>30/09/2026 09:03:39</t>
  </si>
  <si>
    <t>0026170/26</t>
  </si>
  <si>
    <t>30/09/2026 09:03:30</t>
  </si>
  <si>
    <t>0026171/26</t>
  </si>
  <si>
    <t>30/09/2026 09:02:58</t>
  </si>
  <si>
    <t>0026172/26</t>
  </si>
  <si>
    <t>30/09/2026 09:02:49</t>
  </si>
  <si>
    <t>0026173/26</t>
  </si>
  <si>
    <t>30/09/2026 09:02:39</t>
  </si>
  <si>
    <t>0026174/26</t>
  </si>
  <si>
    <t>0026175/26</t>
  </si>
  <si>
    <t>30/09/2026 09:01:16</t>
  </si>
  <si>
    <t>0026176/26</t>
  </si>
  <si>
    <t>30/09/2026 09:01:07</t>
  </si>
  <si>
    <t>0026177/26</t>
  </si>
  <si>
    <t>0026178/26</t>
  </si>
  <si>
    <t>0026179/26</t>
  </si>
  <si>
    <t>30/09/2026 09:01:33</t>
  </si>
  <si>
    <t>0026180/26</t>
  </si>
  <si>
    <t>30/09/2026 09:01:24</t>
  </si>
  <si>
    <t>0026181/26</t>
  </si>
  <si>
    <t>599998978809</t>
  </si>
  <si>
    <t>0026183/26</t>
  </si>
  <si>
    <t>0026185/26</t>
  </si>
  <si>
    <t>599998978273</t>
  </si>
  <si>
    <t>0026187/26</t>
  </si>
  <si>
    <t>0026189/26</t>
  </si>
  <si>
    <t>599998978270</t>
  </si>
  <si>
    <t>0026191/26</t>
  </si>
  <si>
    <t>0026193/26</t>
  </si>
  <si>
    <t>599998978797</t>
  </si>
  <si>
    <t>0026195/26</t>
  </si>
  <si>
    <t>0026197/26</t>
  </si>
  <si>
    <t>0026199/26</t>
  </si>
  <si>
    <t>0026201/26</t>
  </si>
  <si>
    <t>599998978274</t>
  </si>
  <si>
    <t>0026203/26</t>
  </si>
  <si>
    <t>0026205/26</t>
  </si>
  <si>
    <t>0026207/26</t>
  </si>
  <si>
    <t>599998979217</t>
  </si>
  <si>
    <t>0026209/26</t>
  </si>
  <si>
    <t>0026211/26</t>
  </si>
  <si>
    <t>0026213/26</t>
  </si>
  <si>
    <t>599998978825</t>
  </si>
  <si>
    <t>0026215/26</t>
  </si>
  <si>
    <t>599998978838</t>
  </si>
  <si>
    <t>0026217/26</t>
  </si>
  <si>
    <t>0026219/26</t>
  </si>
  <si>
    <t>599998978275</t>
  </si>
  <si>
    <t>0026221/26</t>
  </si>
  <si>
    <t>599998979344</t>
  </si>
  <si>
    <t>0026223/26</t>
  </si>
  <si>
    <t>0026225/26</t>
  </si>
  <si>
    <t>599998978842</t>
  </si>
  <si>
    <t>0026227/26</t>
  </si>
  <si>
    <t>599998978272</t>
  </si>
  <si>
    <t>0026229/26</t>
  </si>
  <si>
    <t>599999170414</t>
  </si>
  <si>
    <t>0026231/26</t>
  </si>
  <si>
    <t>599998978837</t>
  </si>
  <si>
    <t>0026233/26</t>
  </si>
  <si>
    <t>599998978974</t>
  </si>
  <si>
    <t>V3I6CC0386</t>
  </si>
  <si>
    <t>0026235/26</t>
  </si>
  <si>
    <t>0026237/26</t>
  </si>
  <si>
    <t>599998978937</t>
  </si>
  <si>
    <t>0026239/26</t>
  </si>
  <si>
    <t>0026241/26</t>
  </si>
  <si>
    <t>599998978715</t>
  </si>
  <si>
    <t>0026243/26</t>
  </si>
  <si>
    <t>0026245/26</t>
  </si>
  <si>
    <t>599998979270</t>
  </si>
  <si>
    <t>0026247/26</t>
  </si>
  <si>
    <t>0026249/26</t>
  </si>
  <si>
    <t>599998979275</t>
  </si>
  <si>
    <t>0026251/26</t>
  </si>
  <si>
    <t>599998978845</t>
  </si>
  <si>
    <t>0026253/26</t>
  </si>
  <si>
    <t>599998979782</t>
  </si>
  <si>
    <t>0026255/26</t>
  </si>
  <si>
    <t>0026257/26</t>
  </si>
  <si>
    <t>599998979255</t>
  </si>
  <si>
    <t>0026259/26</t>
  </si>
  <si>
    <t>599998978424</t>
  </si>
  <si>
    <t>0026261/26</t>
  </si>
  <si>
    <t>0026263/26</t>
  </si>
  <si>
    <t>599999169790</t>
  </si>
  <si>
    <t>0026265/26</t>
  </si>
  <si>
    <t>0026267/26</t>
  </si>
  <si>
    <t>599998978434</t>
  </si>
  <si>
    <t>0026269/26</t>
  </si>
  <si>
    <t>05P7643448</t>
  </si>
  <si>
    <t>0026271/26</t>
  </si>
  <si>
    <t>05P7622470</t>
  </si>
  <si>
    <t>0026272/26</t>
  </si>
  <si>
    <t>599999709600</t>
  </si>
  <si>
    <t>0026273/26</t>
  </si>
  <si>
    <t>599999709601</t>
  </si>
  <si>
    <t>0026274/26</t>
  </si>
  <si>
    <t>599999680998</t>
  </si>
  <si>
    <t>0026275/26</t>
  </si>
  <si>
    <t>599999681049</t>
  </si>
  <si>
    <t>0026276/26</t>
  </si>
  <si>
    <t>599999709602</t>
  </si>
  <si>
    <t>0026277/26</t>
  </si>
  <si>
    <t>599999681043</t>
  </si>
  <si>
    <t>0026278/26</t>
  </si>
  <si>
    <t>0026280/26</t>
  </si>
  <si>
    <t>0026282/26</t>
  </si>
  <si>
    <t>599999680994</t>
  </si>
  <si>
    <t>0026283/26</t>
  </si>
  <si>
    <t>30/09/2026 13:07:27</t>
  </si>
  <si>
    <t>0026284/26</t>
  </si>
  <si>
    <t>0026285/26</t>
  </si>
  <si>
    <t>30/09/2026 13:07:28</t>
  </si>
  <si>
    <t>0026286/26</t>
  </si>
  <si>
    <t>0026287/26</t>
  </si>
  <si>
    <t>0026288/26</t>
  </si>
  <si>
    <t>30/09/2026 13:07:29</t>
  </si>
  <si>
    <t>0026289/26</t>
  </si>
  <si>
    <t>0026290/26</t>
  </si>
  <si>
    <t>0026291/26</t>
  </si>
  <si>
    <t>30/09/2026 13:07:30</t>
  </si>
  <si>
    <t>0026292/26</t>
  </si>
  <si>
    <t>0026293/26</t>
  </si>
  <si>
    <t>0026294/26</t>
  </si>
  <si>
    <t>30/09/2026 13:07:31</t>
  </si>
  <si>
    <t>0026295/26</t>
  </si>
  <si>
    <t>0026296/26</t>
  </si>
  <si>
    <t>0026297/26</t>
  </si>
  <si>
    <t>30/09/2026 13:07:32</t>
  </si>
  <si>
    <t>0026298/26</t>
  </si>
  <si>
    <t>0026299/26</t>
  </si>
  <si>
    <t>30/09/2026 13:07:33</t>
  </si>
  <si>
    <t>0026300/26</t>
  </si>
  <si>
    <t>0026301/26</t>
  </si>
  <si>
    <t>0026302/26</t>
  </si>
  <si>
    <t>30/09/2026 13:07:34</t>
  </si>
  <si>
    <t>0026303/26</t>
  </si>
  <si>
    <t>0026304/26</t>
  </si>
  <si>
    <t>0026305/26</t>
  </si>
  <si>
    <t>30/09/2026 13:07:35</t>
  </si>
  <si>
    <t>0026306/26</t>
  </si>
  <si>
    <t>0026307/26</t>
  </si>
  <si>
    <t>0026308/26</t>
  </si>
  <si>
    <t>30/09/2026 13:07:36</t>
  </si>
  <si>
    <t>0026309/26</t>
  </si>
  <si>
    <t>0026310/26</t>
  </si>
  <si>
    <t>30/09/2026 13:07:37</t>
  </si>
  <si>
    <t>0026311/26</t>
  </si>
  <si>
    <t>0026312/26</t>
  </si>
  <si>
    <t>0026313/26</t>
  </si>
  <si>
    <t>30/09/2026 13:07:38</t>
  </si>
  <si>
    <t>0026314/26</t>
  </si>
  <si>
    <t>0026315/26</t>
  </si>
  <si>
    <t>30/09/2026 13:07:39</t>
  </si>
  <si>
    <t>0026316/26</t>
  </si>
  <si>
    <t>0026317/26</t>
  </si>
  <si>
    <t>0026318/26</t>
  </si>
  <si>
    <t>30/09/2026 13:07:40</t>
  </si>
  <si>
    <t>0026319/26</t>
  </si>
  <si>
    <t>0026320/26</t>
  </si>
  <si>
    <t>0026321/26</t>
  </si>
  <si>
    <t>30/09/2026 13:07:41</t>
  </si>
  <si>
    <t>0026322/26</t>
  </si>
  <si>
    <t>599999681067</t>
  </si>
  <si>
    <t>0026324/26</t>
  </si>
  <si>
    <t>599999709597</t>
  </si>
  <si>
    <t>0026326/26</t>
  </si>
  <si>
    <t>599999680978</t>
  </si>
  <si>
    <t>V3I6CC0387</t>
  </si>
  <si>
    <t>0026328/26</t>
  </si>
  <si>
    <t>30/09/2026 13:18:22</t>
  </si>
  <si>
    <t>0026330/26</t>
  </si>
  <si>
    <t>599999681047</t>
  </si>
  <si>
    <t>0026332/26</t>
  </si>
  <si>
    <t>599999709589</t>
  </si>
  <si>
    <t>0026334/26</t>
  </si>
  <si>
    <t>30/09/2026 13:21:57</t>
  </si>
  <si>
    <t>599999681055</t>
  </si>
  <si>
    <t>0026335/26</t>
  </si>
  <si>
    <t>0026336/26</t>
  </si>
  <si>
    <t>30/09/2026 13:23:44</t>
  </si>
  <si>
    <t>0026338/26</t>
  </si>
  <si>
    <t>30/09/2026 13:24:28</t>
  </si>
  <si>
    <t>599999680970</t>
  </si>
  <si>
    <t>0026339/26</t>
  </si>
  <si>
    <t>0026340/26</t>
  </si>
  <si>
    <t>30/09/2026 13:26:30</t>
  </si>
  <si>
    <t>599999709576</t>
  </si>
  <si>
    <t>0026341/26</t>
  </si>
  <si>
    <t>0026342/26</t>
  </si>
  <si>
    <t>30/09/2026 13:29:13</t>
  </si>
  <si>
    <t>0026344/26</t>
  </si>
  <si>
    <t>30/09/2026 13:29:41</t>
  </si>
  <si>
    <t>599999681088</t>
  </si>
  <si>
    <t>0026345/26</t>
  </si>
  <si>
    <t>0026346/26</t>
  </si>
  <si>
    <t>30/09/2026 13:33:40</t>
  </si>
  <si>
    <t>599999680992</t>
  </si>
  <si>
    <t>0026347/26</t>
  </si>
  <si>
    <t>0026348/26</t>
  </si>
  <si>
    <t>30/09/2026 13:35:12</t>
  </si>
  <si>
    <t>0026350/26</t>
  </si>
  <si>
    <t>30/09/2026 13:39:51</t>
  </si>
  <si>
    <t>599999709587</t>
  </si>
  <si>
    <t>0026351/26</t>
  </si>
  <si>
    <t>0026352/26</t>
  </si>
  <si>
    <t>30/09/2026 13:41:12</t>
  </si>
  <si>
    <t>0026354/26</t>
  </si>
  <si>
    <t>30/09/2026 13:42:30</t>
  </si>
  <si>
    <t>599999680999</t>
  </si>
  <si>
    <t>0026355/26</t>
  </si>
  <si>
    <t>0026356/26</t>
  </si>
  <si>
    <t>30/09/2026 13:46:46</t>
  </si>
  <si>
    <t>599999709579</t>
  </si>
  <si>
    <t>0026357/26</t>
  </si>
  <si>
    <t>0026358/26</t>
  </si>
  <si>
    <t>30/09/2026 13:48:36</t>
  </si>
  <si>
    <t>0026360/26</t>
  </si>
  <si>
    <t>30/09/2026 13:53:18</t>
  </si>
  <si>
    <t>599999680954</t>
  </si>
  <si>
    <t>0026361/26</t>
  </si>
  <si>
    <t>0026362/26</t>
  </si>
  <si>
    <t>30/09/2026 13:53:59</t>
  </si>
  <si>
    <t>0026364/26</t>
  </si>
  <si>
    <t>30/09/2026 13:59:33</t>
  </si>
  <si>
    <t>0026365/26</t>
  </si>
  <si>
    <t>05P7626435</t>
  </si>
  <si>
    <t>0026366/26</t>
  </si>
  <si>
    <t>30/09/2026 14:04:13</t>
  </si>
  <si>
    <t>0026367/26</t>
  </si>
  <si>
    <t>0026368/26</t>
  </si>
  <si>
    <t>30/09/2026 14:04:14</t>
  </si>
  <si>
    <t>0026369/26</t>
  </si>
  <si>
    <t>05P7622469</t>
  </si>
  <si>
    <t>0026370/26</t>
  </si>
  <si>
    <t>599998978519</t>
  </si>
  <si>
    <t>0026372/26</t>
  </si>
  <si>
    <t>599998979773</t>
  </si>
  <si>
    <t>0026374/26</t>
  </si>
  <si>
    <t>599998979769</t>
  </si>
  <si>
    <t>0026376/26</t>
  </si>
  <si>
    <t>30/09/2026 14:20:12</t>
  </si>
  <si>
    <t>0026377/26</t>
  </si>
  <si>
    <t>0026378/26</t>
  </si>
  <si>
    <t>599998979852</t>
  </si>
  <si>
    <t>05P7626432</t>
  </si>
  <si>
    <t>28/08/2026</t>
  </si>
  <si>
    <t>CF1-06</t>
  </si>
  <si>
    <t>30/09/2026 16:36:29</t>
  </si>
  <si>
    <t>30/09/2026 16:36:32</t>
  </si>
  <si>
    <t>30/09/2026 16:36:42</t>
  </si>
  <si>
    <t>30/09/2026 16:36:16</t>
  </si>
  <si>
    <t>30/09/2026 16:36:21</t>
  </si>
  <si>
    <t>30/09/2026 16:36:45</t>
  </si>
  <si>
    <t>30/09/2026 16:36:39</t>
  </si>
  <si>
    <t>30/09/2026 16:36:26</t>
  </si>
  <si>
    <t>30/09/2026 16:36:24</t>
  </si>
  <si>
    <t>30/09/2026 16:36:18</t>
  </si>
  <si>
    <t>30/09/2026 16:36:36</t>
  </si>
  <si>
    <t>30/09/2026 16:36:34</t>
  </si>
  <si>
    <t>30/09/2026 16:36:11</t>
  </si>
  <si>
    <t>30/09/2026 16:33:29</t>
  </si>
  <si>
    <t>30/09/2026 16:36:03</t>
  </si>
  <si>
    <t>30/09/2026 16:37:02</t>
  </si>
  <si>
    <t>30/09/2026 16:34:54</t>
  </si>
  <si>
    <t>30/09/2026 14:34:32</t>
  </si>
  <si>
    <t>30/09/2026 14:34:40</t>
  </si>
  <si>
    <t>30/09/2026 14:33:27</t>
  </si>
  <si>
    <t>30/09/2026 14:34:56</t>
  </si>
  <si>
    <t>30/09/2026 14:33:36</t>
  </si>
  <si>
    <t>30/09/2026 14:33:15</t>
  </si>
  <si>
    <t>30/09/2026 14:34:48</t>
  </si>
  <si>
    <t>30/09/2026 14:33:54</t>
  </si>
  <si>
    <t>30/09/2026 14:35:37</t>
  </si>
  <si>
    <t>30/09/2026 14:35:22</t>
  </si>
  <si>
    <t>30/09/2026 14:33:45</t>
  </si>
  <si>
    <t>30/09/2026 14:34:12</t>
  </si>
  <si>
    <t>30/09/2026 14:35:06</t>
  </si>
  <si>
    <t>30/09/2026 14:35:14</t>
  </si>
  <si>
    <t>30/09/2026 14:35:31</t>
  </si>
  <si>
    <t>30/09/2026 14:34:22</t>
  </si>
  <si>
    <t>30/09/2026 14:34:03</t>
  </si>
  <si>
    <t>30/09/2026 16:36:53</t>
  </si>
  <si>
    <t>30/09/2026 16:32:52</t>
  </si>
  <si>
    <t>30/09/2026 16:37:05</t>
  </si>
  <si>
    <t>30/09/2026 16:29:15</t>
  </si>
  <si>
    <t>30/09/2026 16:36:57</t>
  </si>
  <si>
    <t>30/09/2026 16:34:14</t>
  </si>
  <si>
    <t>30/09/2026 16:37:08</t>
  </si>
  <si>
    <t>30/09/2026 16:31:25</t>
  </si>
  <si>
    <t>30/09/2026 16:29:59</t>
  </si>
  <si>
    <t>30/09/2026 16:30:38</t>
  </si>
  <si>
    <t>30/09/2026 16:36:59</t>
  </si>
  <si>
    <t>30/09/2026 16:32:03</t>
  </si>
  <si>
    <t>30/09/2026 16:37:27</t>
  </si>
  <si>
    <t>30/09/2026 16:37:10</t>
  </si>
  <si>
    <t>30/09/2026 16:36:47</t>
  </si>
  <si>
    <t>30/09/2026 16:38:11</t>
  </si>
  <si>
    <t>30/09/2026 16:36:50</t>
  </si>
  <si>
    <t>30/09/2026 16:38:47</t>
  </si>
  <si>
    <t>30/09/2026 16:36:06</t>
  </si>
  <si>
    <t>30/09/2026 16:36:08</t>
  </si>
  <si>
    <t>30/09/2026 16:35:36</t>
  </si>
  <si>
    <t>30/09/2026 16:36:13</t>
  </si>
  <si>
    <t>30/09/2026 16:37:47</t>
  </si>
  <si>
    <t>30/09/2026 16:37:37</t>
  </si>
  <si>
    <t>30/09/2026 16:37:44</t>
  </si>
  <si>
    <t>30/09/2026 16:37:34</t>
  </si>
  <si>
    <t>30/09/2026 16:24:47</t>
  </si>
  <si>
    <t>30/09/2026 16:37:42</t>
  </si>
  <si>
    <t>30/09/2026 16:26:09</t>
  </si>
  <si>
    <t>30/09/2026 16:37:32</t>
  </si>
  <si>
    <t>30/09/2026 16:24:03</t>
  </si>
  <si>
    <t>30/09/2026 16:37:39</t>
  </si>
  <si>
    <t>30/09/2026 16:25:26</t>
  </si>
  <si>
    <t>30/09/2026 16:37:26</t>
  </si>
  <si>
    <t>30/09/2026 16:37:18</t>
  </si>
  <si>
    <t>30/09/2026 16:37:16</t>
  </si>
  <si>
    <t>30/09/2026 16:19:27</t>
  </si>
  <si>
    <t>30/09/2026 16:37:29</t>
  </si>
  <si>
    <t>30/09/2026 16:37:23</t>
  </si>
  <si>
    <t>30/09/2026 16:20:24</t>
  </si>
  <si>
    <t>30/09/2026 16:37:13</t>
  </si>
  <si>
    <t>30/09/2026 16:22:03</t>
  </si>
  <si>
    <t>30/09/2026 16:37:21</t>
  </si>
  <si>
    <t>30/09/2026 16:22:50</t>
  </si>
  <si>
    <t>30/09/2026 14:35:48</t>
  </si>
  <si>
    <t>CF1-05</t>
  </si>
  <si>
    <t>30/09/2026 17:25:47</t>
  </si>
  <si>
    <t>30/09/2026 17:08:03</t>
  </si>
  <si>
    <t>30/09/2026 17:09:25</t>
  </si>
  <si>
    <t>30/09/2026 17:08:58</t>
  </si>
  <si>
    <t>30/09/2026 17:07:32</t>
  </si>
  <si>
    <t>30/09/2026 17:08:32</t>
  </si>
  <si>
    <t>30/09/2026 16:42:06</t>
  </si>
  <si>
    <t>30/09/2026 16:42:47</t>
  </si>
  <si>
    <t>30/09/2026 17:26:26</t>
  </si>
  <si>
    <t>30/09/2026 17:04:04</t>
  </si>
  <si>
    <t>30/09/2026 17:02:44</t>
  </si>
  <si>
    <t>30/09/2026 17:03:11</t>
  </si>
  <si>
    <t>30/09/2026 17:05:09</t>
  </si>
  <si>
    <t>30/09/2026 17:06:02</t>
  </si>
  <si>
    <t>30/09/2026 17:03:38</t>
  </si>
  <si>
    <t>30/09/2026 17:04:40</t>
  </si>
  <si>
    <t>30/09/2026 17:06:45</t>
  </si>
  <si>
    <t>30/09/2026 17:24:10</t>
  </si>
  <si>
    <t>30/09/2026 17:25:00</t>
  </si>
  <si>
    <t>30/09/2026 17:10:16</t>
  </si>
  <si>
    <t>30/09/2026 17:05:35</t>
  </si>
  <si>
    <t>30/09/2026 17:27:14</t>
  </si>
  <si>
    <t>30/09/2026 17:11:13</t>
  </si>
  <si>
    <t>30/09/2026 15:58:28</t>
  </si>
  <si>
    <t>30/09/2026 19:23:35</t>
  </si>
  <si>
    <t>30/09/2026 19:24:17</t>
  </si>
  <si>
    <t>30/09/2026 19:23:11</t>
  </si>
  <si>
    <t>30/09/2026 19:28:11</t>
  </si>
  <si>
    <t>0026380/26</t>
  </si>
  <si>
    <t>30/09/2026 19:28:37</t>
  </si>
  <si>
    <t>599999169939</t>
  </si>
  <si>
    <t>0026382/26</t>
  </si>
  <si>
    <t>30/09/2026 19:22:47</t>
  </si>
  <si>
    <t>599998979778</t>
  </si>
  <si>
    <t>0026384/26</t>
  </si>
  <si>
    <t>30/09/2026 19:29:03</t>
  </si>
  <si>
    <t>599998979360</t>
  </si>
  <si>
    <t>0026386/26</t>
  </si>
  <si>
    <t>30/09/2026 19:27:43</t>
  </si>
  <si>
    <t>599998979780</t>
  </si>
  <si>
    <t>0026388/26</t>
  </si>
  <si>
    <t>30/09/2026 19:27:12</t>
  </si>
  <si>
    <t>599998979845</t>
  </si>
  <si>
    <t>0026390/26</t>
  </si>
  <si>
    <t>30/09/2026 19:25:52</t>
  </si>
  <si>
    <t>599998979777</t>
  </si>
  <si>
    <t>0026392/26</t>
  </si>
  <si>
    <t>30/09/2026 19:25:29</t>
  </si>
  <si>
    <t>599998979361</t>
  </si>
  <si>
    <t>0026394/26</t>
  </si>
  <si>
    <t>30/09/2026 19:26:47</t>
  </si>
  <si>
    <t>599999169932</t>
  </si>
  <si>
    <t>0026396/26</t>
  </si>
  <si>
    <t>30/09/2026 19:26:16</t>
  </si>
  <si>
    <t>599999169815</t>
  </si>
  <si>
    <t>V3I6CC0397</t>
  </si>
  <si>
    <t>0026398/26</t>
  </si>
  <si>
    <t>01/10/2026 08:26:39</t>
  </si>
  <si>
    <t>0026400/26</t>
  </si>
  <si>
    <t>30/09/2026 19:25:06</t>
  </si>
  <si>
    <t>599999169834</t>
  </si>
  <si>
    <t>0026402/26</t>
  </si>
  <si>
    <t>01/10/2026 08:26:06</t>
  </si>
  <si>
    <t>0026404/26</t>
  </si>
  <si>
    <t>30/09/2026 19:24:40</t>
  </si>
  <si>
    <t>599999169817</t>
  </si>
  <si>
    <t>0026406/26</t>
  </si>
  <si>
    <t>30/09/2026 19:29:27</t>
  </si>
  <si>
    <t>599999169830</t>
  </si>
  <si>
    <t>0026408/26</t>
  </si>
  <si>
    <t>30/09/2026 19:30:45</t>
  </si>
  <si>
    <t>599999169813</t>
  </si>
  <si>
    <t>0026410/26</t>
  </si>
  <si>
    <t>30/09/2026 19:30:00</t>
  </si>
  <si>
    <t>599999169814</t>
  </si>
  <si>
    <t>0026412/26</t>
  </si>
  <si>
    <t>01/10/2026 08:28:10</t>
  </si>
  <si>
    <t>0026414/26</t>
  </si>
  <si>
    <t>01/10/2026 08:08:10</t>
  </si>
  <si>
    <t>599999169820</t>
  </si>
  <si>
    <t>0026416/26</t>
  </si>
  <si>
    <t>01/10/2026 08:27:39</t>
  </si>
  <si>
    <t>0026418/26</t>
  </si>
  <si>
    <t>01/10/2026 08:25:30</t>
  </si>
  <si>
    <t>0026420/26</t>
  </si>
  <si>
    <t>30/09/2026 17:45:03</t>
  </si>
  <si>
    <t>0026421/26</t>
  </si>
  <si>
    <t>01/10/2026 08:27:11</t>
  </si>
  <si>
    <t>0026422/26</t>
  </si>
  <si>
    <t>30/09/2026 16:02:49</t>
  </si>
  <si>
    <t>0026423/26</t>
  </si>
  <si>
    <t>01/10/2026 08:29:12</t>
  </si>
  <si>
    <t>0026424/26</t>
  </si>
  <si>
    <t>30/09/2026 16:07:27</t>
  </si>
  <si>
    <t>05P7622454</t>
  </si>
  <si>
    <t>0026425/26</t>
  </si>
  <si>
    <t>30/09/2026 16:07:56</t>
  </si>
  <si>
    <t>6525-PTM-COR-09/2026</t>
  </si>
  <si>
    <t>599998978964</t>
  </si>
  <si>
    <t>0026426/26</t>
  </si>
  <si>
    <t>01/10/2026 08:31:52</t>
  </si>
  <si>
    <t>0026427/26</t>
  </si>
  <si>
    <t>30/09/2026 16:11:17</t>
  </si>
  <si>
    <t>0026428/26</t>
  </si>
  <si>
    <t>30/09/2026 16:16:00</t>
  </si>
  <si>
    <t>599998978891</t>
  </si>
  <si>
    <t>0026430/26</t>
  </si>
  <si>
    <t>01/10/2026 08:29:43</t>
  </si>
  <si>
    <t>0026431/26</t>
  </si>
  <si>
    <t>30/09/2026 16:16:44</t>
  </si>
  <si>
    <t>0026432/26</t>
  </si>
  <si>
    <t>30/09/2026 16:22:55</t>
  </si>
  <si>
    <t>599998978928</t>
  </si>
  <si>
    <t>0026434/26</t>
  </si>
  <si>
    <t>01/10/2026 08:28:40</t>
  </si>
  <si>
    <t>0026435/26</t>
  </si>
  <si>
    <t>30/09/2026 16:23:03</t>
  </si>
  <si>
    <t>0026436/26</t>
  </si>
  <si>
    <t>30/09/2026 16:26:33</t>
  </si>
  <si>
    <t>599998978849</t>
  </si>
  <si>
    <t>0026438/26</t>
  </si>
  <si>
    <t>30/09/2026 16:34:41</t>
  </si>
  <si>
    <t>599998978836</t>
  </si>
  <si>
    <t>0026440/26</t>
  </si>
  <si>
    <t>30/09/2026 16:40:35</t>
  </si>
  <si>
    <t>599998978830</t>
  </si>
  <si>
    <t>0026442/26</t>
  </si>
  <si>
    <t>30/09/2026 16:44:52</t>
  </si>
  <si>
    <t>599999169828</t>
  </si>
  <si>
    <t>0026444/26</t>
  </si>
  <si>
    <t>30/09/2026 16:50:05</t>
  </si>
  <si>
    <t>599999169827</t>
  </si>
  <si>
    <t>0026446/26</t>
  </si>
  <si>
    <t>30/09/2026 16:58:21</t>
  </si>
  <si>
    <t>599998978156</t>
  </si>
  <si>
    <t>0026448/26</t>
  </si>
  <si>
    <t>30/09/2026 17:01:23</t>
  </si>
  <si>
    <t>599998979219</t>
  </si>
  <si>
    <t>0026450/26</t>
  </si>
  <si>
    <t>30/09/2026 17:07:57</t>
  </si>
  <si>
    <t>599998978841</t>
  </si>
  <si>
    <t>0026452/26</t>
  </si>
  <si>
    <t>30/09/2026 17:10:43</t>
  </si>
  <si>
    <t>599998979254</t>
  </si>
  <si>
    <t>OSCARLINO ROSA MAGALHAES</t>
  </si>
  <si>
    <t>0026454/26</t>
  </si>
  <si>
    <t>01/10/2026 07:52:37</t>
  </si>
  <si>
    <t>6493-PTM-COR-09/2026</t>
  </si>
  <si>
    <t>0026455/26</t>
  </si>
  <si>
    <t>0026456/26</t>
  </si>
  <si>
    <t>01/10/2026 07:59:50</t>
  </si>
  <si>
    <t>0026457/26</t>
  </si>
  <si>
    <t>0026458/26</t>
  </si>
  <si>
    <t>01/10/2026 08:03:31</t>
  </si>
  <si>
    <t>599999170235</t>
  </si>
  <si>
    <t>0026459/26</t>
  </si>
  <si>
    <t>0026460/26</t>
  </si>
  <si>
    <t>01/10/2026 08:05:26</t>
  </si>
  <si>
    <t>599998978877</t>
  </si>
  <si>
    <t>0026462/26</t>
  </si>
  <si>
    <t>01/10/2026 08:06:27</t>
  </si>
  <si>
    <t>0026463/26</t>
  </si>
  <si>
    <t>0026464/26</t>
  </si>
  <si>
    <t>01/10/2026 08:06:35</t>
  </si>
  <si>
    <t>599998979214</t>
  </si>
  <si>
    <t>0026466/26</t>
  </si>
  <si>
    <t>01/10/2026 08:07:54</t>
  </si>
  <si>
    <t>599998978971</t>
  </si>
  <si>
    <t>0026467/26</t>
  </si>
  <si>
    <t>0026468/26</t>
  </si>
  <si>
    <t>01/10/2026 08:11:52</t>
  </si>
  <si>
    <t>0026469/26</t>
  </si>
  <si>
    <t>0026470/26</t>
  </si>
  <si>
    <t>01/10/2026 08:18:36</t>
  </si>
  <si>
    <t>0026471/26</t>
  </si>
  <si>
    <t>0026472/26</t>
  </si>
  <si>
    <t>01/10/2026 08:22:27</t>
  </si>
  <si>
    <t>0026473/26</t>
  </si>
  <si>
    <t>05P7648103</t>
  </si>
  <si>
    <t>0026474/26</t>
  </si>
  <si>
    <t>01/10/2026 08:22:53</t>
  </si>
  <si>
    <t>0026475/26</t>
  </si>
  <si>
    <t>0026476/26</t>
  </si>
  <si>
    <t>01/10/2026 08:26:50</t>
  </si>
  <si>
    <t>0026477/26</t>
  </si>
  <si>
    <t>0026478/26</t>
  </si>
  <si>
    <t>01/10/2026 08:30:51</t>
  </si>
  <si>
    <t>0026479/26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</si>
</sst>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#,##0.0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name val="Carlito"/>
    </font>
    <font>
      <b/>
      <sz val="18"/>
      <color rgb="FF1F2937"/>
      <name val="Calibri"/>
      <family val="2"/>
    </font>
    <font>
      <sz val="1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name val="Carlito"/>
    </font>
    <font>
      <b/>
      <sz val="12"/>
      <color rgb="FF1F2937"/>
      <name val="Calibri"/>
      <family val="2"/>
    </font>
    <font>
      <b/>
      <sz val="16"/>
      <color rgb="FF1F2937"/>
      <name val="Calibri"/>
      <family val="2"/>
    </font>
    <font>
      <sz val="16"/>
      <name val="Calibri"/>
      <family val="2"/>
    </font>
    <font>
      <sz val="11"/>
      <color rgb="FF9C5700"/>
      <name val="Calibri"/>
      <family val="2"/>
      <scheme val="minor"/>
    </font>
    <font>
      <sz val="12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33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15" fillId="5" borderId="0" applyNumberFormat="0" applyBorder="0" applyAlignment="0" applyProtection="0"/>
    <xf numFmtId="9" fontId="1" fillId="0" borderId="0" applyFont="0" applyFill="0" applyBorder="0" applyAlignment="0" applyProtection="0"/>
    <xf numFmtId="0" fontId="17" fillId="10" borderId="0" applyNumberFormat="0" applyBorder="0" applyAlignment="0" applyProtection="0"/>
    <xf numFmtId="0" fontId="19" fillId="11" borderId="0" applyNumberFormat="0" applyBorder="0" applyAlignment="0" applyProtection="0"/>
  </cellStyleXfs>
  <cellXfs count="12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4" xfId="1" applyNumberFormat="1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3" fontId="0" fillId="0" borderId="0" xfId="0" applyNumberFormat="1"/>
    <xf numFmtId="0" fontId="0" fillId="0" borderId="3" xfId="0" applyBorder="1" applyAlignment="1">
      <alignment horizontal="right" indent="1"/>
    </xf>
    <xf numFmtId="164" fontId="0" fillId="0" borderId="0" xfId="0" applyNumberFormat="1"/>
    <xf numFmtId="10" fontId="0" fillId="0" borderId="0" xfId="0" applyNumberFormat="1"/>
    <xf numFmtId="164" fontId="0" fillId="0" borderId="10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1" xfId="1" applyNumberFormat="1" applyFont="1" applyBorder="1" applyAlignment="1">
      <alignment horizontal="center" vertical="center"/>
    </xf>
    <xf numFmtId="0" fontId="0" fillId="0" borderId="8" xfId="0" applyBorder="1"/>
    <xf numFmtId="164" fontId="0" fillId="0" borderId="11" xfId="0" applyNumberFormat="1" applyBorder="1"/>
    <xf numFmtId="0" fontId="0" fillId="0" borderId="11" xfId="0" applyBorder="1"/>
    <xf numFmtId="0" fontId="0" fillId="0" borderId="12" xfId="0" applyBorder="1" applyAlignment="1">
      <alignment horizontal="right" indent="1"/>
    </xf>
    <xf numFmtId="164" fontId="2" fillId="3" borderId="11" xfId="0" applyNumberFormat="1" applyFont="1" applyFill="1" applyBorder="1"/>
    <xf numFmtId="164" fontId="2" fillId="3" borderId="6" xfId="0" applyNumberFormat="1" applyFont="1" applyFill="1" applyBorder="1"/>
    <xf numFmtId="10" fontId="2" fillId="3" borderId="4" xfId="0" applyNumberFormat="1" applyFont="1" applyFill="1" applyBorder="1"/>
    <xf numFmtId="0" fontId="2" fillId="0" borderId="14" xfId="0" applyFont="1" applyBorder="1" applyAlignment="1">
      <alignment horizontal="left"/>
    </xf>
    <xf numFmtId="0" fontId="0" fillId="0" borderId="15" xfId="0" applyBorder="1" applyAlignment="1">
      <alignment horizontal="left" indent="1"/>
    </xf>
    <xf numFmtId="164" fontId="0" fillId="0" borderId="1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17" xfId="1" applyNumberFormat="1" applyFont="1" applyBorder="1" applyAlignment="1">
      <alignment horizontal="center" vertical="center"/>
    </xf>
    <xf numFmtId="3" fontId="0" fillId="0" borderId="7" xfId="0" applyNumberFormat="1" applyBorder="1"/>
    <xf numFmtId="164" fontId="0" fillId="0" borderId="18" xfId="1" applyNumberFormat="1" applyFont="1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0" fontId="2" fillId="0" borderId="21" xfId="0" applyFont="1" applyBorder="1"/>
    <xf numFmtId="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21" xfId="0" applyBorder="1"/>
    <xf numFmtId="0" fontId="4" fillId="0" borderId="0" xfId="0" applyFont="1" applyAlignment="1">
      <alignment horizontal="right"/>
    </xf>
    <xf numFmtId="0" fontId="2" fillId="0" borderId="21" xfId="0" applyFont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6" fontId="0" fillId="0" borderId="0" xfId="0" applyNumberFormat="1"/>
    <xf numFmtId="3" fontId="0" fillId="0" borderId="0" xfId="0" applyNumberFormat="1" applyAlignment="1">
      <alignment horizontal="right"/>
    </xf>
    <xf numFmtId="165" fontId="0" fillId="0" borderId="21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21" xfId="0" applyNumberFormat="1" applyBorder="1"/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6" fillId="0" borderId="0" xfId="2" applyAlignment="1">
      <alignment vertic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6" fillId="0" borderId="0" xfId="2"/>
    <xf numFmtId="0" fontId="9" fillId="4" borderId="0" xfId="2" applyFont="1" applyFill="1" applyAlignment="1">
      <alignment horizontal="center" vertical="center"/>
    </xf>
    <xf numFmtId="0" fontId="6" fillId="0" borderId="0" xfId="2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 wrapText="1"/>
    </xf>
    <xf numFmtId="164" fontId="2" fillId="0" borderId="7" xfId="1" applyNumberFormat="1" applyFont="1" applyFill="1" applyBorder="1" applyAlignment="1">
      <alignment horizontal="center" vertical="center"/>
    </xf>
    <xf numFmtId="0" fontId="16" fillId="0" borderId="0" xfId="0" applyFont="1"/>
    <xf numFmtId="0" fontId="12" fillId="0" borderId="0" xfId="2" applyFont="1" applyAlignment="1">
      <alignment horizontal="left" vertical="center"/>
    </xf>
    <xf numFmtId="14" fontId="10" fillId="0" borderId="0" xfId="2" applyNumberFormat="1" applyFont="1" applyAlignment="1">
      <alignment horizontal="left" vertical="center"/>
    </xf>
    <xf numFmtId="1" fontId="10" fillId="0" borderId="0" xfId="2" applyNumberFormat="1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0" fontId="0" fillId="0" borderId="0" xfId="4" applyNumberFormat="1" applyFont="1"/>
    <xf numFmtId="0" fontId="0" fillId="0" borderId="1" xfId="0" applyBorder="1" applyAlignment="1">
      <alignment horizontal="right" indent="1"/>
    </xf>
    <xf numFmtId="164" fontId="0" fillId="0" borderId="27" xfId="0" applyNumberFormat="1" applyBorder="1"/>
    <xf numFmtId="0" fontId="0" fillId="0" borderId="28" xfId="0" applyBorder="1" applyAlignment="1">
      <alignment horizontal="right" indent="1"/>
    </xf>
    <xf numFmtId="10" fontId="0" fillId="0" borderId="13" xfId="4" applyNumberFormat="1" applyFont="1" applyBorder="1"/>
    <xf numFmtId="0" fontId="0" fillId="0" borderId="12" xfId="0" applyBorder="1"/>
    <xf numFmtId="164" fontId="0" fillId="0" borderId="12" xfId="0" applyNumberFormat="1" applyBorder="1"/>
    <xf numFmtId="0" fontId="3" fillId="2" borderId="3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3" xfId="0" applyBorder="1"/>
    <xf numFmtId="0" fontId="3" fillId="0" borderId="0" xfId="0" applyFont="1" applyAlignment="1">
      <alignment horizontal="center" vertical="center"/>
    </xf>
    <xf numFmtId="164" fontId="2" fillId="0" borderId="0" xfId="0" applyNumberFormat="1" applyFont="1"/>
    <xf numFmtId="0" fontId="0" fillId="0" borderId="2" xfId="0" applyBorder="1" applyAlignment="1">
      <alignment horizontal="right" indent="1"/>
    </xf>
    <xf numFmtId="0" fontId="0" fillId="0" borderId="31" xfId="0" applyBorder="1" applyAlignment="1">
      <alignment horizontal="right" indent="1"/>
    </xf>
    <xf numFmtId="3" fontId="0" fillId="0" borderId="30" xfId="0" applyNumberFormat="1" applyBorder="1"/>
    <xf numFmtId="10" fontId="0" fillId="0" borderId="26" xfId="4" applyNumberFormat="1" applyFont="1" applyBorder="1"/>
    <xf numFmtId="3" fontId="0" fillId="0" borderId="29" xfId="0" applyNumberFormat="1" applyBorder="1"/>
    <xf numFmtId="164" fontId="2" fillId="3" borderId="4" xfId="0" applyNumberFormat="1" applyFont="1" applyFill="1" applyBorder="1"/>
    <xf numFmtId="0" fontId="2" fillId="0" borderId="3" xfId="0" applyFont="1" applyBorder="1"/>
    <xf numFmtId="164" fontId="0" fillId="0" borderId="31" xfId="1" applyNumberFormat="1" applyFont="1" applyBorder="1" applyAlignment="1">
      <alignment horizontal="center" vertical="center"/>
    </xf>
    <xf numFmtId="164" fontId="0" fillId="6" borderId="11" xfId="0" applyNumberFormat="1" applyFill="1" applyBorder="1"/>
    <xf numFmtId="0" fontId="0" fillId="7" borderId="15" xfId="0" applyFill="1" applyBorder="1" applyAlignment="1">
      <alignment horizontal="left" indent="1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3" fontId="0" fillId="3" borderId="0" xfId="0" applyNumberFormat="1" applyFill="1" applyAlignment="1">
      <alignment horizontal="right" vertical="center"/>
    </xf>
    <xf numFmtId="3" fontId="16" fillId="9" borderId="0" xfId="0" applyNumberFormat="1" applyFont="1" applyFill="1" applyAlignment="1">
      <alignment horizontal="right" vertical="center"/>
    </xf>
    <xf numFmtId="3" fontId="16" fillId="9" borderId="21" xfId="0" applyNumberFormat="1" applyFont="1" applyFill="1" applyBorder="1" applyAlignment="1">
      <alignment horizontal="right"/>
    </xf>
    <xf numFmtId="164" fontId="2" fillId="6" borderId="11" xfId="0" applyNumberFormat="1" applyFont="1" applyFill="1" applyBorder="1"/>
    <xf numFmtId="164" fontId="2" fillId="0" borderId="11" xfId="0" applyNumberFormat="1" applyFont="1" applyBorder="1"/>
    <xf numFmtId="1" fontId="18" fillId="10" borderId="7" xfId="5" applyNumberFormat="1" applyFont="1" applyBorder="1" applyAlignment="1">
      <alignment horizontal="center" vertical="center"/>
    </xf>
    <xf numFmtId="14" fontId="18" fillId="10" borderId="7" xfId="5" applyNumberFormat="1" applyFont="1" applyBorder="1" applyAlignment="1">
      <alignment horizontal="center" vertical="center"/>
    </xf>
    <xf numFmtId="0" fontId="18" fillId="10" borderId="7" xfId="5" applyFont="1" applyBorder="1" applyAlignment="1">
      <alignment horizontal="center" vertical="center"/>
    </xf>
    <xf numFmtId="1" fontId="16" fillId="0" borderId="7" xfId="3" applyNumberFormat="1" applyFont="1" applyFill="1" applyBorder="1" applyAlignment="1">
      <alignment horizontal="center" vertical="center"/>
    </xf>
    <xf numFmtId="14" fontId="16" fillId="0" borderId="7" xfId="3" applyNumberFormat="1" applyFont="1" applyFill="1" applyBorder="1" applyAlignment="1">
      <alignment horizontal="center" vertical="center"/>
    </xf>
    <xf numFmtId="0" fontId="16" fillId="0" borderId="7" xfId="3" applyFont="1" applyFill="1" applyBorder="1" applyAlignment="1">
      <alignment horizontal="center" vertical="center"/>
    </xf>
    <xf numFmtId="1" fontId="20" fillId="11" borderId="7" xfId="6" applyNumberFormat="1" applyFont="1" applyBorder="1" applyAlignment="1">
      <alignment horizontal="center" vertical="center"/>
    </xf>
    <xf numFmtId="14" fontId="20" fillId="11" borderId="7" xfId="6" applyNumberFormat="1" applyFont="1" applyBorder="1" applyAlignment="1">
      <alignment horizontal="center" vertical="center"/>
    </xf>
    <xf numFmtId="0" fontId="20" fillId="11" borderId="7" xfId="6" applyFont="1" applyBorder="1" applyAlignment="1">
      <alignment horizontal="center" vertical="center"/>
    </xf>
    <xf numFmtId="3" fontId="0" fillId="0" borderId="18" xfId="0" applyNumberFormat="1" applyBorder="1"/>
    <xf numFmtId="3" fontId="0" fillId="0" borderId="33" xfId="0" applyNumberFormat="1" applyBorder="1"/>
    <xf numFmtId="3" fontId="0" fillId="0" borderId="34" xfId="0" applyNumberFormat="1" applyBorder="1"/>
    <xf numFmtId="3" fontId="0" fillId="0" borderId="19" xfId="0" applyNumberFormat="1" applyBorder="1"/>
    <xf numFmtId="3" fontId="0" fillId="0" borderId="24" xfId="0" applyNumberFormat="1" applyBorder="1"/>
    <xf numFmtId="3" fontId="0" fillId="0" borderId="36" xfId="0" applyNumberFormat="1" applyBorder="1"/>
    <xf numFmtId="3" fontId="0" fillId="0" borderId="32" xfId="0" applyNumberFormat="1" applyBorder="1"/>
    <xf numFmtId="3" fontId="0" fillId="0" borderId="25" xfId="0" applyNumberFormat="1" applyBorder="1"/>
    <xf numFmtId="165" fontId="2" fillId="0" borderId="0" xfId="0" applyNumberFormat="1" applyFont="1"/>
    <xf numFmtId="0" fontId="0" fillId="0" borderId="0" xfId="0" applyAlignment="1">
      <alignment horizontal="left" indent="2"/>
    </xf>
    <xf numFmtId="0" fontId="3" fillId="8" borderId="23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3" fillId="0" borderId="0" xfId="2" applyFont="1" applyAlignment="1">
      <alignment vertical="center"/>
    </xf>
    <xf numFmtId="0" fontId="14" fillId="0" borderId="0" xfId="2" applyFont="1" applyAlignment="1">
      <alignment vertical="center"/>
    </xf>
  </cellXfs>
  <cellStyles count="7">
    <cellStyle name="Bom" xfId="5" builtinId="26"/>
    <cellStyle name="Neutro" xfId="3" builtinId="28"/>
    <cellStyle name="Normal" xfId="0" builtinId="0"/>
    <cellStyle name="Normal 2" xfId="2" xr:uid="{F11DA096-EDD5-410D-AACF-BD968ED5B27F}"/>
    <cellStyle name="Porcentagem" xfId="4" builtinId="5"/>
    <cellStyle name="Ruim" xfId="6" builtinId="27"/>
    <cellStyle name="Vírgula" xfId="1" builtinId="3"/>
  </cellStyles>
  <dxfs count="0"/>
  <tableStyles count="0" defaultTableStyle="TableStyleMedium9" defaultPivotStyle="PivotStyleMedium4"/>
  <colors>
    <mruColors>
      <color rgb="FF007336"/>
      <color rgb="FF007041"/>
      <color rgb="FF086E00"/>
      <color rgb="FF087800"/>
      <color rgb="FF088800"/>
      <color rgb="FF045800"/>
      <color rgb="FF088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Alfenas de Oliveira" refreshedDate="46296.356922800929" createdVersion="8" refreshedVersion="8" minRefreshableVersion="3" recordCount="49" xr:uid="{0F3B9790-6B09-48CC-B122-ADE9CFBEDFC4}">
  <cacheSource type="worksheet">
    <worksheetSource ref="A1:W4871" sheet="APROVADOS SEM FATURAMENTO"/>
  </cacheSource>
  <cacheFields count="23">
    <cacheField name="Empresa" numFmtId="0">
      <sharedItems containsBlank="1"/>
    </cacheField>
    <cacheField name="Cliente" numFmtId="0">
      <sharedItems containsBlank="1" count="2">
        <s v="CORTEVA"/>
        <m/>
      </sharedItems>
    </cacheField>
    <cacheField name="Número Lote" numFmtId="0">
      <sharedItems containsBlank="1"/>
    </cacheField>
    <cacheField name="Produto P/ Faturamento" numFmtId="0">
      <sharedItems containsBlank="1"/>
    </cacheField>
    <cacheField name="Tipo Produto" numFmtId="0">
      <sharedItems containsBlank="1" count="3">
        <s v="PBT - Produto Acabado em Big Bag Tratado"/>
        <s v="PAS - Produto Acabado em Sacos"/>
        <m/>
      </sharedItems>
    </cacheField>
    <cacheField name="Produto" numFmtId="0">
      <sharedItems containsBlank="1"/>
    </cacheField>
    <cacheField name="Produto Comercial" numFmtId="0">
      <sharedItems containsBlank="1"/>
    </cacheField>
    <cacheField name="Peneira" numFmtId="0">
      <sharedItems containsBlank="1"/>
    </cacheField>
    <cacheField name="Campo" numFmtId="0">
      <sharedItems containsBlank="1"/>
    </cacheField>
    <cacheField name="Status" numFmtId="0">
      <sharedItems containsBlank="1"/>
    </cacheField>
    <cacheField name="Liberado Faturamento?" numFmtId="0">
      <sharedItems containsBlank="1" count="4">
        <s v="Sim"/>
        <s v="Sem Registro"/>
        <m/>
        <s v="Não" u="1"/>
      </sharedItems>
    </cacheField>
    <cacheField name="Data Apontamento" numFmtId="0">
      <sharedItems containsBlank="1"/>
    </cacheField>
    <cacheField name="Data Produção" numFmtId="0">
      <sharedItems containsBlank="1"/>
    </cacheField>
    <cacheField name="Armazenado" numFmtId="0">
      <sharedItems containsBlank="1"/>
    </cacheField>
    <cacheField name="Data de Liberação" numFmtId="0">
      <sharedItems containsBlank="1"/>
    </cacheField>
    <cacheField name="Peso Impressão" numFmtId="0">
      <sharedItems containsString="0" containsBlank="1" containsNumber="1" minValue="15.56" maxValue="20.329999999999998"/>
    </cacheField>
    <cacheField name="Unidade de Medida" numFmtId="0">
      <sharedItems containsBlank="1"/>
    </cacheField>
    <cacheField name="Quantidade Lote" numFmtId="0">
      <sharedItems containsString="0" containsBlank="1" containsNumber="1" containsInteger="1" minValue="3" maxValue="43"/>
    </cacheField>
    <cacheField name="Quantidade Apontada" numFmtId="0">
      <sharedItems containsString="0" containsBlank="1" containsNumber="1" containsInteger="1" minValue="3" maxValue="43"/>
    </cacheField>
    <cacheField name="Qntd. Bloqueio Estoque" numFmtId="0">
      <sharedItems containsString="0" containsBlank="1" containsNumber="1" containsInteger="1" minValue="0" maxValue="0"/>
    </cacheField>
    <cacheField name="Quantidade Faturada" numFmtId="0">
      <sharedItems containsNonDate="0" containsString="0" containsBlank="1"/>
    </cacheField>
    <cacheField name="Saldo Lote" numFmtId="0">
      <sharedItems containsNonDate="0" containsString="0" containsBlank="1"/>
    </cacheField>
    <cacheField name="Representatividade Sacos" numFmtId="0">
      <sharedItems containsString="0" containsBlank="1" containsNumber="1" minValue="0.17" maxValue="2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Alfenas de Oliveira" refreshedDate="46296.356925925924" createdVersion="8" refreshedVersion="8" minRefreshableVersion="3" recordCount="1251" xr:uid="{BFBC9CF0-1821-4E33-8B91-2C7251C9AE55}">
  <cacheSource type="worksheet">
    <worksheetSource ref="A1:AJ4106" sheet="ITEM ESTOQUE"/>
  </cacheSource>
  <cacheFields count="36">
    <cacheField name="Empresa" numFmtId="0">
      <sharedItems containsBlank="1"/>
    </cacheField>
    <cacheField name="Cliente" numFmtId="0">
      <sharedItems containsBlank="1" count="2">
        <s v="CORTEVA"/>
        <m/>
      </sharedItems>
    </cacheField>
    <cacheField name="Produto" numFmtId="0">
      <sharedItems containsBlank="1"/>
    </cacheField>
    <cacheField name="Nome Comercial" numFmtId="0">
      <sharedItems containsBlank="1" count="4">
        <s v="P3889R"/>
        <s v="P3845VYHR"/>
        <m/>
        <s v="B2811PWU" u="1"/>
      </sharedItems>
    </cacheField>
    <cacheField name="Número do Lote" numFmtId="0">
      <sharedItems containsBlank="1"/>
    </cacheField>
    <cacheField name="Campo" numFmtId="0">
      <sharedItems containsBlank="1"/>
    </cacheField>
    <cacheField name="Safra" numFmtId="0">
      <sharedItems containsBlank="1"/>
    </cacheField>
    <cacheField name="Peneira" numFmtId="0">
      <sharedItems containsBlank="1"/>
    </cacheField>
    <cacheField name="Tipo de Entrada" numFmtId="0">
      <sharedItems containsBlank="1"/>
    </cacheField>
    <cacheField name="Tipo de Produto" numFmtId="0">
      <sharedItems containsBlank="1" count="7">
        <s v="PAB - Produto acabado em Bag"/>
        <s v="PBT - Produto Acabado em Big Bag Tratado"/>
        <s v="PAS - Produto Acabado em Sacos"/>
        <s v="PDB - Produto Debulhado em bag"/>
        <m/>
        <s v="PDS - Produto Debulhado de silos" u="1"/>
        <s v="MPB - Matéria Prima Bruta" u="1"/>
      </sharedItems>
    </cacheField>
    <cacheField name="Tipo de Tratamento" numFmtId="0">
      <sharedItems containsBlank="1"/>
    </cacheField>
    <cacheField name="Responsável Movto" numFmtId="0">
      <sharedItems containsBlank="1"/>
    </cacheField>
    <cacheField name="Setor" numFmtId="0">
      <sharedItems containsBlank="1" count="6">
        <s v="TSI"/>
        <s v="ARMAZEM"/>
        <s v="TORRE"/>
        <m/>
        <s v="PICKING" u="1"/>
        <s v="DEBULHA" u="1"/>
      </sharedItems>
    </cacheField>
    <cacheField name="Palete" numFmtId="0">
      <sharedItems containsBlank="1"/>
    </cacheField>
    <cacheField name="Quantidade" numFmtId="0">
      <sharedItems containsString="0" containsBlank="1" containsNumber="1" minValue="0" maxValue="1216"/>
    </cacheField>
    <cacheField name="Unidade Medida" numFmtId="0">
      <sharedItems containsBlank="1"/>
    </cacheField>
    <cacheField name="Umidade" numFmtId="0">
      <sharedItems containsNonDate="0" containsString="0" containsBlank="1"/>
    </cacheField>
    <cacheField name="Peso (Kg)" numFmtId="0">
      <sharedItems containsString="0" containsBlank="1" containsNumber="1" minValue="3" maxValue="1219"/>
    </cacheField>
    <cacheField name="Peso Líquido (Kg)" numFmtId="0">
      <sharedItems containsString="0" containsBlank="1" containsNumber="1" minValue="0" maxValue="1216"/>
    </cacheField>
    <cacheField name="Localização" numFmtId="0">
      <sharedItems containsBlank="1" count="21">
        <s v=""/>
        <s v="Camara Fria 2"/>
        <s v="Camara Fria 1"/>
        <s v="Armazem convencional"/>
        <m/>
        <s v="Torre de Classificacao" u="1"/>
        <s v="SILO B03" u="1"/>
        <s v="SILO B08" u="1"/>
        <s v="SILO B04" u="1"/>
        <s v="SILO B06" u="1"/>
        <s v="SILO B07" u="1"/>
        <s v="SILO B15" u="1"/>
        <s v="SILO B05" u="1"/>
        <s v="SILO B14" u="1"/>
        <s v="SILO B16" u="1"/>
        <s v="SILO B13" u="1"/>
        <s v="SILO B02" u="1"/>
        <s v="SILO B12" u="1"/>
        <s v="SILO B11" u="1"/>
        <s v="LINHA 02" u="1"/>
        <s v="SILO B10" u="1"/>
      </sharedItems>
    </cacheField>
    <cacheField name="Localização Física" numFmtId="0">
      <sharedItems containsBlank="1" count="79">
        <s v=""/>
        <s v="CF2-18"/>
        <s v="CF2-02"/>
        <s v="CF2-10"/>
        <s v="CF2-28"/>
        <s v="CF2-16"/>
        <s v="CF2-27"/>
        <s v="CF2-25"/>
        <s v="CF2-23"/>
        <s v="CF2-19"/>
        <s v="CF2-17"/>
        <s v="CF2-15"/>
        <s v="CF2-13"/>
        <s v="CF2-14"/>
        <s v="CF1-18"/>
        <s v="CF1-28"/>
        <s v="CF1-17"/>
        <s v="CF1-19"/>
        <s v="CF1-20"/>
        <s v="CF1-27"/>
        <s v="CF1-22"/>
        <s v="CF1-21"/>
        <s v="CF1-23"/>
        <s v="QB12-PM"/>
        <s v="CF1-14"/>
        <s v="QB08-PM"/>
        <s v="QC05-PM"/>
        <s v="CF1-24"/>
        <s v="CF1-01"/>
        <s v="CF1-02"/>
        <s v="CF1-03"/>
        <s v="QB06-PM"/>
        <s v="CF1-06"/>
        <s v="QB04-PM"/>
        <s v="CF1-05"/>
        <m/>
        <s v="CF1-04" u="1"/>
        <s v="CF1-11" u="1"/>
        <s v="CF2-20" u="1"/>
        <s v="CF2-26" u="1"/>
        <s v="CF1-15" u="1"/>
        <s v="QB10-PM" u="1"/>
        <s v="CF1-07" u="1"/>
        <s v="CF2-11" u="1"/>
        <s v="CF1-26" u="1"/>
        <s v="CF2-09" u="1"/>
        <s v="CF1-08" u="1"/>
        <s v="CF2-07" u="1"/>
        <s v="CF2-05" u="1"/>
        <s v="CF1-10" u="1"/>
        <s v="CF2-22" u="1"/>
        <s v="QA01-PM" u="1"/>
        <s v="CF1-13" u="1"/>
        <s v="CF2-06" u="1"/>
        <s v="CF2-08" u="1"/>
        <s v="CF2-01" u="1"/>
        <s v="CF2-04" u="1"/>
        <s v="CF1-09" u="1"/>
        <s v="SP-01" u="1"/>
        <s v="CF2-21" u="1"/>
        <s v="CF1-12" u="1"/>
        <s v="CF2-03" u="1"/>
        <s v="PMB-03" u="1"/>
        <s v="PMB-08" u="1"/>
        <s v="PMB-04" u="1"/>
        <s v="CF1-16" u="1"/>
        <s v="PMB-06" u="1"/>
        <s v="PMB-07" u="1"/>
        <s v="CF2-12" u="1"/>
        <s v="PMB-15" u="1"/>
        <s v="PMB-05" u="1"/>
        <s v="PMB-14" u="1"/>
        <s v="PMB-16" u="1"/>
        <s v="PMB-13" u="1"/>
        <s v="PMB-02" u="1"/>
        <s v="PMB-12" u="1"/>
        <s v="PMB-11" u="1"/>
        <s v="CAL02002" u="1"/>
        <s v="PMB-10" u="1"/>
      </sharedItems>
    </cacheField>
    <cacheField name="Em movimentação?" numFmtId="0">
      <sharedItems containsBlank="1" count="3">
        <s v="Não"/>
        <s v="Sim"/>
        <m/>
      </sharedItems>
    </cacheField>
    <cacheField name="Último registro qualidade" numFmtId="0">
      <sharedItems containsBlank="1"/>
    </cacheField>
    <cacheField name="Liberado Qualidade?" numFmtId="0">
      <sharedItems containsBlank="1"/>
    </cacheField>
    <cacheField name="Tipo movimentação" numFmtId="0">
      <sharedItems containsBlank="1"/>
    </cacheField>
    <cacheField name="Controle Pátio" numFmtId="0">
      <sharedItems containsNonDate="0" containsString="0" containsBlank="1"/>
    </cacheField>
    <cacheField name="Ordem Expedição" numFmtId="0">
      <sharedItems containsBlank="1"/>
    </cacheField>
    <cacheField name="Célula Secagem" numFmtId="0">
      <sharedItems containsNonDate="0" containsString="0" containsBlank="1"/>
    </cacheField>
    <cacheField name="Silo Destino" numFmtId="0">
      <sharedItems containsBlank="1"/>
    </cacheField>
    <cacheField name="Dt. Movimentação" numFmtId="0">
      <sharedItems containsBlank="1"/>
    </cacheField>
    <cacheField name="Dt. Fim Movimentação" numFmtId="0">
      <sharedItems containsNonDate="0" containsString="0" containsBlank="1"/>
    </cacheField>
    <cacheField name="Obs" numFmtId="0">
      <sharedItems containsBlank="1"/>
    </cacheField>
    <cacheField name="Tipo Informativo" numFmtId="0">
      <sharedItems containsBlank="1"/>
    </cacheField>
    <cacheField name="Número Informativo" numFmtId="0">
      <sharedItems containsBlank="1"/>
    </cacheField>
    <cacheField name="Tipo Consumo" numFmtId="0">
      <sharedItems containsBlank="1"/>
    </cacheField>
    <cacheField name="Restrições MPB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Alfenas de Oliveira" refreshedDate="46296.356929050926" createdVersion="8" refreshedVersion="8" minRefreshableVersion="3" recordCount="43" xr:uid="{30A8EE37-14CA-4E86-838E-6E744CFA9ECF}">
  <cacheSource type="worksheet">
    <worksheetSource ref="A1:O4831" sheet="FATURAMENTO"/>
  </cacheSource>
  <cacheFields count="15">
    <cacheField name="Empresa" numFmtId="0">
      <sharedItems containsBlank="1"/>
    </cacheField>
    <cacheField name="Cliente" numFmtId="0">
      <sharedItems containsBlank="1" count="2">
        <s v="CORTEVA"/>
        <m/>
      </sharedItems>
    </cacheField>
    <cacheField name="Produto" numFmtId="0">
      <sharedItems containsBlank="1"/>
    </cacheField>
    <cacheField name="Tipo de Produto" numFmtId="0">
      <sharedItems containsBlank="1" count="6">
        <s v="PAS - Produto Acabado em Sacos"/>
        <s v="PBT - Produto Acabado em Big Bag Tratado"/>
        <s v="PDB - Produto Debulhado em bag"/>
        <m/>
        <s v="PAB - Produto acabado em Bag" u="1"/>
        <s v="PDS - Produto Debulhado de silos" u="1"/>
      </sharedItems>
    </cacheField>
    <cacheField name="Número Lote" numFmtId="0">
      <sharedItems containsBlank="1"/>
    </cacheField>
    <cacheField name="Unidade de Medida" numFmtId="0">
      <sharedItems containsBlank="1"/>
    </cacheField>
    <cacheField name="Status" numFmtId="0">
      <sharedItems containsBlank="1"/>
    </cacheField>
    <cacheField name="Data Apontamento" numFmtId="0">
      <sharedItems containsBlank="1"/>
    </cacheField>
    <cacheField name="Data Produção" numFmtId="0">
      <sharedItems containsBlank="1"/>
    </cacheField>
    <cacheField name="Data Liberação" numFmtId="0">
      <sharedItems containsBlank="1"/>
    </cacheField>
    <cacheField name="Data Faturamento" numFmtId="0">
      <sharedItems containsBlank="1"/>
    </cacheField>
    <cacheField name="Setor" numFmtId="0">
      <sharedItems containsBlank="1"/>
    </cacheField>
    <cacheField name="Local" numFmtId="0">
      <sharedItems containsBlank="1"/>
    </cacheField>
    <cacheField name="Linha" numFmtId="0">
      <sharedItems containsBlank="1"/>
    </cacheField>
    <cacheField name="Quantidade em Estoque" numFmtId="0">
      <sharedItems containsString="0" containsBlank="1" containsNumber="1" containsInteger="1" minValue="3" maxValue="4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VALOREM - PATOS"/>
    <x v="0"/>
    <s v="05P7622449"/>
    <s v="PBT-P3845VYHR-R2"/>
    <x v="0"/>
    <s v="P3845VYHR"/>
    <s v="P3845VYHR"/>
    <s v="R2"/>
    <s v="7345816-434001"/>
    <s v="LOTE NÃO FATURADO"/>
    <x v="0"/>
    <s v="23/09/2026"/>
    <s v="23/09/2026"/>
    <s v="SIM"/>
    <s v="23/09/2026"/>
    <n v="19.86"/>
    <s v="BAG"/>
    <n v="15"/>
    <n v="15"/>
    <n v="0"/>
    <m/>
    <m/>
    <n v="0.76"/>
  </r>
  <r>
    <s v="VALOREM - PATOS"/>
    <x v="0"/>
    <s v="05P7622450"/>
    <s v="PBT-P3845VYHR-R2"/>
    <x v="0"/>
    <s v="P3845VYHR"/>
    <s v="P3845VYHR"/>
    <s v="R2"/>
    <s v="7345816-434001"/>
    <s v="LOTE NÃO FATURADO"/>
    <x v="0"/>
    <s v="23/09/2026"/>
    <s v="23/09/2026"/>
    <s v="SIM"/>
    <s v="23/09/2026"/>
    <n v="19.690000000000001"/>
    <s v="BAG"/>
    <n v="12"/>
    <n v="12"/>
    <n v="0"/>
    <m/>
    <m/>
    <n v="0.61"/>
  </r>
  <r>
    <s v="VALOREM - PATOS"/>
    <x v="0"/>
    <s v="05P7622451"/>
    <s v="PBT-P3845VYHR-R2"/>
    <x v="0"/>
    <s v="P3845VYHR"/>
    <s v="P3845VYHR"/>
    <s v="R2"/>
    <s v="7345816-434001"/>
    <s v="LOTE NÃO FATURADO"/>
    <x v="0"/>
    <s v="24/09/2026"/>
    <s v="24/09/2026"/>
    <s v="SIM"/>
    <s v="24/09/2026"/>
    <n v="19.82"/>
    <s v="BAG"/>
    <n v="10"/>
    <n v="10"/>
    <n v="0"/>
    <m/>
    <m/>
    <n v="0.5"/>
  </r>
  <r>
    <s v="VALOREM - PATOS"/>
    <x v="0"/>
    <s v="05P7622452"/>
    <s v="PBT-P3845VYHR-R2"/>
    <x v="0"/>
    <s v="P3845VYHR"/>
    <s v="P3845VYHR"/>
    <s v="R2"/>
    <s v="7345816-434001"/>
    <s v="LOTE NÃO FATURADO"/>
    <x v="0"/>
    <s v="28/09/2026"/>
    <s v="28/09/2026"/>
    <s v="SIM"/>
    <s v="28/09/2026"/>
    <n v="19.649999999999999"/>
    <s v="BAG"/>
    <n v="14"/>
    <n v="14"/>
    <n v="0"/>
    <m/>
    <m/>
    <n v="0.71"/>
  </r>
  <r>
    <s v="VALOREM - PATOS"/>
    <x v="0"/>
    <s v="05P7622468"/>
    <s v="PBT-P3845VYHR-R3"/>
    <x v="0"/>
    <s v="P3845VYHR"/>
    <s v="P3845VYHR"/>
    <s v="R3"/>
    <s v="7345816-434001"/>
    <s v="LOTE NÃO FATURADO"/>
    <x v="0"/>
    <s v="23/09/2026"/>
    <s v="23/09/2026"/>
    <s v="SIM"/>
    <s v="24/09/2026"/>
    <n v="17.46"/>
    <s v="BAG"/>
    <n v="13"/>
    <n v="13"/>
    <n v="0"/>
    <m/>
    <m/>
    <n v="0.74"/>
  </r>
  <r>
    <s v="VALOREM - PATOS"/>
    <x v="0"/>
    <s v="05P7622510"/>
    <s v="PBT-P3845VYHR-C1"/>
    <x v="0"/>
    <s v="P3845VYHR"/>
    <s v="P3845VYHR"/>
    <s v="C1"/>
    <s v="7345816-434001"/>
    <s v="LOTE NÃO FATURADO"/>
    <x v="0"/>
    <s v="21/09/2026"/>
    <s v="21/09/2026"/>
    <s v="SIM"/>
    <s v="22/09/2026"/>
    <n v="20.23"/>
    <s v="BAG"/>
    <n v="35"/>
    <n v="35"/>
    <n v="0"/>
    <m/>
    <m/>
    <n v="1.73"/>
  </r>
  <r>
    <s v="VALOREM - PATOS"/>
    <x v="0"/>
    <s v="05P7622511"/>
    <s v="PBT-P3845VYHR-C1"/>
    <x v="0"/>
    <s v="P3845VYHR"/>
    <s v="P3845VYHR"/>
    <s v="C1"/>
    <s v="7345816-434001"/>
    <s v="LOTE NÃO FATURADO"/>
    <x v="0"/>
    <s v="22/09/2026"/>
    <s v="22/09/2026"/>
    <s v="SIM"/>
    <s v="22/09/2026"/>
    <n v="20.329999999999998"/>
    <s v="BAG"/>
    <n v="32"/>
    <n v="32"/>
    <n v="0"/>
    <m/>
    <m/>
    <n v="1.57"/>
  </r>
  <r>
    <s v="VALOREM - PATOS"/>
    <x v="0"/>
    <s v="05P7622512"/>
    <s v="PBT-P3845VYHR-C1"/>
    <x v="0"/>
    <s v="P3845VYHR"/>
    <s v="P3845VYHR"/>
    <s v="C1"/>
    <s v="7345816-434001"/>
    <s v="LOTE NÃO FATURADO"/>
    <x v="0"/>
    <s v="22/09/2026"/>
    <s v="22/09/2026"/>
    <s v="SIM"/>
    <s v="23/09/2026"/>
    <n v="20.22"/>
    <s v="BAG"/>
    <n v="31"/>
    <n v="31"/>
    <n v="0"/>
    <m/>
    <m/>
    <n v="1.53"/>
  </r>
  <r>
    <s v="VALOREM - PATOS"/>
    <x v="0"/>
    <s v="05P7622513"/>
    <s v="PBT-P3845VYHR-C1"/>
    <x v="0"/>
    <s v="P3845VYHR"/>
    <s v="P3845VYHR"/>
    <s v="C1"/>
    <s v="7345816-434001"/>
    <s v="LOTE NÃO FATURADO"/>
    <x v="0"/>
    <s v="23/09/2026"/>
    <s v="23/09/2026"/>
    <s v="SIM"/>
    <s v="23/09/2026"/>
    <n v="20.079999999999998"/>
    <s v="BAG"/>
    <n v="23"/>
    <n v="23"/>
    <n v="0"/>
    <m/>
    <m/>
    <n v="1.1499999999999999"/>
  </r>
  <r>
    <s v="VALOREM - PATOS"/>
    <x v="0"/>
    <s v="05P7622515"/>
    <s v="PBT-P3845VYHR-C1"/>
    <x v="0"/>
    <s v="P3845VYHR"/>
    <s v="P3845VYHR"/>
    <s v="C1"/>
    <s v="7345816-434001"/>
    <s v="LOTE NÃO FATURADO"/>
    <x v="0"/>
    <s v="25/09/2026"/>
    <s v="25/09/2026"/>
    <s v="SIM"/>
    <s v="28/09/2026"/>
    <n v="19.8"/>
    <s v="BAG"/>
    <n v="15"/>
    <n v="15"/>
    <n v="0"/>
    <m/>
    <m/>
    <n v="0.76"/>
  </r>
  <r>
    <s v="VALOREM - PATOS"/>
    <x v="0"/>
    <s v="05P7622520"/>
    <s v="PBT-P3845VYHR-C2"/>
    <x v="0"/>
    <s v="P3845VYHR"/>
    <s v="P3845VYHR"/>
    <s v="C2"/>
    <s v="7345816-434001"/>
    <s v="LOTE NÃO FATURADO"/>
    <x v="0"/>
    <s v="21/09/2026"/>
    <s v="21/09/2026"/>
    <s v="SIM"/>
    <s v="21/09/2026"/>
    <n v="17.97"/>
    <s v="BAG"/>
    <n v="13"/>
    <n v="13"/>
    <n v="0"/>
    <m/>
    <m/>
    <n v="0.72"/>
  </r>
  <r>
    <s v="VALOREM - PATOS"/>
    <x v="0"/>
    <s v="05P7622521"/>
    <s v="PBT-P3845VYHR-C2"/>
    <x v="0"/>
    <s v="P3845VYHR"/>
    <s v="P3845VYHR"/>
    <s v="C2"/>
    <s v="7345816-434001"/>
    <s v="LOTE NÃO FATURADO"/>
    <x v="0"/>
    <s v="21/09/2026"/>
    <s v="21/09/2026"/>
    <s v="SIM"/>
    <s v="21/09/2026"/>
    <n v="18.010000000000002"/>
    <s v="BAG"/>
    <n v="18"/>
    <n v="18"/>
    <n v="0"/>
    <m/>
    <m/>
    <n v="1"/>
  </r>
  <r>
    <s v="VALOREM - PATOS"/>
    <x v="0"/>
    <s v="05P7622522"/>
    <s v="PBT-P3845VYHR-C2"/>
    <x v="0"/>
    <s v="P3845VYHR"/>
    <s v="P3845VYHR"/>
    <s v="C2"/>
    <s v="7345816-434001"/>
    <s v="LOTE NÃO FATURADO"/>
    <x v="0"/>
    <s v="21/09/2026"/>
    <s v="21/09/2026"/>
    <s v="SIM"/>
    <s v="21/09/2026"/>
    <n v="18.010000000000002"/>
    <s v="BAG"/>
    <n v="16"/>
    <n v="16"/>
    <n v="0"/>
    <m/>
    <m/>
    <n v="0.89"/>
  </r>
  <r>
    <s v="VALOREM - PATOS"/>
    <x v="0"/>
    <s v="05P7622525"/>
    <s v="PBT-P3845VYHR-C2"/>
    <x v="0"/>
    <s v="P3845VYHR"/>
    <s v="P3845VYHR"/>
    <s v="C2"/>
    <s v="7345816-434001"/>
    <s v="LOTE NÃO FATURADO"/>
    <x v="0"/>
    <s v="23/09/2026"/>
    <s v="23/09/2026"/>
    <s v="SIM"/>
    <s v="23/09/2026"/>
    <n v="18.149999999999999"/>
    <s v="BAG"/>
    <n v="17"/>
    <n v="17"/>
    <n v="0"/>
    <m/>
    <m/>
    <n v="0.94"/>
  </r>
  <r>
    <s v="VALOREM - PATOS"/>
    <x v="0"/>
    <s v="05P7622528"/>
    <s v="PBT-P3845VYHR-C2"/>
    <x v="0"/>
    <s v="P3845VYHR"/>
    <s v="P3845VYHR"/>
    <s v="C2"/>
    <s v="7345816-434001"/>
    <s v="LOTE NÃO FATURADO"/>
    <x v="0"/>
    <s v="24/09/2026"/>
    <s v="24/09/2026"/>
    <s v="SIM"/>
    <s v="24/09/2026"/>
    <n v="18.22"/>
    <s v="BAG"/>
    <n v="15"/>
    <n v="15"/>
    <n v="0"/>
    <m/>
    <m/>
    <n v="0.82"/>
  </r>
  <r>
    <s v="VALOREM - PATOS"/>
    <x v="0"/>
    <s v="05P7622532"/>
    <s v="PBT-P3845VYHR-C2"/>
    <x v="0"/>
    <s v="P3845VYHR"/>
    <s v="P3845VYHR"/>
    <s v="C2"/>
    <s v="7345816-434001"/>
    <s v="LOTE NÃO FATURADO"/>
    <x v="0"/>
    <s v="25/09/2026"/>
    <s v="25/09/2026"/>
    <s v="SIM"/>
    <s v="28/09/2026"/>
    <n v="17.690000000000001"/>
    <s v="BAG"/>
    <n v="29"/>
    <n v="29"/>
    <n v="0"/>
    <m/>
    <m/>
    <n v="1.64"/>
  </r>
  <r>
    <s v="VALOREM - PATOS"/>
    <x v="0"/>
    <s v="05P7622557"/>
    <s v="PBT-P3845VYHR-R2C"/>
    <x v="0"/>
    <s v="P3845VYHR"/>
    <s v="P3845VYHR"/>
    <s v="R2C"/>
    <s v="7345816-434001"/>
    <s v="LOTE NÃO FATURADO"/>
    <x v="0"/>
    <s v="24/09/2026"/>
    <s v="24/09/2026"/>
    <s v="SIM"/>
    <s v="25/09/2026"/>
    <n v="18.28"/>
    <s v="BAG"/>
    <n v="10"/>
    <n v="10"/>
    <n v="0"/>
    <m/>
    <m/>
    <n v="0.55000000000000004"/>
  </r>
  <r>
    <s v="VALOREM - PATOS"/>
    <x v="0"/>
    <s v="05P7626423"/>
    <s v="PAS-P3845VYHR-R2"/>
    <x v="1"/>
    <s v="P3845VYHR"/>
    <s v="P3845VYHR"/>
    <s v="R2"/>
    <s v="7345816-434001"/>
    <s v="LOTE NÃO FATURADO"/>
    <x v="0"/>
    <s v="23/09/2026"/>
    <s v="23/09/2026"/>
    <s v="SIM"/>
    <s v="23/09/2026"/>
    <n v="19.86"/>
    <s v="SC"/>
    <n v="18"/>
    <n v="18"/>
    <n v="0"/>
    <m/>
    <m/>
    <n v="0.91"/>
  </r>
  <r>
    <s v="VALOREM - PATOS"/>
    <x v="0"/>
    <s v="05P7626424"/>
    <s v="PAS-P3845VYHR-R2"/>
    <x v="1"/>
    <s v="P3845VYHR"/>
    <s v="P3845VYHR"/>
    <s v="R2"/>
    <s v="7345816-434001"/>
    <s v="LOTE NÃO FATURADO"/>
    <x v="0"/>
    <s v="23/09/2026"/>
    <s v="23/09/2026"/>
    <s v="SIM"/>
    <s v="23/09/2026"/>
    <n v="19.690000000000001"/>
    <s v="SC"/>
    <n v="9"/>
    <n v="9"/>
    <n v="0"/>
    <m/>
    <m/>
    <n v="0.46"/>
  </r>
  <r>
    <s v="VALOREM - PATOS"/>
    <x v="0"/>
    <s v="05P7626426"/>
    <s v="PAS-P3845VYHR-R2"/>
    <x v="1"/>
    <s v="P3845VYHR"/>
    <s v="P3845VYHR"/>
    <s v="R2"/>
    <s v="7345816-434001"/>
    <s v="LOTE NÃO FATURADO"/>
    <x v="0"/>
    <s v="24/09/2026"/>
    <s v="24/09/2026"/>
    <s v="SIM"/>
    <s v="24/09/2026"/>
    <n v="19.82"/>
    <s v="SC"/>
    <n v="25"/>
    <n v="25"/>
    <n v="0"/>
    <m/>
    <m/>
    <n v="1.26"/>
  </r>
  <r>
    <s v="VALOREM - PATOS"/>
    <x v="0"/>
    <s v="05P7626427"/>
    <s v="PAS-P3845VYHR-R2"/>
    <x v="1"/>
    <s v="P3845VYHR"/>
    <s v="P3845VYHR"/>
    <s v="R2"/>
    <s v="7345816-434001"/>
    <s v="LOTE NÃO FATURADO"/>
    <x v="0"/>
    <s v="28/09/2026"/>
    <s v="28/09/2026"/>
    <s v="SIM"/>
    <s v="28/09/2026"/>
    <n v="19.649999999999999"/>
    <s v="SC"/>
    <n v="29"/>
    <n v="29"/>
    <n v="0"/>
    <m/>
    <m/>
    <n v="1.48"/>
  </r>
  <r>
    <s v="VALOREM - PATOS"/>
    <x v="0"/>
    <s v="05P7626429"/>
    <s v="PAS-P3845VYHR-R3"/>
    <x v="1"/>
    <s v="P3845VYHR"/>
    <s v="P3845VYHR"/>
    <s v="R3"/>
    <s v="7345816-434001"/>
    <s v="LOTE NÃO FATURADO"/>
    <x v="0"/>
    <s v="23/09/2026"/>
    <s v="23/09/2026"/>
    <s v="SIM"/>
    <s v="24/09/2026"/>
    <n v="17.46"/>
    <s v="SC"/>
    <n v="37"/>
    <n v="37"/>
    <n v="0"/>
    <m/>
    <m/>
    <n v="2.12"/>
  </r>
  <r>
    <s v="VALOREM - PATOS"/>
    <x v="0"/>
    <s v="05P7626450"/>
    <s v="PAS-P3845VYHR-C1"/>
    <x v="1"/>
    <s v="P3845VYHR"/>
    <s v="P3845VYHR"/>
    <s v="C1"/>
    <s v="7345816-434001"/>
    <s v="LOTE NÃO FATURADO"/>
    <x v="0"/>
    <s v="22/09/2026"/>
    <s v="22/09/2026"/>
    <s v="SIM"/>
    <s v="22/09/2026"/>
    <n v="20.329999999999998"/>
    <s v="SC"/>
    <n v="26"/>
    <n v="26"/>
    <n v="0"/>
    <m/>
    <m/>
    <n v="1.28"/>
  </r>
  <r>
    <s v="VALOREM - PATOS"/>
    <x v="0"/>
    <s v="05P7626451"/>
    <s v="PAS-P3845VYHR-C1"/>
    <x v="1"/>
    <s v="P3845VYHR"/>
    <s v="P3845VYHR"/>
    <s v="C1"/>
    <s v="7345816-434001"/>
    <s v="LOTE NÃO FATURADO"/>
    <x v="0"/>
    <s v="21/09/2026"/>
    <s v="21/09/2026"/>
    <s v="SIM"/>
    <s v="22/09/2026"/>
    <n v="20.23"/>
    <s v="SC"/>
    <n v="5"/>
    <n v="5"/>
    <n v="0"/>
    <m/>
    <m/>
    <n v="0.25"/>
  </r>
  <r>
    <s v="VALOREM - PATOS"/>
    <x v="0"/>
    <s v="05P7626452"/>
    <s v="PAS-P3845VYHR-C1"/>
    <x v="1"/>
    <s v="P3845VYHR"/>
    <s v="P3845VYHR"/>
    <s v="C1"/>
    <s v="7345816-434001"/>
    <s v="LOTE NÃO FATURADO"/>
    <x v="0"/>
    <s v="23/09/2026"/>
    <s v="23/09/2026"/>
    <s v="SIM"/>
    <s v="23/09/2026"/>
    <n v="20.079999999999998"/>
    <s v="SC"/>
    <n v="12"/>
    <n v="12"/>
    <n v="0"/>
    <m/>
    <m/>
    <n v="0.6"/>
  </r>
  <r>
    <s v="VALOREM - PATOS"/>
    <x v="0"/>
    <s v="05P7626455"/>
    <s v="PAS-P3845VYHR-C1"/>
    <x v="1"/>
    <s v="P3845VYHR"/>
    <s v="P3845VYHR"/>
    <s v="C1"/>
    <s v="7345816-434001"/>
    <s v="LOTE NÃO FATURADO"/>
    <x v="0"/>
    <s v="23/09/2026"/>
    <s v="23/09/2026"/>
    <s v="SIM"/>
    <s v="23/09/2026"/>
    <n v="20.22"/>
    <s v="SC"/>
    <n v="39"/>
    <n v="39"/>
    <n v="0"/>
    <m/>
    <m/>
    <n v="1.93"/>
  </r>
  <r>
    <s v="VALOREM - PATOS"/>
    <x v="0"/>
    <s v="05P7626459"/>
    <s v="PAS-P3845VYHR-C2"/>
    <x v="1"/>
    <s v="P3845VYHR"/>
    <s v="P3845VYHR"/>
    <s v="C2"/>
    <s v="7345816-434001"/>
    <s v="LOTE NÃO FATURADO"/>
    <x v="0"/>
    <s v="21/09/2026"/>
    <s v="21/09/2026"/>
    <s v="SIM"/>
    <s v="21/09/2026"/>
    <n v="17.97"/>
    <s v="SC"/>
    <n v="33"/>
    <n v="33"/>
    <n v="0"/>
    <m/>
    <m/>
    <n v="1.84"/>
  </r>
  <r>
    <s v="VALOREM - PATOS"/>
    <x v="0"/>
    <s v="05P7626460"/>
    <s v="PAS-P3845VYHR-C2"/>
    <x v="1"/>
    <s v="P3845VYHR"/>
    <s v="P3845VYHR"/>
    <s v="C2"/>
    <s v="7345816-434001"/>
    <s v="LOTE NÃO FATURADO"/>
    <x v="0"/>
    <s v="21/09/2026"/>
    <s v="21/09/2026"/>
    <s v="SIM"/>
    <s v="21/09/2026"/>
    <n v="18.010000000000002"/>
    <s v="SC"/>
    <n v="31"/>
    <n v="31"/>
    <n v="0"/>
    <m/>
    <m/>
    <n v="1.72"/>
  </r>
  <r>
    <s v="VALOREM - PATOS"/>
    <x v="0"/>
    <s v="05P7626461"/>
    <s v="PAS-P3845VYHR-C2"/>
    <x v="1"/>
    <s v="P3845VYHR"/>
    <s v="P3845VYHR"/>
    <s v="C2"/>
    <s v="7345816-434001"/>
    <s v="LOTE NÃO FATURADO"/>
    <x v="0"/>
    <s v="21/09/2026"/>
    <s v="21/09/2026"/>
    <s v="SIM"/>
    <s v="21/09/2026"/>
    <n v="18.010000000000002"/>
    <s v="SC"/>
    <n v="29"/>
    <n v="29"/>
    <n v="0"/>
    <m/>
    <m/>
    <n v="1.61"/>
  </r>
  <r>
    <s v="VALOREM - PATOS"/>
    <x v="0"/>
    <s v="05P7626462"/>
    <s v="PAS-P3845VYHR-C2"/>
    <x v="1"/>
    <s v="P3845VYHR"/>
    <s v="P3845VYHR"/>
    <s v="C2"/>
    <s v="7345816-434001"/>
    <s v="LOTE NÃO FATURADO"/>
    <x v="0"/>
    <s v="23/09/2026"/>
    <s v="23/09/2026"/>
    <s v="SIM"/>
    <s v="23/09/2026"/>
    <n v="18.149999999999999"/>
    <s v="SC"/>
    <n v="4"/>
    <n v="4"/>
    <n v="0"/>
    <m/>
    <m/>
    <n v="0.22"/>
  </r>
  <r>
    <s v="VALOREM - PATOS"/>
    <x v="0"/>
    <s v="05P7626464"/>
    <s v="PAS-P3845VYHR-C2"/>
    <x v="1"/>
    <s v="P3845VYHR"/>
    <s v="P3845VYHR"/>
    <s v="C2"/>
    <s v="7345816-434001"/>
    <s v="LOTE NÃO FATURADO"/>
    <x v="0"/>
    <s v="24/09/2026"/>
    <s v="24/09/2026"/>
    <s v="SIM"/>
    <s v="24/09/2026"/>
    <n v="18.22"/>
    <s v="SC"/>
    <n v="16"/>
    <n v="16"/>
    <n v="0"/>
    <m/>
    <m/>
    <n v="0.88"/>
  </r>
  <r>
    <s v="VALOREM - PATOS"/>
    <x v="0"/>
    <s v="05P7626478"/>
    <s v="PAS-P3845VYHR-R2C"/>
    <x v="1"/>
    <s v="P3845VYHR"/>
    <s v="P3845VYHR"/>
    <s v="R2C"/>
    <s v="7345816-434001"/>
    <s v="LOTE NÃO FATURADO"/>
    <x v="0"/>
    <s v="24/09/2026"/>
    <s v="24/09/2026"/>
    <s v="SIM"/>
    <s v="25/09/2026"/>
    <n v="18.28"/>
    <s v="SC"/>
    <n v="7"/>
    <n v="7"/>
    <n v="0"/>
    <m/>
    <m/>
    <n v="0.38"/>
  </r>
  <r>
    <s v="VALOREM - PATOS"/>
    <x v="0"/>
    <s v="05P7643440"/>
    <s v="PAS-P3845VYHR-C1"/>
    <x v="1"/>
    <s v="P3845VYHR"/>
    <s v="P3845VYHR"/>
    <s v="C1"/>
    <s v="7345816-434001"/>
    <s v="LOTE NÃO FATURADO"/>
    <x v="0"/>
    <s v="25/09/2026"/>
    <s v="25/09/2026"/>
    <s v="SIM"/>
    <s v="28/09/2026"/>
    <n v="19.8"/>
    <s v="SC"/>
    <n v="28"/>
    <n v="28"/>
    <n v="0"/>
    <m/>
    <m/>
    <n v="1.41"/>
  </r>
  <r>
    <s v="VALOREM - PATOS"/>
    <x v="0"/>
    <s v="05P7643456"/>
    <s v="PAS-P3845VYHR-C2"/>
    <x v="1"/>
    <s v="P3845VYHR"/>
    <s v="P3845VYHR"/>
    <s v="C2"/>
    <s v="7345816-434001"/>
    <s v="LOTE NÃO FATURADO"/>
    <x v="0"/>
    <s v="28/09/2026"/>
    <s v="28/09/2026"/>
    <s v="SIM"/>
    <s v="28/09/2026"/>
    <n v="17.690000000000001"/>
    <s v="SC"/>
    <n v="19"/>
    <n v="19"/>
    <n v="0"/>
    <m/>
    <m/>
    <n v="1.07"/>
  </r>
  <r>
    <s v="VALOREM - PATOS"/>
    <x v="0"/>
    <s v="05P7622453"/>
    <s v="PBT-P3845VYHR-R2"/>
    <x v="0"/>
    <s v="P3845VYHR"/>
    <s v="P3845VYHR"/>
    <s v="R2"/>
    <s v="7345816-434001"/>
    <s v="LOTE NÃO FATURADO"/>
    <x v="1"/>
    <s v="28/09/2026"/>
    <s v="28/09/2026"/>
    <s v="SIM"/>
    <s v="29/09/2026"/>
    <n v="19.510000000000002"/>
    <s v="BAG"/>
    <n v="10"/>
    <n v="10"/>
    <n v="0"/>
    <m/>
    <m/>
    <n v="0.51"/>
  </r>
  <r>
    <s v="VALOREM - PATOS"/>
    <x v="0"/>
    <s v="05P7622469"/>
    <s v="PBT-P3845VYHR-R3"/>
    <x v="0"/>
    <s v="P3845VYHR"/>
    <s v="P3845VYHR"/>
    <s v="R3"/>
    <s v="7345816-434001"/>
    <s v="LOTE NÃO FATURADO"/>
    <x v="1"/>
    <s v="30/09/2026"/>
    <s v="30/09/2026"/>
    <s v="SIM"/>
    <s v="30/09/2026"/>
    <n v="17.27"/>
    <s v="BAG"/>
    <n v="19"/>
    <n v="19"/>
    <n v="0"/>
    <m/>
    <m/>
    <n v="1.1000000000000001"/>
  </r>
  <r>
    <s v="VALOREM - PATOS"/>
    <x v="0"/>
    <s v="05P7622470"/>
    <s v="PBT-P3845VYHR-R3"/>
    <x v="0"/>
    <s v="P3845VYHR"/>
    <s v="P3845VYHR"/>
    <s v="R3"/>
    <s v="7345816-434001"/>
    <s v="LOTE NÃO FATURADO"/>
    <x v="1"/>
    <s v="30/09/2026"/>
    <s v="30/09/2026"/>
    <s v="SIM"/>
    <s v="30/09/2026"/>
    <n v="15.56"/>
    <s v="BAG"/>
    <n v="21"/>
    <n v="21"/>
    <n v="0"/>
    <m/>
    <m/>
    <n v="1.35"/>
  </r>
  <r>
    <s v="VALOREM - PATOS"/>
    <x v="0"/>
    <s v="05P7622514"/>
    <s v="PBT-P3845VYHR-C1"/>
    <x v="0"/>
    <s v="P3845VYHR"/>
    <s v="P3845VYHR"/>
    <s v="C1"/>
    <s v="7345816-434001"/>
    <s v="LOTE NÃO FATURADO"/>
    <x v="1"/>
    <s v="25/09/2026"/>
    <s v="25/09/2026"/>
    <s v="SIM"/>
    <s v="29/09/2026"/>
    <n v="20.329999999999998"/>
    <s v="BAG"/>
    <n v="43"/>
    <n v="43"/>
    <n v="0"/>
    <m/>
    <m/>
    <n v="2.12"/>
  </r>
  <r>
    <s v="VALOREM - PATOS"/>
    <x v="0"/>
    <s v="05P7622516"/>
    <s v="PBT-P3845VYHR-C1"/>
    <x v="0"/>
    <s v="P3845VYHR"/>
    <s v="P3845VYHR"/>
    <s v="C1"/>
    <s v="7345816-434001"/>
    <s v="LOTE NÃO FATURADO"/>
    <x v="1"/>
    <s v="29/09/2026"/>
    <s v="29/09/2026"/>
    <s v="SIM"/>
    <s v="29/09/2026"/>
    <n v="19.87"/>
    <s v="BAG"/>
    <n v="40"/>
    <n v="40"/>
    <n v="0"/>
    <m/>
    <m/>
    <n v="2.0099999999999998"/>
  </r>
  <r>
    <s v="VALOREM - PATOS"/>
    <x v="0"/>
    <s v="05P7622517"/>
    <s v="PBT-P3845VYHR-C1"/>
    <x v="0"/>
    <s v="P3845VYHR"/>
    <s v="P3845VYHR"/>
    <s v="C1"/>
    <s v="7345816-434001"/>
    <s v="LOTE NÃO FATURADO"/>
    <x v="1"/>
    <s v="29/09/2026"/>
    <s v="29/09/2026"/>
    <s v="SIM"/>
    <s v="30/09/2026"/>
    <n v="19.96"/>
    <s v="BAG"/>
    <n v="40"/>
    <n v="40"/>
    <n v="0"/>
    <m/>
    <m/>
    <n v="2"/>
  </r>
  <r>
    <s v="VALOREM - PATOS"/>
    <x v="0"/>
    <s v="05P7622518"/>
    <s v="PBT-P3845VYHR-C1"/>
    <x v="0"/>
    <s v="P3845VYHR"/>
    <s v="P3845VYHR"/>
    <s v="C1"/>
    <s v="7345816-434001"/>
    <s v="LOTE NÃO FATURADO"/>
    <x v="1"/>
    <s v="29/09/2026"/>
    <s v="29/09/2026"/>
    <s v="SIM"/>
    <s v="29/09/2026"/>
    <n v="19.87"/>
    <s v="BAG"/>
    <n v="11"/>
    <n v="11"/>
    <n v="0"/>
    <m/>
    <m/>
    <n v="0.55000000000000004"/>
  </r>
  <r>
    <s v="VALOREM - PATOS"/>
    <x v="0"/>
    <s v="05P7622533"/>
    <s v="PBT-P3845VYHR-C2"/>
    <x v="0"/>
    <s v="P3845VYHR"/>
    <s v="P3845VYHR"/>
    <s v="C2"/>
    <s v="7345816-434001"/>
    <s v="LOTE NÃO FATURADO"/>
    <x v="1"/>
    <s v="28/09/2026"/>
    <s v="28/09/2026"/>
    <s v="SIM"/>
    <s v="29/09/2026"/>
    <n v="17.78"/>
    <s v="BAG"/>
    <n v="27"/>
    <n v="27"/>
    <n v="0"/>
    <m/>
    <m/>
    <n v="1.52"/>
  </r>
  <r>
    <s v="VALOREM - PATOS"/>
    <x v="0"/>
    <s v="05P7626428"/>
    <s v="PAS-P3845VYHR-R2"/>
    <x v="1"/>
    <s v="P3845VYHR"/>
    <s v="P3845VYHR"/>
    <s v="R2"/>
    <s v="7345816-434001"/>
    <s v="LOTE NÃO FATURADO"/>
    <x v="1"/>
    <s v="28/09/2026"/>
    <s v="28/09/2026"/>
    <s v="SIM"/>
    <s v="29/09/2026"/>
    <n v="19.510000000000002"/>
    <s v="SC"/>
    <n v="8"/>
    <n v="8"/>
    <n v="0"/>
    <m/>
    <m/>
    <n v="0.41"/>
  </r>
  <r>
    <s v="VALOREM - PATOS"/>
    <x v="0"/>
    <s v="05P7626432"/>
    <s v="PAS-P3845VYHR-R3"/>
    <x v="1"/>
    <s v="P3845VYHR"/>
    <s v="P3845VYHR"/>
    <s v="R3"/>
    <s v="7345816-434001"/>
    <s v="LOTE NÃO FATURADO"/>
    <x v="1"/>
    <s v="30/09/2026"/>
    <s v="30/09/2026"/>
    <s v="SIM"/>
    <s v="30/09/2026"/>
    <n v="17.27"/>
    <s v="SC"/>
    <n v="22"/>
    <n v="22"/>
    <n v="0"/>
    <m/>
    <m/>
    <n v="1.27"/>
  </r>
  <r>
    <s v="VALOREM - PATOS"/>
    <x v="0"/>
    <s v="05P7626435"/>
    <s v="PAS-P3845VYHR-R3"/>
    <x v="1"/>
    <s v="P3845VYHR"/>
    <s v="P3845VYHR"/>
    <s v="R3"/>
    <s v="7345816-434001"/>
    <s v="LOTE NÃO FATURADO"/>
    <x v="1"/>
    <s v="30/09/2026"/>
    <s v="30/09/2026"/>
    <s v="SIM"/>
    <s v="30/09/2026"/>
    <n v="15.56"/>
    <s v="SC"/>
    <n v="23"/>
    <n v="23"/>
    <n v="0"/>
    <m/>
    <m/>
    <n v="1.48"/>
  </r>
  <r>
    <s v="VALOREM - PATOS"/>
    <x v="0"/>
    <s v="05P7626458"/>
    <s v="PAS-P3845VYHR-C1"/>
    <x v="1"/>
    <s v="P3845VYHR"/>
    <s v="P3845VYHR"/>
    <s v="C1"/>
    <s v="7345816-434001"/>
    <s v="LOTE NÃO FATURADO"/>
    <x v="1"/>
    <s v="25/09/2026"/>
    <s v="25/09/2026"/>
    <s v="SIM"/>
    <s v="29/09/2026"/>
    <n v="20.329999999999998"/>
    <s v="SC"/>
    <n v="11"/>
    <n v="11"/>
    <n v="0"/>
    <m/>
    <m/>
    <n v="0.54"/>
  </r>
  <r>
    <s v="VALOREM - PATOS"/>
    <x v="0"/>
    <s v="05P7643441"/>
    <s v="PAS-P3845VYHR-C1"/>
    <x v="1"/>
    <s v="P3845VYHR"/>
    <s v="P3845VYHR"/>
    <s v="C1"/>
    <s v="7345816-434001"/>
    <s v="LOTE NÃO FATURADO"/>
    <x v="1"/>
    <s v="29/09/2026"/>
    <s v="29/09/2026"/>
    <s v="SIM"/>
    <s v="29/09/2026"/>
    <n v="19.87"/>
    <s v="SC"/>
    <n v="16"/>
    <n v="16"/>
    <n v="0"/>
    <m/>
    <m/>
    <n v="0.81"/>
  </r>
  <r>
    <s v="VALOREM - PATOS"/>
    <x v="0"/>
    <s v="05P7643458"/>
    <s v="PAS-P3845VYHR-C2"/>
    <x v="1"/>
    <s v="P3845VYHR"/>
    <s v="P3845VYHR"/>
    <s v="C2"/>
    <s v="7345816-434001"/>
    <s v="LOTE NÃO FATURADO"/>
    <x v="1"/>
    <s v="28/09/2026"/>
    <s v="28/09/2026"/>
    <s v="SIM"/>
    <s v="29/09/2026"/>
    <n v="17.78"/>
    <s v="SC"/>
    <n v="3"/>
    <n v="3"/>
    <n v="0"/>
    <m/>
    <m/>
    <n v="0.17"/>
  </r>
  <r>
    <m/>
    <x v="1"/>
    <m/>
    <m/>
    <x v="2"/>
    <m/>
    <m/>
    <m/>
    <m/>
    <m/>
    <x v="2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1">
  <r>
    <s v="VALOREM - PATOS"/>
    <x v="0"/>
    <s v="MILHO EM GRAO DESTINADO A SEMENTE P3889R"/>
    <x v="0"/>
    <s v="V3I6CC0330"/>
    <s v="7359269-85902"/>
    <s v="INV26/26"/>
    <s v="C2"/>
    <s v="Informativo de ensaque de classificação"/>
    <x v="0"/>
    <s v="PREVENTIVO"/>
    <s v="LEANDRO MAGALHAES MULLER ROMAGNOLI"/>
    <x v="0"/>
    <s v="0022810/26"/>
    <n v="0"/>
    <s v="KG"/>
    <m/>
    <n v="3"/>
    <n v="0"/>
    <x v="0"/>
    <x v="0"/>
    <x v="0"/>
    <s v="1000 - Aprovação"/>
    <s v="Sim"/>
    <s v="Fracionamento"/>
    <m/>
    <s v="0"/>
    <m/>
    <s v="N/A"/>
    <s v="10/09/2026 11:15:37"/>
    <m/>
    <s v="FRACIONADO PARA CONSUMO"/>
    <s v="Informativo de ensaque de classificação"/>
    <s v="null"/>
    <s v=""/>
    <m/>
  </r>
  <r>
    <s v="VALOREM - PATOS"/>
    <x v="0"/>
    <s v="MILHO EM GRAO DESTINADO A SEMENTE P3889R"/>
    <x v="0"/>
    <s v="V3I6CC0330"/>
    <s v="7359269-85902"/>
    <s v="INV26/26"/>
    <s v="C2"/>
    <s v="Informativo de ensaque de classificação"/>
    <x v="0"/>
    <s v="PREVENTIVO"/>
    <s v="LEANDRO MAGALHAES MULLER ROMAGNOLI"/>
    <x v="0"/>
    <s v="0022814/26"/>
    <n v="224.4"/>
    <s v="KG"/>
    <m/>
    <n v="227.4"/>
    <n v="224.4"/>
    <x v="0"/>
    <x v="0"/>
    <x v="0"/>
    <s v="1000 - Aprovação"/>
    <s v="Sim"/>
    <s v="Fracionamento"/>
    <m/>
    <s v="0"/>
    <m/>
    <s v="N/A"/>
    <s v="10/09/2026 11:15:36"/>
    <m/>
    <s v="FRACIONADO PARA CONSUMO"/>
    <s v="Informativo de ensaque de classificação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00/26"/>
    <n v="1"/>
    <s v="BAG"/>
    <m/>
    <n v="693.5"/>
    <n v="687"/>
    <x v="1"/>
    <x v="1"/>
    <x v="0"/>
    <s v="1000 - Aprovação"/>
    <s v="Sim"/>
    <s v="Alocação física"/>
    <m/>
    <s v="0"/>
    <m/>
    <s v="N/A"/>
    <s v="15/09/2026 14:57:50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02/26"/>
    <n v="1"/>
    <s v="BAG"/>
    <m/>
    <n v="693.5"/>
    <n v="687"/>
    <x v="1"/>
    <x v="1"/>
    <x v="1"/>
    <s v="1000 - Aprovação"/>
    <s v="Sim"/>
    <s v="Alocação física"/>
    <m/>
    <s v="0"/>
    <m/>
    <s v="N/A"/>
    <s v="15/09/2026 14:57:19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04/26"/>
    <n v="1"/>
    <s v="BAG"/>
    <m/>
    <n v="693.5"/>
    <n v="687"/>
    <x v="1"/>
    <x v="1"/>
    <x v="0"/>
    <s v="1000 - Aprovação"/>
    <s v="Sim"/>
    <s v="Alocação física"/>
    <m/>
    <s v="0"/>
    <m/>
    <s v="N/A"/>
    <s v="15/09/2026 14:57:54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06/26"/>
    <n v="1"/>
    <s v="BAG"/>
    <m/>
    <n v="689.5"/>
    <n v="687"/>
    <x v="1"/>
    <x v="1"/>
    <x v="0"/>
    <s v="1000 - Aprovação"/>
    <s v="Sim"/>
    <s v="Alocação física"/>
    <m/>
    <s v="0"/>
    <m/>
    <s v="N/A"/>
    <s v="15/09/2026 14:57:59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08/26"/>
    <n v="1"/>
    <s v="BAG"/>
    <m/>
    <n v="693"/>
    <n v="687"/>
    <x v="1"/>
    <x v="1"/>
    <x v="0"/>
    <s v="1000 - Aprovação"/>
    <s v="Sim"/>
    <s v="Alocação física"/>
    <m/>
    <s v="0"/>
    <m/>
    <s v="N/A"/>
    <s v="15/09/2026 14:58:03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10/26"/>
    <n v="1"/>
    <s v="BAG"/>
    <m/>
    <n v="693.5"/>
    <n v="687"/>
    <x v="1"/>
    <x v="1"/>
    <x v="1"/>
    <s v="1000 - Aprovação"/>
    <s v="Sim"/>
    <s v="Alocação física"/>
    <m/>
    <s v="0"/>
    <m/>
    <s v="N/A"/>
    <s v="15/09/2026 14:58:25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12/26"/>
    <n v="1"/>
    <s v="BAG"/>
    <m/>
    <n v="693.5"/>
    <n v="687"/>
    <x v="1"/>
    <x v="1"/>
    <x v="1"/>
    <s v="1000 - Aprovação"/>
    <s v="Sim"/>
    <s v="Alocação física"/>
    <m/>
    <s v="0"/>
    <m/>
    <s v="N/A"/>
    <s v="15/09/2026 14:58:10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14/26"/>
    <n v="1"/>
    <s v="BAG"/>
    <m/>
    <n v="693"/>
    <n v="687"/>
    <x v="1"/>
    <x v="1"/>
    <x v="1"/>
    <s v="1000 - Aprovação"/>
    <s v="Sim"/>
    <s v="Alocação física"/>
    <m/>
    <s v="0"/>
    <m/>
    <s v="N/A"/>
    <s v="15/09/2026 14:58:06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17/26"/>
    <n v="1"/>
    <s v="BAG"/>
    <m/>
    <n v="693.5"/>
    <n v="687"/>
    <x v="1"/>
    <x v="1"/>
    <x v="0"/>
    <s v="1000 - Aprovação"/>
    <s v="Sim"/>
    <s v="Alocação física"/>
    <m/>
    <s v="0"/>
    <m/>
    <s v="N/A"/>
    <s v="15/09/2026 14:57:39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19/26"/>
    <n v="1"/>
    <s v="BAG"/>
    <m/>
    <n v="693.5"/>
    <n v="687"/>
    <x v="1"/>
    <x v="1"/>
    <x v="0"/>
    <s v="1000 - Aprovação"/>
    <s v="Sim"/>
    <s v="Alocação física"/>
    <m/>
    <s v="0"/>
    <m/>
    <s v="N/A"/>
    <s v="15/09/2026 14:57:43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21/26"/>
    <n v="1"/>
    <s v="BAG"/>
    <m/>
    <n v="693.5"/>
    <n v="687"/>
    <x v="1"/>
    <x v="1"/>
    <x v="0"/>
    <s v="1000 - Aprovação"/>
    <s v="Sim"/>
    <s v="Alocação física"/>
    <m/>
    <s v="0"/>
    <m/>
    <s v="N/A"/>
    <s v="15/09/2026 14:57:46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23/26"/>
    <n v="1"/>
    <s v="BAG"/>
    <m/>
    <n v="690"/>
    <n v="687"/>
    <x v="1"/>
    <x v="1"/>
    <x v="0"/>
    <s v="1000 - Aprovação"/>
    <s v="Sim"/>
    <s v="Alocação física"/>
    <m/>
    <s v="0"/>
    <m/>
    <s v="N/A"/>
    <s v="15/09/2026 14:58:21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26/26"/>
    <n v="1"/>
    <s v="BAG"/>
    <m/>
    <n v="693.5"/>
    <n v="687"/>
    <x v="1"/>
    <x v="1"/>
    <x v="0"/>
    <s v="1000 - Aprovação"/>
    <s v="Sim"/>
    <s v="Alocação física"/>
    <m/>
    <s v="0"/>
    <m/>
    <s v="N/A"/>
    <s v="15/09/2026 14:58:17"/>
    <m/>
    <s v=""/>
    <s v="Informativo de ensaque clean para PA"/>
    <s v="null"/>
    <s v=""/>
    <m/>
  </r>
  <r>
    <s v="VALOREM - PATOS"/>
    <x v="0"/>
    <s v="SEMENTE DE MILHO HIBRIDO - P3889R R4 BB -"/>
    <x v="0"/>
    <s v="03P7600741"/>
    <s v="7359269-85902"/>
    <s v="INV26/26"/>
    <s v="R4"/>
    <s v="Informativo de ensaque clean para PA"/>
    <x v="1"/>
    <s v="STANDARD + P + D + L + L"/>
    <s v="JULIO CESAR VIEIRA SILVA"/>
    <x v="1"/>
    <s v="0022928/26"/>
    <n v="1"/>
    <s v="BAG"/>
    <m/>
    <n v="693.5"/>
    <n v="687"/>
    <x v="1"/>
    <x v="1"/>
    <x v="0"/>
    <s v="1000 - Aprovação"/>
    <s v="Sim"/>
    <s v="Alocação física"/>
    <m/>
    <s v="0"/>
    <m/>
    <s v="N/A"/>
    <s v="15/09/2026 14:58:13"/>
    <m/>
    <s v=""/>
    <s v="Informativo de ensaque clean para PA"/>
    <s v="null"/>
    <s v=""/>
    <m/>
  </r>
  <r>
    <s v="VALOREM - PATOS"/>
    <x v="0"/>
    <s v="SEMENTE DE MILHO HIBRIDO - P3889R R4 60S -"/>
    <x v="0"/>
    <s v="03P7609023"/>
    <s v="7359269-85902"/>
    <s v="INV26/26"/>
    <s v="R4"/>
    <s v="Informativo de ensaque clean para PA"/>
    <x v="2"/>
    <s v="STANDARD + P + D + L + L"/>
    <s v="RODRIGO SILVA"/>
    <x v="1"/>
    <s v="0022931/26"/>
    <n v="11"/>
    <s v="SC"/>
    <m/>
    <n v="182"/>
    <n v="151.13999999999999"/>
    <x v="1"/>
    <x v="2"/>
    <x v="1"/>
    <s v="1000 - Aprovação"/>
    <s v="Sim"/>
    <s v="Recepção do lote"/>
    <m/>
    <s v="0"/>
    <m/>
    <s v="N/A"/>
    <s v="08/09/2026 14:47:47"/>
    <m/>
    <m/>
    <s v="Informativo de ensaque clean para PA"/>
    <s v="null"/>
    <s v=""/>
    <m/>
  </r>
  <r>
    <s v="VALOREM - PATOS"/>
    <x v="0"/>
    <s v="SEMENTE DE MILHO HIBRIDO - P3889R R3C 60S -"/>
    <x v="0"/>
    <s v="03P7609117"/>
    <s v="7359269-85902"/>
    <s v="INV26/26"/>
    <s v="R3C"/>
    <s v="Informativo de ensaque clean para PA"/>
    <x v="2"/>
    <s v="STANDARD + P + D + L + L"/>
    <s v="RODRIGO SILVA"/>
    <x v="1"/>
    <s v="0022958/26"/>
    <n v="9"/>
    <s v="SC"/>
    <m/>
    <n v="159.5"/>
    <n v="127.35"/>
    <x v="1"/>
    <x v="2"/>
    <x v="0"/>
    <s v="1000 - Aprovação"/>
    <s v="Sim"/>
    <s v="Recepção do lote"/>
    <m/>
    <s v="0"/>
    <m/>
    <s v="N/A"/>
    <s v="09/09/2026 08:21:46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61/26"/>
    <n v="1"/>
    <s v="BAG"/>
    <m/>
    <n v="767"/>
    <n v="760"/>
    <x v="1"/>
    <x v="3"/>
    <x v="1"/>
    <s v="1000 - Aprovação"/>
    <s v="Sim"/>
    <s v="Recepção do lote"/>
    <m/>
    <s v="0"/>
    <m/>
    <s v="N/A"/>
    <s v="09/09/2026 08:29:39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63/26"/>
    <n v="1"/>
    <s v="BAG"/>
    <m/>
    <n v="766.5"/>
    <n v="760"/>
    <x v="1"/>
    <x v="3"/>
    <x v="1"/>
    <s v="1000 - Aprovação"/>
    <s v="Sim"/>
    <s v="Recepção do lote"/>
    <m/>
    <s v="0"/>
    <m/>
    <s v="N/A"/>
    <s v="09/09/2026 08:32:19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65/26"/>
    <n v="1"/>
    <s v="BAG"/>
    <m/>
    <n v="764.5"/>
    <n v="760"/>
    <x v="1"/>
    <x v="3"/>
    <x v="1"/>
    <s v="1000 - Aprovação"/>
    <s v="Sim"/>
    <s v="Recepção do lote"/>
    <m/>
    <s v="0"/>
    <m/>
    <s v="N/A"/>
    <s v="09/09/2026 08:33:42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67/26"/>
    <n v="1"/>
    <s v="BAG"/>
    <m/>
    <n v="766"/>
    <n v="760"/>
    <x v="1"/>
    <x v="3"/>
    <x v="1"/>
    <s v="1000 - Aprovação"/>
    <s v="Sim"/>
    <s v="Recepção do lote"/>
    <m/>
    <s v="0"/>
    <m/>
    <s v="N/A"/>
    <s v="09/09/2026 08:34:15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69/26"/>
    <n v="1"/>
    <s v="BAG"/>
    <m/>
    <n v="762"/>
    <n v="760"/>
    <x v="1"/>
    <x v="3"/>
    <x v="1"/>
    <s v="1000 - Aprovação"/>
    <s v="Sim"/>
    <s v="Recepção do lote"/>
    <m/>
    <s v="0"/>
    <m/>
    <s v="N/A"/>
    <s v="09/09/2026 08:33:13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71/26"/>
    <n v="1"/>
    <s v="BAG"/>
    <m/>
    <n v="765.5"/>
    <n v="760"/>
    <x v="1"/>
    <x v="3"/>
    <x v="1"/>
    <s v="1000 - Aprovação"/>
    <s v="Sim"/>
    <s v="Recepção do lote"/>
    <m/>
    <s v="0"/>
    <m/>
    <s v="N/A"/>
    <s v="09/09/2026 08:34:53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73/26"/>
    <n v="1"/>
    <s v="BAG"/>
    <m/>
    <n v="766.5"/>
    <n v="760"/>
    <x v="1"/>
    <x v="3"/>
    <x v="1"/>
    <s v="1000 - Aprovação"/>
    <s v="Sim"/>
    <s v="Recepção do lote"/>
    <m/>
    <s v="0"/>
    <m/>
    <s v="N/A"/>
    <s v="09/09/2026 08:35:22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75/26"/>
    <n v="1"/>
    <s v="BAG"/>
    <m/>
    <n v="766"/>
    <n v="760"/>
    <x v="1"/>
    <x v="3"/>
    <x v="1"/>
    <s v="1000 - Aprovação"/>
    <s v="Sim"/>
    <s v="Recepção do lote"/>
    <m/>
    <s v="0"/>
    <m/>
    <s v="N/A"/>
    <s v="09/09/2026 08:36:42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77/26"/>
    <n v="1"/>
    <s v="BAG"/>
    <m/>
    <n v="761.5"/>
    <n v="760"/>
    <x v="1"/>
    <x v="3"/>
    <x v="1"/>
    <s v="1000 - Aprovação"/>
    <s v="Sim"/>
    <s v="Recepção do lote"/>
    <m/>
    <s v="0"/>
    <m/>
    <s v="N/A"/>
    <s v="09/09/2026 08:36:14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79/26"/>
    <n v="1"/>
    <s v="BAG"/>
    <m/>
    <n v="761.5"/>
    <n v="760"/>
    <x v="1"/>
    <x v="3"/>
    <x v="1"/>
    <s v="1000 - Aprovação"/>
    <s v="Sim"/>
    <s v="Recepção do lote"/>
    <m/>
    <s v="0"/>
    <m/>
    <s v="N/A"/>
    <s v="09/09/2026 08:37:41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81/26"/>
    <n v="1"/>
    <s v="BAG"/>
    <m/>
    <n v="760.5"/>
    <n v="760"/>
    <x v="1"/>
    <x v="3"/>
    <x v="1"/>
    <s v="1000 - Aprovação"/>
    <s v="Sim"/>
    <s v="Recepção do lote"/>
    <m/>
    <s v="0"/>
    <m/>
    <s v="N/A"/>
    <s v="09/09/2026 08:37:10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83/26"/>
    <n v="1"/>
    <s v="BAG"/>
    <m/>
    <n v="764.5"/>
    <n v="760"/>
    <x v="1"/>
    <x v="3"/>
    <x v="1"/>
    <s v="1000 - Aprovação"/>
    <s v="Sim"/>
    <s v="Recepção do lote"/>
    <m/>
    <s v="0"/>
    <m/>
    <s v="N/A"/>
    <s v="09/09/2026 08:38:09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85/26"/>
    <n v="1"/>
    <s v="BAG"/>
    <m/>
    <n v="760.5"/>
    <n v="760"/>
    <x v="1"/>
    <x v="3"/>
    <x v="1"/>
    <s v="1000 - Aprovação"/>
    <s v="Sim"/>
    <s v="Recepção do lote"/>
    <m/>
    <s v="0"/>
    <m/>
    <s v="N/A"/>
    <s v="09/09/2026 08:29:01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87/26"/>
    <n v="1"/>
    <s v="BAG"/>
    <m/>
    <n v="764"/>
    <n v="760"/>
    <x v="1"/>
    <x v="3"/>
    <x v="1"/>
    <s v="1000 - Aprovação"/>
    <s v="Sim"/>
    <s v="Recepção do lote"/>
    <m/>
    <s v="0"/>
    <m/>
    <s v="N/A"/>
    <s v="09/09/2026 08:35:49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89/26"/>
    <n v="1"/>
    <s v="BAG"/>
    <m/>
    <n v="765"/>
    <n v="760"/>
    <x v="1"/>
    <x v="3"/>
    <x v="1"/>
    <s v="1000 - Aprovação"/>
    <s v="Sim"/>
    <s v="Recepção do lote"/>
    <m/>
    <s v="0"/>
    <m/>
    <s v="N/A"/>
    <s v="09/09/2026 08:30:45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91/26"/>
    <n v="1"/>
    <s v="BAG"/>
    <m/>
    <n v="760.5"/>
    <n v="760"/>
    <x v="1"/>
    <x v="3"/>
    <x v="1"/>
    <s v="1000 - Aprovação"/>
    <s v="Sim"/>
    <s v="Recepção do lote"/>
    <m/>
    <s v="0"/>
    <m/>
    <s v="N/A"/>
    <s v="09/09/2026 08:32:45"/>
    <m/>
    <m/>
    <s v="Informativo de ensaque clean para PA"/>
    <s v="null"/>
    <s v=""/>
    <m/>
  </r>
  <r>
    <s v="VALOREM - PATOS"/>
    <x v="0"/>
    <s v="SEMENTE DE MILHO HIBRIDO - P3889R R3 BB -"/>
    <x v="0"/>
    <s v="03P7600705"/>
    <s v="7359269-85902"/>
    <s v="INV26/26"/>
    <s v="R3"/>
    <s v="Informativo de ensaque clean para PA"/>
    <x v="1"/>
    <s v="STANDARD + P + D + L + L"/>
    <s v="RODRIGO SILVA"/>
    <x v="1"/>
    <s v="0022993/26"/>
    <n v="1"/>
    <s v="BAG"/>
    <m/>
    <n v="760"/>
    <n v="760"/>
    <x v="1"/>
    <x v="3"/>
    <x v="1"/>
    <s v="1000 - Aprovação"/>
    <s v="Sim"/>
    <s v="Recepção do lote"/>
    <m/>
    <s v="0"/>
    <m/>
    <s v="N/A"/>
    <s v="09/09/2026 08:30:06"/>
    <m/>
    <m/>
    <s v="Informativo de ensaque clean para PA"/>
    <s v="null"/>
    <s v=""/>
    <m/>
  </r>
  <r>
    <s v="VALOREM - PATOS"/>
    <x v="0"/>
    <s v="SEMENTE DE MILHO HIBRIDO - P3889R R3 60S -"/>
    <x v="0"/>
    <s v="03P7609046"/>
    <s v="7359269-85902"/>
    <s v="INV26/26"/>
    <s v="R3"/>
    <s v="Informativo de ensaque clean para PA"/>
    <x v="2"/>
    <s v="STANDARD + P + D + L + L"/>
    <s v="RODRIGO SILVA"/>
    <x v="1"/>
    <s v="0022995/26"/>
    <n v="13"/>
    <s v="SC"/>
    <m/>
    <n v="229"/>
    <n v="197.6"/>
    <x v="1"/>
    <x v="2"/>
    <x v="0"/>
    <s v="1000 - Aprovação"/>
    <s v="Sim"/>
    <s v="Recepção do lote"/>
    <m/>
    <s v="0"/>
    <m/>
    <s v="N/A"/>
    <s v="09/09/2026 08:24:21"/>
    <m/>
    <m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02/26"/>
    <n v="1"/>
    <s v="BAG"/>
    <m/>
    <n v="753.5"/>
    <n v="748.5"/>
    <x v="1"/>
    <x v="4"/>
    <x v="0"/>
    <s v="1000 - Aprovação"/>
    <s v="Sim"/>
    <s v="Alocação física"/>
    <m/>
    <s v="0"/>
    <m/>
    <s v="N/A"/>
    <s v="15/09/2026 14:55:36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04/26"/>
    <n v="1"/>
    <s v="BAG"/>
    <m/>
    <n v="749"/>
    <n v="748.5"/>
    <x v="1"/>
    <x v="4"/>
    <x v="0"/>
    <s v="1000 - Aprovação"/>
    <s v="Sim"/>
    <s v="Alocação física"/>
    <m/>
    <s v="0"/>
    <m/>
    <s v="N/A"/>
    <s v="15/09/2026 14:55:21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06/26"/>
    <n v="1"/>
    <s v="BAG"/>
    <m/>
    <n v="752"/>
    <n v="748.5"/>
    <x v="1"/>
    <x v="4"/>
    <x v="0"/>
    <s v="1000 - Aprovação"/>
    <s v="Sim"/>
    <s v="Alocação física"/>
    <m/>
    <s v="0"/>
    <m/>
    <s v="N/A"/>
    <s v="15/09/2026 14:55:45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08/26"/>
    <n v="1"/>
    <s v="BAG"/>
    <m/>
    <n v="750"/>
    <n v="748.5"/>
    <x v="1"/>
    <x v="4"/>
    <x v="0"/>
    <s v="1000 - Aprovação"/>
    <s v="Sim"/>
    <s v="Alocação física"/>
    <m/>
    <s v="0"/>
    <m/>
    <s v="N/A"/>
    <s v="15/09/2026 14:56:50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10/26"/>
    <n v="1"/>
    <s v="BAG"/>
    <m/>
    <n v="753.5"/>
    <n v="748.5"/>
    <x v="1"/>
    <x v="4"/>
    <x v="0"/>
    <s v="1000 - Aprovação"/>
    <s v="Sim"/>
    <s v="Alocação física"/>
    <m/>
    <s v="0"/>
    <m/>
    <s v="N/A"/>
    <s v="15/09/2026 14:56:43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12/26"/>
    <n v="1"/>
    <s v="BAG"/>
    <m/>
    <n v="750"/>
    <n v="748.5"/>
    <x v="1"/>
    <x v="4"/>
    <x v="0"/>
    <s v="1000 - Aprovação"/>
    <s v="Sim"/>
    <s v="Alocação física"/>
    <m/>
    <s v="0"/>
    <m/>
    <s v="N/A"/>
    <s v="15/09/2026 14:56:54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14/26"/>
    <n v="1"/>
    <s v="BAG"/>
    <m/>
    <n v="753"/>
    <n v="748.5"/>
    <x v="1"/>
    <x v="4"/>
    <x v="0"/>
    <s v="1000 - Aprovação"/>
    <s v="Sim"/>
    <s v="Alocação física"/>
    <m/>
    <s v="0"/>
    <m/>
    <s v="N/A"/>
    <s v="15/09/2026 14:56:46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16/26"/>
    <n v="1"/>
    <s v="BAG"/>
    <m/>
    <n v="753.5"/>
    <n v="748.5"/>
    <x v="1"/>
    <x v="4"/>
    <x v="0"/>
    <s v="1000 - Aprovação"/>
    <s v="Sim"/>
    <s v="Alocação física"/>
    <m/>
    <s v="0"/>
    <m/>
    <s v="N/A"/>
    <s v="15/09/2026 14:57:01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18/26"/>
    <n v="1"/>
    <s v="BAG"/>
    <m/>
    <n v="754.5"/>
    <n v="748.5"/>
    <x v="1"/>
    <x v="4"/>
    <x v="0"/>
    <s v="1000 - Aprovação"/>
    <s v="Sim"/>
    <s v="Alocação física"/>
    <m/>
    <s v="0"/>
    <m/>
    <s v="N/A"/>
    <s v="15/09/2026 14:56:58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22/26"/>
    <n v="1"/>
    <s v="BAG"/>
    <m/>
    <n v="752"/>
    <n v="748.5"/>
    <x v="1"/>
    <x v="4"/>
    <x v="0"/>
    <s v="1000 - Aprovação"/>
    <s v="Sim"/>
    <s v="Alocação física"/>
    <m/>
    <s v="0"/>
    <m/>
    <s v="N/A"/>
    <s v="15/09/2026 14:56:00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24/26"/>
    <n v="1"/>
    <s v="BAG"/>
    <m/>
    <n v="753"/>
    <n v="748.5"/>
    <x v="1"/>
    <x v="4"/>
    <x v="0"/>
    <s v="1000 - Aprovação"/>
    <s v="Sim"/>
    <s v="Alocação física"/>
    <m/>
    <s v="0"/>
    <m/>
    <s v="N/A"/>
    <s v="15/09/2026 14:57:07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26/26"/>
    <n v="1"/>
    <s v="BAG"/>
    <m/>
    <n v="754.5"/>
    <n v="748.5"/>
    <x v="1"/>
    <x v="4"/>
    <x v="0"/>
    <s v="1000 - Aprovação"/>
    <s v="Sim"/>
    <s v="Alocação física"/>
    <m/>
    <s v="0"/>
    <m/>
    <s v="N/A"/>
    <s v="15/09/2026 14:56:15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28/26"/>
    <n v="1"/>
    <s v="BAG"/>
    <m/>
    <n v="755.5"/>
    <n v="748.5"/>
    <x v="1"/>
    <x v="4"/>
    <x v="0"/>
    <s v="1000 - Aprovação"/>
    <s v="Sim"/>
    <s v="Alocação física"/>
    <m/>
    <s v="0"/>
    <m/>
    <s v="N/A"/>
    <s v="15/09/2026 14:56:40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30/26"/>
    <n v="1"/>
    <s v="BAG"/>
    <m/>
    <n v="755.5"/>
    <n v="748.5"/>
    <x v="1"/>
    <x v="4"/>
    <x v="0"/>
    <s v="1000 - Aprovação"/>
    <s v="Sim"/>
    <s v="Alocação física"/>
    <m/>
    <s v="0"/>
    <m/>
    <s v="N/A"/>
    <s v="15/09/2026 14:56:25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32/26"/>
    <n v="1"/>
    <s v="BAG"/>
    <m/>
    <n v="755.5"/>
    <n v="748.5"/>
    <x v="1"/>
    <x v="4"/>
    <x v="0"/>
    <s v="1000 - Aprovação"/>
    <s v="Sim"/>
    <s v="Alocação física"/>
    <m/>
    <s v="0"/>
    <m/>
    <s v="N/A"/>
    <s v="15/09/2026 14:56:36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33/26"/>
    <n v="1"/>
    <s v="BAG"/>
    <m/>
    <n v="755"/>
    <n v="748.5"/>
    <x v="1"/>
    <x v="4"/>
    <x v="0"/>
    <s v="1000 - Aprovação"/>
    <s v="Sim"/>
    <s v="Alocação física"/>
    <m/>
    <s v="0"/>
    <m/>
    <s v="N/A"/>
    <s v="15/09/2026 14:56:32"/>
    <m/>
    <s v=""/>
    <s v="Informativo de ensaque clean para PA"/>
    <s v="null"/>
    <s v=""/>
    <m/>
  </r>
  <r>
    <s v="VALOREM - PATOS"/>
    <x v="0"/>
    <s v="SEMENTE DE MILHO HIBRIDO - P3889R R3 BB -"/>
    <x v="0"/>
    <s v="03P7600730"/>
    <s v="7359269-85902"/>
    <s v="INV26/26"/>
    <s v="R3"/>
    <s v="Informativo de ensaque clean para PA"/>
    <x v="1"/>
    <s v="STANDARD + P + D + L + L"/>
    <s v="GUILHERME ALFENAS DE OLIVEIRA"/>
    <x v="1"/>
    <s v="0023034/26"/>
    <n v="1"/>
    <s v="BAG"/>
    <m/>
    <n v="750.5"/>
    <n v="748.5"/>
    <x v="1"/>
    <x v="4"/>
    <x v="0"/>
    <s v="1000 - Aprovação"/>
    <s v="Sim"/>
    <s v="Alocação física"/>
    <m/>
    <s v="0"/>
    <m/>
    <s v="N/A"/>
    <s v="15/09/2026 14:55:48"/>
    <m/>
    <s v=""/>
    <s v="Informativo de ensaque clean para PA"/>
    <s v="null"/>
    <s v=""/>
    <m/>
  </r>
  <r>
    <s v="VALOREM - PATOS"/>
    <x v="0"/>
    <s v="SEMENTE DE MILHO HIBRIDO - P3889R R3 60S -"/>
    <x v="0"/>
    <s v="03P7609050"/>
    <s v="7359269-85902"/>
    <s v="INV26/26"/>
    <s v="R3"/>
    <s v="Informativo de ensaque clean para PA"/>
    <x v="2"/>
    <s v="STANDARD + P + D + L + L"/>
    <s v="RODRIGO SILVA"/>
    <x v="1"/>
    <s v="0023035/26"/>
    <n v="49"/>
    <s v="SC"/>
    <m/>
    <n v="772"/>
    <n v="733.53"/>
    <x v="1"/>
    <x v="2"/>
    <x v="0"/>
    <s v="1000 - Aprovação"/>
    <s v="Sim"/>
    <s v="Recepção do lote"/>
    <m/>
    <s v="0"/>
    <m/>
    <s v="N/A"/>
    <s v="09/09/2026 10:18:02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36/26"/>
    <n v="1"/>
    <s v="BAG"/>
    <m/>
    <n v="685"/>
    <n v="678.5"/>
    <x v="1"/>
    <x v="5"/>
    <x v="1"/>
    <s v="1000 - Aprovação"/>
    <s v="Sim"/>
    <s v="Recepção do lote"/>
    <m/>
    <s v="0"/>
    <m/>
    <s v="N/A"/>
    <s v="09/09/2026 13:29:55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38/26"/>
    <n v="1"/>
    <s v="BAG"/>
    <m/>
    <n v="685"/>
    <n v="678.5"/>
    <x v="1"/>
    <x v="5"/>
    <x v="0"/>
    <s v="1000 - Aprovação"/>
    <s v="Sim"/>
    <s v="Recepção do lote"/>
    <m/>
    <s v="0"/>
    <m/>
    <s v="N/A"/>
    <s v="09/09/2026 13:31:19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40/26"/>
    <n v="1"/>
    <s v="BAG"/>
    <m/>
    <n v="679"/>
    <n v="678.5"/>
    <x v="1"/>
    <x v="5"/>
    <x v="0"/>
    <s v="1000 - Aprovação"/>
    <s v="Sim"/>
    <s v="Recepção do lote"/>
    <m/>
    <s v="0"/>
    <m/>
    <s v="N/A"/>
    <s v="09/09/2026 13:30:14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42/26"/>
    <n v="1"/>
    <s v="BAG"/>
    <m/>
    <n v="681.5"/>
    <n v="678.5"/>
    <x v="1"/>
    <x v="5"/>
    <x v="0"/>
    <s v="1000 - Aprovação"/>
    <s v="Sim"/>
    <s v="Recepção do lote"/>
    <m/>
    <s v="0"/>
    <m/>
    <s v="N/A"/>
    <s v="09/09/2026 13:31:40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44/26"/>
    <n v="1"/>
    <s v="BAG"/>
    <m/>
    <n v="682.5"/>
    <n v="678.5"/>
    <x v="1"/>
    <x v="5"/>
    <x v="0"/>
    <s v="1000 - Aprovação"/>
    <s v="Sim"/>
    <s v="Recepção do lote"/>
    <m/>
    <s v="0"/>
    <m/>
    <s v="N/A"/>
    <s v="09/09/2026 13:27:02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46/26"/>
    <n v="1"/>
    <s v="BAG"/>
    <m/>
    <n v="681"/>
    <n v="678.5"/>
    <x v="1"/>
    <x v="5"/>
    <x v="0"/>
    <s v="1000 - Aprovação"/>
    <s v="Sim"/>
    <s v="Recepção do lote"/>
    <m/>
    <s v="0"/>
    <m/>
    <s v="N/A"/>
    <s v="09/09/2026 12:09:56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48/26"/>
    <n v="1"/>
    <s v="BAG"/>
    <m/>
    <n v="684.5"/>
    <n v="678.5"/>
    <x v="1"/>
    <x v="5"/>
    <x v="0"/>
    <s v="1000 - Aprovação"/>
    <s v="Sim"/>
    <s v="Recepção do lote"/>
    <m/>
    <s v="0"/>
    <m/>
    <s v="N/A"/>
    <s v="09/09/2026 12:09:24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50/26"/>
    <n v="1"/>
    <s v="BAG"/>
    <m/>
    <n v="682.5"/>
    <n v="678.5"/>
    <x v="1"/>
    <x v="5"/>
    <x v="1"/>
    <s v="1000 - Aprovação"/>
    <s v="Sim"/>
    <s v="Recepção do lote"/>
    <m/>
    <s v="0"/>
    <m/>
    <s v="N/A"/>
    <s v="09/09/2026 13:33:12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52/26"/>
    <n v="1"/>
    <s v="BAG"/>
    <m/>
    <n v="681.5"/>
    <n v="678.5"/>
    <x v="1"/>
    <x v="5"/>
    <x v="1"/>
    <s v="1000 - Aprovação"/>
    <s v="Sim"/>
    <s v="Recepção do lote"/>
    <m/>
    <s v="0"/>
    <m/>
    <s v="N/A"/>
    <s v="09/09/2026 13:32:27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54/26"/>
    <n v="1"/>
    <s v="BAG"/>
    <m/>
    <n v="682.5"/>
    <n v="678.5"/>
    <x v="1"/>
    <x v="5"/>
    <x v="1"/>
    <s v="1000 - Aprovação"/>
    <s v="Sim"/>
    <s v="Recepção do lote"/>
    <m/>
    <s v="0"/>
    <m/>
    <s v="N/A"/>
    <s v="09/09/2026 13:32:50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56/26"/>
    <n v="1"/>
    <s v="BAG"/>
    <m/>
    <n v="680.5"/>
    <n v="678.5"/>
    <x v="1"/>
    <x v="5"/>
    <x v="1"/>
    <s v="1000 - Aprovação"/>
    <s v="Sim"/>
    <s v="Recepção do lote"/>
    <m/>
    <s v="0"/>
    <m/>
    <s v="N/A"/>
    <s v="09/09/2026 13:32:06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58/26"/>
    <n v="1"/>
    <s v="BAG"/>
    <m/>
    <n v="678.5"/>
    <n v="678.5"/>
    <x v="1"/>
    <x v="5"/>
    <x v="0"/>
    <s v="1000 - Aprovação"/>
    <s v="Sim"/>
    <s v="Recepção do lote"/>
    <m/>
    <s v="0"/>
    <m/>
    <s v="N/A"/>
    <s v="09/09/2026 13:27:25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60/26"/>
    <n v="1"/>
    <s v="BAG"/>
    <m/>
    <n v="681"/>
    <n v="678.5"/>
    <x v="1"/>
    <x v="5"/>
    <x v="1"/>
    <s v="1000 - Aprovação"/>
    <s v="Sim"/>
    <s v="Recepção do lote"/>
    <m/>
    <s v="0"/>
    <m/>
    <s v="N/A"/>
    <s v="09/09/2026 12:12:47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62/26"/>
    <n v="1"/>
    <s v="BAG"/>
    <m/>
    <n v="681.5"/>
    <n v="678.5"/>
    <x v="1"/>
    <x v="5"/>
    <x v="1"/>
    <s v="1000 - Aprovação"/>
    <s v="Sim"/>
    <s v="Recepção do lote"/>
    <m/>
    <s v="0"/>
    <m/>
    <s v="N/A"/>
    <s v="09/09/2026 12:12:21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64/26"/>
    <n v="1"/>
    <s v="BAG"/>
    <m/>
    <n v="684.5"/>
    <n v="678.5"/>
    <x v="1"/>
    <x v="5"/>
    <x v="0"/>
    <s v="1000 - Aprovação"/>
    <s v="Sim"/>
    <s v="Recepção do lote"/>
    <m/>
    <s v="0"/>
    <m/>
    <s v="N/A"/>
    <s v="09/09/2026 12:11:33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66/26"/>
    <n v="1"/>
    <s v="BAG"/>
    <m/>
    <n v="682.5"/>
    <n v="678.5"/>
    <x v="1"/>
    <x v="5"/>
    <x v="1"/>
    <s v="1000 - Aprovação"/>
    <s v="Sim"/>
    <s v="Recepção do lote"/>
    <m/>
    <s v="0"/>
    <m/>
    <s v="N/A"/>
    <s v="09/09/2026 13:29:34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68/26"/>
    <n v="1"/>
    <s v="BAG"/>
    <m/>
    <n v="682.5"/>
    <n v="678.5"/>
    <x v="1"/>
    <x v="5"/>
    <x v="0"/>
    <s v="1000 - Aprovação"/>
    <s v="Sim"/>
    <s v="Recepção do lote"/>
    <m/>
    <s v="0"/>
    <m/>
    <s v="N/A"/>
    <s v="09/09/2026 13:25:44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70/26"/>
    <n v="1"/>
    <s v="BAG"/>
    <m/>
    <n v="681.5"/>
    <n v="678.5"/>
    <x v="1"/>
    <x v="5"/>
    <x v="1"/>
    <s v="1000 - Aprovação"/>
    <s v="Sim"/>
    <s v="Recepção do lote"/>
    <m/>
    <s v="0"/>
    <m/>
    <s v="N/A"/>
    <s v="09/09/2026 13:28:22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72/26"/>
    <n v="1"/>
    <s v="BAG"/>
    <m/>
    <n v="680"/>
    <n v="678.5"/>
    <x v="1"/>
    <x v="5"/>
    <x v="1"/>
    <s v="1000 - Aprovação"/>
    <s v="Sim"/>
    <s v="Recepção do lote"/>
    <m/>
    <s v="0"/>
    <m/>
    <s v="N/A"/>
    <s v="09/09/2026 13:29:07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74/26"/>
    <n v="1"/>
    <s v="BAG"/>
    <m/>
    <n v="681"/>
    <n v="678.5"/>
    <x v="1"/>
    <x v="5"/>
    <x v="1"/>
    <s v="1000 - Aprovação"/>
    <s v="Sim"/>
    <s v="Recepção do lote"/>
    <m/>
    <s v="0"/>
    <m/>
    <s v="N/A"/>
    <s v="09/09/2026 13:28:48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76/26"/>
    <n v="1"/>
    <s v="BAG"/>
    <m/>
    <n v="685"/>
    <n v="678.5"/>
    <x v="1"/>
    <x v="5"/>
    <x v="0"/>
    <s v="1000 - Aprovação"/>
    <s v="Sim"/>
    <s v="Recepção do lote"/>
    <m/>
    <s v="0"/>
    <m/>
    <s v="N/A"/>
    <s v="09/09/2026 13:26:16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78/26"/>
    <n v="1"/>
    <s v="BAG"/>
    <m/>
    <n v="679.5"/>
    <n v="678.5"/>
    <x v="1"/>
    <x v="5"/>
    <x v="0"/>
    <s v="1000 - Aprovação"/>
    <s v="Sim"/>
    <s v="Recepção do lote"/>
    <m/>
    <s v="0"/>
    <m/>
    <s v="N/A"/>
    <s v="09/09/2026 13:27:45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80/26"/>
    <n v="1"/>
    <s v="BAG"/>
    <m/>
    <n v="685"/>
    <n v="678.5"/>
    <x v="1"/>
    <x v="5"/>
    <x v="0"/>
    <s v="1000 - Aprovação"/>
    <s v="Sim"/>
    <s v="Recepção do lote"/>
    <m/>
    <s v="0"/>
    <m/>
    <s v="N/A"/>
    <s v="09/09/2026 13:30:30"/>
    <m/>
    <m/>
    <s v="Informativo de ensaque clean para PA"/>
    <s v="null"/>
    <s v=""/>
    <m/>
  </r>
  <r>
    <s v="VALOREM - PATOS"/>
    <x v="0"/>
    <s v="SEMENTE DE MILHO HIBRIDO - P3889R C3 BB -"/>
    <x v="0"/>
    <s v="03P7600779"/>
    <s v="7359269-85902"/>
    <s v="INV26/26"/>
    <s v="C3"/>
    <s v="Informativo de ensaque clean para PA"/>
    <x v="1"/>
    <s v="STANDARD + P + D + L + L"/>
    <s v="RODRIGO SILVA"/>
    <x v="1"/>
    <s v="0023082/26"/>
    <n v="1"/>
    <s v="BAG"/>
    <m/>
    <n v="681"/>
    <n v="678.5"/>
    <x v="1"/>
    <x v="5"/>
    <x v="0"/>
    <s v="1000 - Aprovação"/>
    <s v="Sim"/>
    <s v="Recepção do lote"/>
    <m/>
    <s v="0"/>
    <m/>
    <s v="N/A"/>
    <s v="09/09/2026 13:30:54"/>
    <m/>
    <m/>
    <s v="Informativo de ensaque clean para PA"/>
    <s v="null"/>
    <s v=""/>
    <m/>
  </r>
  <r>
    <s v="VALOREM - PATOS"/>
    <x v="0"/>
    <s v="SEMENTE DE MILHO HIBRIDO - P3889R C3 60S -"/>
    <x v="0"/>
    <s v="03P7609082"/>
    <s v="7359269-85902"/>
    <s v="INV26/26"/>
    <s v="C3"/>
    <s v="Informativo de ensaque clean para PA"/>
    <x v="2"/>
    <s v="STANDARD + P + D + L + L"/>
    <s v="RODRIGO SILVA"/>
    <x v="1"/>
    <s v="0023084/26"/>
    <n v="42"/>
    <s v="SC"/>
    <m/>
    <n v="608"/>
    <n v="569.94000000000005"/>
    <x v="1"/>
    <x v="2"/>
    <x v="1"/>
    <s v="1000 - Aprovação"/>
    <s v="Sim"/>
    <s v="Recepção do lote"/>
    <m/>
    <s v="0"/>
    <m/>
    <s v="N/A"/>
    <s v="09/09/2026 14:05:28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31/26"/>
    <n v="1"/>
    <s v="BAG"/>
    <m/>
    <n v="683"/>
    <n v="680.5"/>
    <x v="1"/>
    <x v="6"/>
    <x v="1"/>
    <s v="1000 - Aprovação"/>
    <s v="Sim"/>
    <s v="Recepção do lote"/>
    <m/>
    <s v="0"/>
    <m/>
    <s v="N/A"/>
    <s v="09/09/2026 16:27:13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33/26"/>
    <n v="1"/>
    <s v="BAG"/>
    <m/>
    <n v="684.5"/>
    <n v="680.5"/>
    <x v="1"/>
    <x v="6"/>
    <x v="1"/>
    <s v="1000 - Aprovação"/>
    <s v="Sim"/>
    <s v="Recepção do lote"/>
    <m/>
    <s v="0"/>
    <m/>
    <s v="N/A"/>
    <s v="09/09/2026 16:26:51"/>
    <m/>
    <m/>
    <s v="Informativo de ensaque clean para PA"/>
    <s v="null"/>
    <s v=""/>
    <m/>
  </r>
  <r>
    <s v="VALOREM - PATOS"/>
    <x v="0"/>
    <s v="SEMENTE DE MILHO HIBRIDO - P3889R C3 60S -"/>
    <x v="0"/>
    <s v="03P7609089"/>
    <s v="7359269-85902"/>
    <s v="INV26/26"/>
    <s v="C3"/>
    <s v="Informativo de ensaque clean para PA"/>
    <x v="2"/>
    <s v="STANDARD + P + D + L + L"/>
    <s v="RODRIGO SILVA"/>
    <x v="1"/>
    <s v="0023135/26"/>
    <n v="23"/>
    <s v="SC"/>
    <m/>
    <n v="343"/>
    <n v="311.19"/>
    <x v="1"/>
    <x v="2"/>
    <x v="0"/>
    <s v="1000 - Aprovação"/>
    <s v="Sim"/>
    <s v="Recepção do lote"/>
    <m/>
    <s v="0"/>
    <m/>
    <s v="N/A"/>
    <s v="09/09/2026 15:54:55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36/26"/>
    <n v="1"/>
    <s v="BAG"/>
    <m/>
    <n v="685"/>
    <n v="680.5"/>
    <x v="1"/>
    <x v="6"/>
    <x v="1"/>
    <s v="1000 - Aprovação"/>
    <s v="Sim"/>
    <s v="Recepção do lote"/>
    <m/>
    <s v="0"/>
    <m/>
    <s v="N/A"/>
    <s v="09/09/2026 16:45:43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39/26"/>
    <n v="1"/>
    <s v="BAG"/>
    <m/>
    <n v="680.5"/>
    <n v="680.5"/>
    <x v="1"/>
    <x v="6"/>
    <x v="1"/>
    <s v="1000 - Aprovação"/>
    <s v="Sim"/>
    <s v="Recepção do lote"/>
    <m/>
    <s v="0"/>
    <m/>
    <s v="N/A"/>
    <s v="09/09/2026 16:26:27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42/26"/>
    <n v="1"/>
    <s v="BAG"/>
    <m/>
    <n v="683"/>
    <n v="680.5"/>
    <x v="1"/>
    <x v="6"/>
    <x v="1"/>
    <s v="1000 - Aprovação"/>
    <s v="Sim"/>
    <s v="Recepção do lote"/>
    <m/>
    <s v="0"/>
    <m/>
    <s v="N/A"/>
    <s v="09/09/2026 16:25:54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44/26"/>
    <n v="1"/>
    <s v="BAG"/>
    <m/>
    <n v="683"/>
    <n v="680.5"/>
    <x v="1"/>
    <x v="6"/>
    <x v="1"/>
    <s v="1000 - Aprovação"/>
    <s v="Sim"/>
    <s v="Recepção do lote"/>
    <m/>
    <s v="0"/>
    <m/>
    <s v="N/A"/>
    <s v="09/09/2026 16:25:20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46/26"/>
    <n v="1"/>
    <s v="BAG"/>
    <m/>
    <n v="686"/>
    <n v="680.5"/>
    <x v="1"/>
    <x v="6"/>
    <x v="1"/>
    <s v="1000 - Aprovação"/>
    <s v="Sim"/>
    <s v="Recepção do lote"/>
    <m/>
    <s v="0"/>
    <m/>
    <s v="N/A"/>
    <s v="09/09/2026 16:24:53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48/26"/>
    <n v="1"/>
    <s v="BAG"/>
    <m/>
    <n v="683"/>
    <n v="680.5"/>
    <x v="1"/>
    <x v="6"/>
    <x v="1"/>
    <s v="1000 - Aprovação"/>
    <s v="Sim"/>
    <s v="Recepção do lote"/>
    <m/>
    <s v="0"/>
    <m/>
    <s v="N/A"/>
    <s v="09/09/2026 16:24:34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51/26"/>
    <n v="1"/>
    <s v="BAG"/>
    <m/>
    <n v="681.5"/>
    <n v="680.5"/>
    <x v="1"/>
    <x v="6"/>
    <x v="1"/>
    <s v="1000 - Aprovação"/>
    <s v="Sim"/>
    <s v="Recepção do lote"/>
    <m/>
    <s v="0"/>
    <m/>
    <s v="N/A"/>
    <s v="09/09/2026 16:32:04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53/26"/>
    <n v="1"/>
    <s v="BAG"/>
    <m/>
    <n v="682.5"/>
    <n v="680.5"/>
    <x v="1"/>
    <x v="6"/>
    <x v="1"/>
    <s v="1000 - Aprovação"/>
    <s v="Sim"/>
    <s v="Recepção do lote"/>
    <m/>
    <s v="0"/>
    <m/>
    <s v="N/A"/>
    <s v="09/09/2026 16:27:42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55/26"/>
    <n v="1"/>
    <s v="BAG"/>
    <m/>
    <n v="684"/>
    <n v="680.5"/>
    <x v="1"/>
    <x v="6"/>
    <x v="1"/>
    <s v="1000 - Aprovação"/>
    <s v="Sim"/>
    <s v="Recepção do lote"/>
    <m/>
    <s v="0"/>
    <m/>
    <s v="N/A"/>
    <s v="09/09/2026 16:28:19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56/26"/>
    <n v="1"/>
    <s v="BAG"/>
    <m/>
    <n v="683"/>
    <n v="680.5"/>
    <x v="1"/>
    <x v="6"/>
    <x v="1"/>
    <s v="1000 - Aprovação"/>
    <s v="Sim"/>
    <s v="Recepção do lote"/>
    <m/>
    <s v="0"/>
    <m/>
    <s v="N/A"/>
    <s v="09/09/2026 16:32:53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59/26"/>
    <n v="1"/>
    <s v="BAG"/>
    <m/>
    <n v="683"/>
    <n v="680.5"/>
    <x v="1"/>
    <x v="6"/>
    <x v="1"/>
    <s v="1000 - Aprovação"/>
    <s v="Sim"/>
    <s v="Recepção do lote"/>
    <m/>
    <s v="0"/>
    <m/>
    <s v="N/A"/>
    <s v="09/09/2026 16:31:36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61/26"/>
    <n v="1"/>
    <s v="BAG"/>
    <m/>
    <n v="682.5"/>
    <n v="680.5"/>
    <x v="1"/>
    <x v="6"/>
    <x v="1"/>
    <s v="1000 - Aprovação"/>
    <s v="Sim"/>
    <s v="Recepção do lote"/>
    <m/>
    <s v="0"/>
    <m/>
    <s v="N/A"/>
    <s v="09/09/2026 16:46:19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63/26"/>
    <n v="1"/>
    <s v="BAG"/>
    <m/>
    <n v="681"/>
    <n v="680.5"/>
    <x v="1"/>
    <x v="6"/>
    <x v="1"/>
    <s v="1000 - Aprovação"/>
    <s v="Sim"/>
    <s v="Recepção do lote"/>
    <m/>
    <s v="0"/>
    <m/>
    <s v="N/A"/>
    <s v="09/09/2026 16:33:33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66/26"/>
    <n v="1"/>
    <s v="BAG"/>
    <m/>
    <n v="685.5"/>
    <n v="680.5"/>
    <x v="1"/>
    <x v="6"/>
    <x v="1"/>
    <s v="1000 - Aprovação"/>
    <s v="Sim"/>
    <s v="Recepção do lote"/>
    <m/>
    <s v="0"/>
    <m/>
    <s v="N/A"/>
    <s v="09/09/2026 16:23:36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68/26"/>
    <n v="1"/>
    <s v="BAG"/>
    <m/>
    <n v="687"/>
    <n v="680.5"/>
    <x v="1"/>
    <x v="6"/>
    <x v="1"/>
    <s v="1000 - Aprovação"/>
    <s v="Sim"/>
    <s v="Recepção do lote"/>
    <m/>
    <s v="0"/>
    <m/>
    <s v="N/A"/>
    <s v="09/09/2026 16:33:56"/>
    <m/>
    <m/>
    <s v="Informativo de ensaque clean para PA"/>
    <s v="null"/>
    <s v=""/>
    <m/>
  </r>
  <r>
    <s v="VALOREM - PATOS"/>
    <x v="0"/>
    <s v="SEMENTE DE MILHO HIBRIDO - P3889R C3 BB -"/>
    <x v="0"/>
    <s v="03P7600782"/>
    <s v="7359269-85902"/>
    <s v="INV26/26"/>
    <s v="C3"/>
    <s v="Informativo de ensaque clean para PA"/>
    <x v="1"/>
    <s v="STANDARD + P + D + L + L"/>
    <s v="RODRIGO SILVA"/>
    <x v="1"/>
    <s v="0023170/26"/>
    <n v="1"/>
    <s v="BAG"/>
    <m/>
    <n v="687"/>
    <n v="680.5"/>
    <x v="1"/>
    <x v="6"/>
    <x v="1"/>
    <s v="1000 - Aprovação"/>
    <s v="Sim"/>
    <s v="Recepção do lote"/>
    <m/>
    <s v="0"/>
    <m/>
    <s v="N/A"/>
    <s v="09/09/2026 16:32:33"/>
    <m/>
    <m/>
    <s v="Informativo de ensaque clean para PA"/>
    <s v="null"/>
    <s v=""/>
    <m/>
  </r>
  <r>
    <s v="VALOREM - PATOS"/>
    <x v="0"/>
    <s v="SEMENTE DE MILHO HIBRIDO - P3889R C3 60S -"/>
    <x v="0"/>
    <s v="03P7609093"/>
    <s v="7359269-85902"/>
    <s v="INV26/26"/>
    <s v="C3"/>
    <s v="Informativo de ensaque clean para PA"/>
    <x v="2"/>
    <s v="STANDARD + P + D + L + L"/>
    <s v="RODRIGO SILVA"/>
    <x v="1"/>
    <s v="0023172/26"/>
    <n v="41"/>
    <s v="SC"/>
    <m/>
    <n v="593"/>
    <n v="558.01"/>
    <x v="1"/>
    <x v="2"/>
    <x v="0"/>
    <s v="1000 - Aprovação"/>
    <s v="Sim"/>
    <s v="Recepção do lote"/>
    <m/>
    <s v="0"/>
    <m/>
    <s v="N/A"/>
    <s v="09/09/2026 16:55:00"/>
    <m/>
    <m/>
    <s v="Informativo de ensaque clean para PA"/>
    <s v="null"/>
    <s v=""/>
    <m/>
  </r>
  <r>
    <s v="VALOREM - PATOS"/>
    <x v="0"/>
    <s v="SEMENTE DE MILHO HIBRIDO - P3889R C3 60S -"/>
    <x v="0"/>
    <s v="03P7609094"/>
    <s v="7359269-85902"/>
    <s v="INV26/26"/>
    <s v="C3"/>
    <s v="Informativo de ensaque clean para PA"/>
    <x v="2"/>
    <s v="STANDARD + P + D + L + L"/>
    <s v="EDSON JUNIOR PEREIRA LIMA"/>
    <x v="1"/>
    <s v="0023217/26"/>
    <n v="33"/>
    <s v="SC"/>
    <m/>
    <n v="477"/>
    <n v="444.84"/>
    <x v="1"/>
    <x v="2"/>
    <x v="0"/>
    <s v="1000 - Aprovação"/>
    <s v="Sim"/>
    <s v="Recepção do lote"/>
    <m/>
    <s v="0"/>
    <m/>
    <s v="N/A"/>
    <s v="10/09/2026 08:24:37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19/26"/>
    <n v="1"/>
    <s v="BAG"/>
    <m/>
    <n v="756.5"/>
    <n v="756.5"/>
    <x v="1"/>
    <x v="7"/>
    <x v="1"/>
    <s v="1000 - Aprovação"/>
    <s v="Sim"/>
    <s v="Recepção do lote"/>
    <m/>
    <s v="0"/>
    <m/>
    <s v="N/A"/>
    <s v="10/09/2026 10:40:21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21/26"/>
    <n v="1"/>
    <s v="BAG"/>
    <m/>
    <n v="762.5"/>
    <n v="756.5"/>
    <x v="1"/>
    <x v="7"/>
    <x v="1"/>
    <s v="1000 - Aprovação"/>
    <s v="Sim"/>
    <s v="Recepção do lote"/>
    <m/>
    <s v="0"/>
    <m/>
    <s v="N/A"/>
    <s v="10/09/2026 10:39:38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23/26"/>
    <n v="1"/>
    <s v="BAG"/>
    <m/>
    <n v="761"/>
    <n v="756.5"/>
    <x v="1"/>
    <x v="7"/>
    <x v="1"/>
    <s v="1000 - Aprovação"/>
    <s v="Sim"/>
    <s v="Recepção do lote"/>
    <m/>
    <s v="0"/>
    <m/>
    <s v="N/A"/>
    <s v="10/09/2026 10:38:55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28/26"/>
    <n v="1"/>
    <s v="BAG"/>
    <m/>
    <n v="763.5"/>
    <n v="756.5"/>
    <x v="1"/>
    <x v="7"/>
    <x v="1"/>
    <s v="1000 - Aprovação"/>
    <s v="Sim"/>
    <s v="Recepção do lote"/>
    <m/>
    <s v="0"/>
    <m/>
    <s v="N/A"/>
    <s v="10/09/2026 10:25:30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30/26"/>
    <n v="1"/>
    <s v="BAG"/>
    <m/>
    <n v="764"/>
    <n v="756.5"/>
    <x v="1"/>
    <x v="7"/>
    <x v="1"/>
    <s v="1000 - Aprovação"/>
    <s v="Sim"/>
    <s v="Recepção do lote"/>
    <m/>
    <s v="0"/>
    <m/>
    <s v="N/A"/>
    <s v="10/09/2026 10:26:56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32/26"/>
    <n v="1"/>
    <s v="BAG"/>
    <m/>
    <n v="757"/>
    <n v="756.5"/>
    <x v="1"/>
    <x v="7"/>
    <x v="1"/>
    <s v="1000 - Aprovação"/>
    <s v="Sim"/>
    <s v="Recepção do lote"/>
    <m/>
    <s v="0"/>
    <m/>
    <s v="N/A"/>
    <s v="10/09/2026 10:26:19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34/26"/>
    <n v="1"/>
    <s v="BAG"/>
    <m/>
    <n v="764"/>
    <n v="756.5"/>
    <x v="1"/>
    <x v="7"/>
    <x v="1"/>
    <s v="1000 - Aprovação"/>
    <s v="Sim"/>
    <s v="Recepção do lote"/>
    <m/>
    <s v="0"/>
    <m/>
    <s v="N/A"/>
    <s v="10/09/2026 10:27:49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36/26"/>
    <n v="1"/>
    <s v="BAG"/>
    <m/>
    <n v="764"/>
    <n v="756.5"/>
    <x v="1"/>
    <x v="7"/>
    <x v="0"/>
    <s v="1000 - Aprovação"/>
    <s v="Sim"/>
    <s v="Recepção do lote"/>
    <m/>
    <s v="0"/>
    <m/>
    <s v="N/A"/>
    <s v="10/09/2026 10:28:54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38/26"/>
    <n v="1"/>
    <s v="BAG"/>
    <m/>
    <n v="764"/>
    <n v="756.5"/>
    <x v="1"/>
    <x v="7"/>
    <x v="0"/>
    <s v="1000 - Aprovação"/>
    <s v="Sim"/>
    <s v="Recepção do lote"/>
    <m/>
    <s v="0"/>
    <m/>
    <s v="N/A"/>
    <s v="10/09/2026 10:28:19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40/26"/>
    <n v="1"/>
    <s v="BAG"/>
    <m/>
    <n v="757"/>
    <n v="756.5"/>
    <x v="1"/>
    <x v="7"/>
    <x v="0"/>
    <s v="1000 - Aprovação"/>
    <s v="Sim"/>
    <s v="Recepção do lote"/>
    <m/>
    <s v="0"/>
    <m/>
    <s v="N/A"/>
    <s v="10/09/2026 10:29:54"/>
    <m/>
    <m/>
    <s v="Informativo de ensaque clean para PA"/>
    <s v="null"/>
    <s v=""/>
    <m/>
  </r>
  <r>
    <s v="VALOREM - PATOS"/>
    <x v="0"/>
    <s v="SEMENTE DE MILHO HIBRIDO - P3889R C2 BB -"/>
    <x v="0"/>
    <s v="03P7600765"/>
    <s v="7359269-85902"/>
    <s v="INV26/26"/>
    <s v="C2"/>
    <s v="Informativo de ensaque clean para PA"/>
    <x v="1"/>
    <s v="STANDARD + P + D + L + L"/>
    <s v="EDSON JUNIOR PEREIRA LIMA"/>
    <x v="1"/>
    <s v="0023242/26"/>
    <n v="1"/>
    <s v="BAG"/>
    <m/>
    <n v="758"/>
    <n v="756.5"/>
    <x v="1"/>
    <x v="7"/>
    <x v="0"/>
    <s v="1000 - Aprovação"/>
    <s v="Sim"/>
    <s v="Recepção do lote"/>
    <m/>
    <s v="0"/>
    <m/>
    <s v="N/A"/>
    <s v="10/09/2026 10:30:26"/>
    <m/>
    <m/>
    <s v="Informativo de ensaque clean para PA"/>
    <s v="null"/>
    <s v=""/>
    <m/>
  </r>
  <r>
    <s v="VALOREM - PATOS"/>
    <x v="0"/>
    <s v="SEMENTE DE MILHO HIBRIDO - P3889R C2 60S -"/>
    <x v="0"/>
    <s v="03P7609070"/>
    <s v="7359269-85902"/>
    <s v="INV26/26"/>
    <s v="C2"/>
    <s v="Informativo de ensaque clean para PA"/>
    <x v="2"/>
    <s v="STANDARD + P + D + L + L"/>
    <s v="EDSON JUNIOR PEREIRA LIMA"/>
    <x v="1"/>
    <s v="0023244/26"/>
    <n v="18"/>
    <s v="SC"/>
    <m/>
    <n v="305"/>
    <n v="272.33999999999997"/>
    <x v="1"/>
    <x v="2"/>
    <x v="0"/>
    <s v="1000 - Aprovação"/>
    <s v="Sim"/>
    <s v="Recepção do lote"/>
    <m/>
    <s v="0"/>
    <m/>
    <s v="N/A"/>
    <s v="10/09/2026 13:39:39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45/26"/>
    <n v="1"/>
    <s v="BAG"/>
    <m/>
    <n v="751.5"/>
    <n v="748.5"/>
    <x v="1"/>
    <x v="7"/>
    <x v="0"/>
    <s v="1000 - Aprovação"/>
    <s v="Sim"/>
    <s v="Recepção do lote"/>
    <m/>
    <s v="0"/>
    <m/>
    <s v="N/A"/>
    <s v="10/09/2026 12:59:26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47/26"/>
    <n v="1"/>
    <s v="BAG"/>
    <m/>
    <n v="749"/>
    <n v="748.5"/>
    <x v="1"/>
    <x v="7"/>
    <x v="0"/>
    <s v="1000 - Aprovação"/>
    <s v="Sim"/>
    <s v="Recepção do lote"/>
    <m/>
    <s v="0"/>
    <m/>
    <s v="N/A"/>
    <s v="10/09/2026 12:57:03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49/26"/>
    <n v="1"/>
    <s v="BAG"/>
    <m/>
    <n v="754"/>
    <n v="748.5"/>
    <x v="1"/>
    <x v="7"/>
    <x v="0"/>
    <s v="1000 - Aprovação"/>
    <s v="Sim"/>
    <s v="Recepção do lote"/>
    <m/>
    <s v="0"/>
    <m/>
    <s v="N/A"/>
    <s v="10/09/2026 12:56:20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51/26"/>
    <n v="1"/>
    <s v="BAG"/>
    <m/>
    <n v="751.5"/>
    <n v="748.5"/>
    <x v="1"/>
    <x v="7"/>
    <x v="0"/>
    <s v="1000 - Aprovação"/>
    <s v="Sim"/>
    <s v="Recepção do lote"/>
    <m/>
    <s v="0"/>
    <m/>
    <s v="N/A"/>
    <s v="10/09/2026 12:53:40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53/26"/>
    <n v="1"/>
    <s v="BAG"/>
    <m/>
    <n v="754.5"/>
    <n v="748.5"/>
    <x v="1"/>
    <x v="7"/>
    <x v="0"/>
    <s v="1000 - Aprovação"/>
    <s v="Sim"/>
    <s v="Recepção do lote"/>
    <m/>
    <s v="0"/>
    <m/>
    <s v="N/A"/>
    <s v="10/09/2026 12:55:48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55/26"/>
    <n v="1"/>
    <s v="BAG"/>
    <m/>
    <n v="751"/>
    <n v="748.5"/>
    <x v="1"/>
    <x v="7"/>
    <x v="0"/>
    <s v="1000 - Aprovação"/>
    <s v="Sim"/>
    <s v="Recepção do lote"/>
    <m/>
    <s v="0"/>
    <m/>
    <s v="N/A"/>
    <s v="10/09/2026 12:59:57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57/26"/>
    <n v="1"/>
    <s v="BAG"/>
    <m/>
    <n v="753.5"/>
    <n v="748.5"/>
    <x v="1"/>
    <x v="7"/>
    <x v="0"/>
    <s v="1000 - Aprovação"/>
    <s v="Sim"/>
    <s v="Recepção do lote"/>
    <m/>
    <s v="0"/>
    <m/>
    <s v="N/A"/>
    <s v="10/09/2026 13:01:07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59/26"/>
    <n v="1"/>
    <s v="BAG"/>
    <m/>
    <n v="751"/>
    <n v="748.5"/>
    <x v="1"/>
    <x v="7"/>
    <x v="0"/>
    <s v="1000 - Aprovação"/>
    <s v="Sim"/>
    <s v="Recepção do lote"/>
    <m/>
    <s v="0"/>
    <m/>
    <s v="N/A"/>
    <s v="10/09/2026 12:55:16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61/26"/>
    <n v="1"/>
    <s v="BAG"/>
    <m/>
    <n v="749"/>
    <n v="748.5"/>
    <x v="1"/>
    <x v="7"/>
    <x v="0"/>
    <s v="1000 - Aprovação"/>
    <s v="Sim"/>
    <s v="Recepção do lote"/>
    <m/>
    <s v="0"/>
    <m/>
    <s v="N/A"/>
    <s v="10/09/2026 13:00:35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63/26"/>
    <n v="1"/>
    <s v="BAG"/>
    <m/>
    <n v="750"/>
    <n v="748.5"/>
    <x v="1"/>
    <x v="7"/>
    <x v="0"/>
    <s v="1000 - Aprovação"/>
    <s v="Sim"/>
    <s v="Recepção do lote"/>
    <m/>
    <s v="0"/>
    <m/>
    <s v="N/A"/>
    <s v="10/09/2026 13:02:18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65/26"/>
    <n v="1"/>
    <s v="BAG"/>
    <m/>
    <n v="752"/>
    <n v="748.5"/>
    <x v="1"/>
    <x v="7"/>
    <x v="0"/>
    <s v="1000 - Aprovação"/>
    <s v="Sim"/>
    <s v="Recepção do lote"/>
    <m/>
    <s v="0"/>
    <m/>
    <s v="N/A"/>
    <s v="10/09/2026 13:01:43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67/26"/>
    <n v="1"/>
    <s v="BAG"/>
    <m/>
    <n v="754.5"/>
    <n v="748.5"/>
    <x v="1"/>
    <x v="7"/>
    <x v="0"/>
    <s v="1000 - Aprovação"/>
    <s v="Sim"/>
    <s v="Recepção do lote"/>
    <m/>
    <s v="0"/>
    <m/>
    <s v="N/A"/>
    <s v="10/09/2026 12:57:36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69/26"/>
    <n v="1"/>
    <s v="BAG"/>
    <m/>
    <n v="752"/>
    <n v="748.5"/>
    <x v="1"/>
    <x v="7"/>
    <x v="0"/>
    <s v="1000 - Aprovação"/>
    <s v="Sim"/>
    <s v="Recepção do lote"/>
    <m/>
    <s v="0"/>
    <m/>
    <s v="N/A"/>
    <s v="10/09/2026 12:58:51"/>
    <m/>
    <m/>
    <s v="Informativo de ensaque clean para PA"/>
    <s v="null"/>
    <s v=""/>
    <m/>
  </r>
  <r>
    <s v="VALOREM - PATOS"/>
    <x v="0"/>
    <s v="SEMENTE DE MILHO HIBRIDO - P3889R C2 BB -"/>
    <x v="0"/>
    <s v="03P7600766"/>
    <s v="7359269-85902"/>
    <s v="INV26/26"/>
    <s v="C2"/>
    <s v="Informativo de ensaque clean para PA"/>
    <x v="1"/>
    <s v="STANDARD + P + D + L + L"/>
    <s v="EDSON JUNIOR PEREIRA LIMA"/>
    <x v="1"/>
    <s v="0023271/26"/>
    <n v="1"/>
    <s v="BAG"/>
    <m/>
    <n v="750"/>
    <n v="748.5"/>
    <x v="1"/>
    <x v="7"/>
    <x v="0"/>
    <s v="1000 - Aprovação"/>
    <s v="Sim"/>
    <s v="Recepção do lote"/>
    <m/>
    <s v="0"/>
    <m/>
    <s v="N/A"/>
    <s v="10/09/2026 12:58:10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73/26"/>
    <n v="1"/>
    <s v="BAG"/>
    <m/>
    <n v="757"/>
    <n v="753"/>
    <x v="1"/>
    <x v="8"/>
    <x v="0"/>
    <s v="1000 - Aprovação"/>
    <s v="Sim"/>
    <s v="Recepção do lote"/>
    <m/>
    <s v="0"/>
    <m/>
    <s v="N/A"/>
    <s v="10/09/2026 14:06:40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75/26"/>
    <n v="1"/>
    <s v="BAG"/>
    <m/>
    <n v="757.5"/>
    <n v="753"/>
    <x v="1"/>
    <x v="8"/>
    <x v="0"/>
    <s v="1000 - Aprovação"/>
    <s v="Sim"/>
    <s v="Recepção do lote"/>
    <m/>
    <s v="0"/>
    <m/>
    <s v="N/A"/>
    <s v="10/09/2026 14:04:09"/>
    <m/>
    <m/>
    <s v="Informativo de ensaque clean para PA"/>
    <s v="null"/>
    <s v=""/>
    <m/>
  </r>
  <r>
    <s v="VALOREM - PATOS"/>
    <x v="0"/>
    <s v="SEMENTE DE MILHO HIBRIDO - P3889R C2 60S -"/>
    <x v="0"/>
    <s v="03P7609071"/>
    <s v="7359269-85902"/>
    <s v="INV26/26"/>
    <s v="C2"/>
    <s v="Informativo de ensaque clean para PA"/>
    <x v="2"/>
    <s v="STANDARD + P + D + L + L"/>
    <s v="EDSON JUNIOR PEREIRA LIMA"/>
    <x v="1"/>
    <s v="0023277/26"/>
    <n v="38"/>
    <s v="SC"/>
    <m/>
    <n v="605"/>
    <n v="568.86"/>
    <x v="1"/>
    <x v="2"/>
    <x v="0"/>
    <s v="1000 - Aprovação"/>
    <s v="Sim"/>
    <s v="Recepção do lote"/>
    <m/>
    <s v="0"/>
    <m/>
    <s v="N/A"/>
    <s v="10/09/2026 13:16:00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78/26"/>
    <n v="1"/>
    <s v="BAG"/>
    <m/>
    <n v="754"/>
    <n v="753"/>
    <x v="1"/>
    <x v="8"/>
    <x v="0"/>
    <s v="1000 - Aprovação"/>
    <s v="Sim"/>
    <s v="Recepção do lote"/>
    <m/>
    <s v="0"/>
    <m/>
    <s v="N/A"/>
    <s v="10/09/2026 14:07:14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80/26"/>
    <n v="1"/>
    <s v="BAG"/>
    <m/>
    <n v="753.5"/>
    <n v="753"/>
    <x v="1"/>
    <x v="8"/>
    <x v="0"/>
    <s v="1000 - Aprovação"/>
    <s v="Sim"/>
    <s v="Recepção do lote"/>
    <m/>
    <s v="0"/>
    <m/>
    <s v="N/A"/>
    <s v="10/09/2026 14:05:01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82/26"/>
    <n v="1"/>
    <s v="BAG"/>
    <m/>
    <n v="753.5"/>
    <n v="753"/>
    <x v="1"/>
    <x v="8"/>
    <x v="0"/>
    <s v="1000 - Aprovação"/>
    <s v="Sim"/>
    <s v="Recepção do lote"/>
    <m/>
    <s v="0"/>
    <m/>
    <s v="N/A"/>
    <s v="10/09/2026 14:10:39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84/26"/>
    <n v="1"/>
    <s v="BAG"/>
    <m/>
    <n v="753"/>
    <n v="753"/>
    <x v="1"/>
    <x v="8"/>
    <x v="0"/>
    <s v="1000 - Aprovação"/>
    <s v="Sim"/>
    <s v="Recepção do lote"/>
    <m/>
    <s v="0"/>
    <m/>
    <s v="N/A"/>
    <s v="10/09/2026 14:11:15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86/26"/>
    <n v="1"/>
    <s v="BAG"/>
    <m/>
    <n v="753.5"/>
    <n v="753"/>
    <x v="1"/>
    <x v="8"/>
    <x v="0"/>
    <s v="1000 - Aprovação"/>
    <s v="Sim"/>
    <s v="Recepção do lote"/>
    <m/>
    <s v="0"/>
    <m/>
    <s v="N/A"/>
    <s v="10/09/2026 14:10:06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88/26"/>
    <n v="1"/>
    <s v="BAG"/>
    <m/>
    <n v="755"/>
    <n v="753"/>
    <x v="1"/>
    <x v="8"/>
    <x v="0"/>
    <s v="1000 - Aprovação"/>
    <s v="Sim"/>
    <s v="Recepção do lote"/>
    <m/>
    <s v="0"/>
    <m/>
    <s v="N/A"/>
    <s v="10/09/2026 14:09:24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90/26"/>
    <n v="1"/>
    <s v="BAG"/>
    <m/>
    <n v="756"/>
    <n v="753"/>
    <x v="1"/>
    <x v="8"/>
    <x v="0"/>
    <s v="1000 - Aprovação"/>
    <s v="Sim"/>
    <s v="Recepção do lote"/>
    <m/>
    <s v="0"/>
    <m/>
    <s v="N/A"/>
    <s v="10/09/2026 14:05:29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92/26"/>
    <n v="1"/>
    <s v="BAG"/>
    <m/>
    <n v="758"/>
    <n v="753"/>
    <x v="1"/>
    <x v="8"/>
    <x v="0"/>
    <s v="1000 - Aprovação"/>
    <s v="Sim"/>
    <s v="Recepção do lote"/>
    <m/>
    <s v="0"/>
    <m/>
    <s v="N/A"/>
    <s v="10/09/2026 14:03:09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94/26"/>
    <n v="1"/>
    <s v="BAG"/>
    <m/>
    <n v="760.5"/>
    <n v="753"/>
    <x v="1"/>
    <x v="8"/>
    <x v="0"/>
    <s v="1000 - Aprovação"/>
    <s v="Sim"/>
    <s v="Recepção do lote"/>
    <m/>
    <s v="0"/>
    <m/>
    <s v="N/A"/>
    <s v="10/09/2026 14:03:40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96/26"/>
    <n v="1"/>
    <s v="BAG"/>
    <m/>
    <n v="759.5"/>
    <n v="753"/>
    <x v="1"/>
    <x v="8"/>
    <x v="0"/>
    <s v="1000 - Aprovação"/>
    <s v="Sim"/>
    <s v="Recepção do lote"/>
    <m/>
    <s v="0"/>
    <m/>
    <s v="N/A"/>
    <s v="10/09/2026 14:06:10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298/26"/>
    <n v="1"/>
    <s v="BAG"/>
    <m/>
    <n v="760"/>
    <n v="753"/>
    <x v="1"/>
    <x v="8"/>
    <x v="0"/>
    <s v="1000 - Aprovação"/>
    <s v="Sim"/>
    <s v="Recepção do lote"/>
    <m/>
    <s v="0"/>
    <m/>
    <s v="N/A"/>
    <s v="10/09/2026 14:02:19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300/26"/>
    <n v="1"/>
    <s v="BAG"/>
    <m/>
    <n v="760.5"/>
    <n v="753"/>
    <x v="1"/>
    <x v="8"/>
    <x v="0"/>
    <s v="1000 - Aprovação"/>
    <s v="Sim"/>
    <s v="Recepção do lote"/>
    <m/>
    <s v="0"/>
    <m/>
    <s v="N/A"/>
    <s v="10/09/2026 14:07:49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302/26"/>
    <n v="1"/>
    <s v="BAG"/>
    <m/>
    <n v="758.5"/>
    <n v="753"/>
    <x v="1"/>
    <x v="8"/>
    <x v="0"/>
    <s v="1000 - Aprovação"/>
    <s v="Sim"/>
    <s v="Recepção do lote"/>
    <m/>
    <s v="0"/>
    <m/>
    <s v="N/A"/>
    <s v="10/09/2026 14:08:52"/>
    <m/>
    <m/>
    <s v="Informativo de ensaque clean para PA"/>
    <s v="null"/>
    <s v=""/>
    <m/>
  </r>
  <r>
    <s v="VALOREM - PATOS"/>
    <x v="0"/>
    <s v="SEMENTE DE MILHO HIBRIDO - P3889R C2 BB -"/>
    <x v="0"/>
    <s v="03P7600767"/>
    <s v="7359269-85902"/>
    <s v="INV26/26"/>
    <s v="C2"/>
    <s v="Informativo de ensaque clean para PA"/>
    <x v="1"/>
    <s v="STANDARD + P + D + L + L"/>
    <s v="EDSON JUNIOR PEREIRA LIMA"/>
    <x v="1"/>
    <s v="0023304/26"/>
    <n v="1"/>
    <s v="BAG"/>
    <m/>
    <n v="760.5"/>
    <n v="753"/>
    <x v="1"/>
    <x v="8"/>
    <x v="0"/>
    <s v="1000 - Aprovação"/>
    <s v="Sim"/>
    <s v="Recepção do lote"/>
    <m/>
    <s v="0"/>
    <m/>
    <s v="N/A"/>
    <s v="10/09/2026 14:08:18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09/26"/>
    <n v="1"/>
    <s v="BAG"/>
    <m/>
    <n v="754"/>
    <n v="748"/>
    <x v="1"/>
    <x v="4"/>
    <x v="0"/>
    <s v="1000 - Aprovação"/>
    <s v="Sim"/>
    <s v="Recepção do lote"/>
    <m/>
    <s v="0"/>
    <m/>
    <s v="N/A"/>
    <s v="10/09/2026 15:57:54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11/26"/>
    <n v="1"/>
    <s v="BAG"/>
    <m/>
    <n v="751"/>
    <n v="748"/>
    <x v="1"/>
    <x v="4"/>
    <x v="0"/>
    <s v="1000 - Aprovação"/>
    <s v="Sim"/>
    <s v="Recepção do lote"/>
    <m/>
    <s v="0"/>
    <m/>
    <s v="N/A"/>
    <s v="10/09/2026 15:55:27"/>
    <m/>
    <m/>
    <s v="Informativo de ensaque clean para PA"/>
    <s v="null"/>
    <s v=""/>
    <m/>
  </r>
  <r>
    <s v="VALOREM - PATOS"/>
    <x v="0"/>
    <s v="SEMENTE DE MILHO HIBRIDO - P3889R C2 60S -"/>
    <x v="0"/>
    <s v="03P7609073"/>
    <s v="7359269-85902"/>
    <s v="INV26/26"/>
    <s v="C2"/>
    <s v="Informativo de ensaque clean para PA"/>
    <x v="2"/>
    <s v="STANDARD + P + D + L + L"/>
    <s v="EDSON JUNIOR PEREIRA LIMA"/>
    <x v="1"/>
    <s v="0023313/26"/>
    <n v="15"/>
    <s v="SC"/>
    <m/>
    <n v="257.5"/>
    <n v="225.9"/>
    <x v="1"/>
    <x v="2"/>
    <x v="0"/>
    <s v="1000 - Aprovação"/>
    <s v="Sim"/>
    <s v="Recepção do lote"/>
    <m/>
    <s v="0"/>
    <m/>
    <s v="N/A"/>
    <s v="10/09/2026 16:03:24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14/26"/>
    <n v="1"/>
    <s v="BAG"/>
    <m/>
    <n v="753"/>
    <n v="748"/>
    <x v="1"/>
    <x v="4"/>
    <x v="0"/>
    <s v="1000 - Aprovação"/>
    <s v="Sim"/>
    <s v="Recepção do lote"/>
    <m/>
    <s v="0"/>
    <m/>
    <s v="N/A"/>
    <s v="10/09/2026 15:58:33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16/26"/>
    <n v="1"/>
    <s v="BAG"/>
    <m/>
    <n v="750"/>
    <n v="748"/>
    <x v="1"/>
    <x v="4"/>
    <x v="0"/>
    <s v="1000 - Aprovação"/>
    <s v="Sim"/>
    <s v="Recepção do lote"/>
    <m/>
    <s v="0"/>
    <m/>
    <s v="N/A"/>
    <s v="10/09/2026 15:56:15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18/26"/>
    <n v="1"/>
    <s v="BAG"/>
    <m/>
    <n v="755"/>
    <n v="748"/>
    <x v="1"/>
    <x v="4"/>
    <x v="0"/>
    <s v="1000 - Aprovação"/>
    <s v="Sim"/>
    <s v="Recepção do lote"/>
    <m/>
    <s v="0"/>
    <m/>
    <s v="N/A"/>
    <s v="10/09/2026 15:59:03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20/26"/>
    <n v="1"/>
    <s v="BAG"/>
    <m/>
    <n v="754"/>
    <n v="748"/>
    <x v="1"/>
    <x v="4"/>
    <x v="0"/>
    <s v="1000 - Aprovação"/>
    <s v="Sim"/>
    <s v="Recepção do lote"/>
    <m/>
    <s v="0"/>
    <m/>
    <s v="N/A"/>
    <s v="10/09/2026 16:00:06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22/26"/>
    <n v="1"/>
    <s v="BAG"/>
    <m/>
    <n v="753.5"/>
    <n v="748"/>
    <x v="1"/>
    <x v="4"/>
    <x v="0"/>
    <s v="1000 - Aprovação"/>
    <s v="Sim"/>
    <s v="Recepção do lote"/>
    <m/>
    <s v="0"/>
    <m/>
    <s v="N/A"/>
    <s v="10/09/2026 15:59:31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24/26"/>
    <n v="1"/>
    <s v="BAG"/>
    <m/>
    <n v="753"/>
    <n v="748"/>
    <x v="1"/>
    <x v="4"/>
    <x v="0"/>
    <s v="1000 - Aprovação"/>
    <s v="Sim"/>
    <s v="Recepção do lote"/>
    <m/>
    <s v="0"/>
    <m/>
    <s v="N/A"/>
    <s v="10/09/2026 16:00:41"/>
    <m/>
    <m/>
    <s v="Informativo de ensaque clean para PA"/>
    <s v="null"/>
    <s v=""/>
    <m/>
  </r>
  <r>
    <s v="VALOREM - PATOS"/>
    <x v="0"/>
    <s v="SEMENTE DE MILHO HIBRIDO - P3889R C2 BB -"/>
    <x v="0"/>
    <s v="03P7600768"/>
    <s v="7359269-85902"/>
    <s v="INV26/26"/>
    <s v="C2"/>
    <s v="Informativo de ensaque clean para PA"/>
    <x v="1"/>
    <s v="STANDARD + P + D + L + L"/>
    <s v="EDSON JUNIOR PEREIRA LIMA"/>
    <x v="1"/>
    <s v="0023326/26"/>
    <n v="1"/>
    <s v="BAG"/>
    <m/>
    <n v="748"/>
    <n v="748"/>
    <x v="1"/>
    <x v="4"/>
    <x v="0"/>
    <s v="1000 - Aprovação"/>
    <s v="Sim"/>
    <s v="Recepção do lote"/>
    <m/>
    <s v="0"/>
    <m/>
    <s v="N/A"/>
    <s v="10/09/2026 16:01:24"/>
    <m/>
    <m/>
    <s v="Informativo de ensaque clean para PA"/>
    <s v="null"/>
    <s v=""/>
    <m/>
  </r>
  <r>
    <s v="VALOREM - PATOS"/>
    <x v="0"/>
    <s v="SEMENTE DE MILHO HIBRIDO - P3889R C2 60S -"/>
    <x v="0"/>
    <s v="03P7609075"/>
    <s v="7359269-85902"/>
    <s v="INV26/26"/>
    <s v="C2"/>
    <s v="Informativo de ensaque clean para PA"/>
    <x v="2"/>
    <s v="STANDARD + P + D + L + L"/>
    <s v="EDSON JUNIOR PEREIRA LIMA"/>
    <x v="1"/>
    <s v="0023329/26"/>
    <n v="11"/>
    <s v="SC"/>
    <m/>
    <n v="195.5"/>
    <n v="164.56"/>
    <x v="1"/>
    <x v="2"/>
    <x v="0"/>
    <s v="1000 - Aprovação"/>
    <s v="Sim"/>
    <s v="Recepção do lote"/>
    <m/>
    <s v="0"/>
    <m/>
    <s v="N/A"/>
    <s v="10/09/2026 16:07:14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33/26"/>
    <n v="1"/>
    <s v="BAG"/>
    <m/>
    <n v="867"/>
    <n v="863"/>
    <x v="1"/>
    <x v="8"/>
    <x v="0"/>
    <s v="1000 - Aprovação"/>
    <s v="Sim"/>
    <s v="Recepção do lote"/>
    <m/>
    <s v="0"/>
    <m/>
    <s v="N/A"/>
    <s v="10/09/2026 17:36:16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35/26"/>
    <n v="1"/>
    <s v="BAG"/>
    <m/>
    <n v="870.5"/>
    <n v="863"/>
    <x v="1"/>
    <x v="8"/>
    <x v="0"/>
    <s v="1000 - Aprovação"/>
    <s v="Sim"/>
    <s v="Recepção do lote"/>
    <m/>
    <s v="0"/>
    <m/>
    <s v="N/A"/>
    <s v="10/09/2026 17:35:08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39/26"/>
    <n v="1"/>
    <s v="BAG"/>
    <m/>
    <n v="869.5"/>
    <n v="863"/>
    <x v="1"/>
    <x v="8"/>
    <x v="0"/>
    <s v="1000 - Aprovação"/>
    <s v="Sim"/>
    <s v="Recepção do lote"/>
    <m/>
    <s v="0"/>
    <m/>
    <s v="N/A"/>
    <s v="10/09/2026 17:38:12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41/26"/>
    <n v="1"/>
    <s v="BAG"/>
    <m/>
    <n v="870.5"/>
    <n v="863"/>
    <x v="1"/>
    <x v="8"/>
    <x v="0"/>
    <s v="1000 - Aprovação"/>
    <s v="Sim"/>
    <s v="Recepção do lote"/>
    <m/>
    <s v="0"/>
    <m/>
    <s v="N/A"/>
    <s v="10/09/2026 17:39:16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43/26"/>
    <n v="1"/>
    <s v="BAG"/>
    <m/>
    <n v="871"/>
    <n v="863"/>
    <x v="1"/>
    <x v="8"/>
    <x v="0"/>
    <s v="1000 - Aprovação"/>
    <s v="Sim"/>
    <s v="Recepção do lote"/>
    <m/>
    <s v="0"/>
    <m/>
    <s v="N/A"/>
    <s v="10/09/2026 17:34:07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45/26"/>
    <n v="1"/>
    <s v="BAG"/>
    <m/>
    <n v="871.5"/>
    <n v="863"/>
    <x v="1"/>
    <x v="8"/>
    <x v="0"/>
    <s v="1000 - Aprovação"/>
    <s v="Sim"/>
    <s v="Recepção do lote"/>
    <m/>
    <s v="0"/>
    <m/>
    <s v="N/A"/>
    <s v="10/09/2026 17:37:14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47/26"/>
    <n v="1"/>
    <s v="BAG"/>
    <m/>
    <n v="869.5"/>
    <n v="863"/>
    <x v="1"/>
    <x v="8"/>
    <x v="0"/>
    <s v="1000 - Aprovação"/>
    <s v="Sim"/>
    <s v="Recepção do lote"/>
    <m/>
    <s v="0"/>
    <m/>
    <s v="N/A"/>
    <s v="10/09/2026 17:37:44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49/26"/>
    <n v="1"/>
    <s v="BAG"/>
    <m/>
    <n v="871.5"/>
    <n v="863"/>
    <x v="1"/>
    <x v="8"/>
    <x v="0"/>
    <s v="1000 - Aprovação"/>
    <s v="Sim"/>
    <s v="Recepção do lote"/>
    <m/>
    <s v="0"/>
    <m/>
    <s v="N/A"/>
    <s v="10/09/2026 17:34:34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53/26"/>
    <n v="1"/>
    <s v="BAG"/>
    <m/>
    <n v="871"/>
    <n v="863"/>
    <x v="1"/>
    <x v="8"/>
    <x v="0"/>
    <s v="1000 - Aprovação"/>
    <s v="Sim"/>
    <s v="Recepção do lote"/>
    <m/>
    <s v="0"/>
    <m/>
    <s v="N/A"/>
    <s v="10/09/2026 17:33:38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55/26"/>
    <n v="1"/>
    <s v="BAG"/>
    <m/>
    <n v="867.5"/>
    <n v="863"/>
    <x v="1"/>
    <x v="8"/>
    <x v="0"/>
    <s v="1000 - Aprovação"/>
    <s v="Sim"/>
    <s v="Recepção do lote"/>
    <m/>
    <s v="0"/>
    <m/>
    <s v="N/A"/>
    <s v="10/09/2026 17:32:35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59/26"/>
    <n v="1"/>
    <s v="BAG"/>
    <m/>
    <n v="868.5"/>
    <n v="863"/>
    <x v="1"/>
    <x v="8"/>
    <x v="0"/>
    <s v="1000 - Aprovação"/>
    <s v="Sim"/>
    <s v="Recepção do lote"/>
    <m/>
    <s v="0"/>
    <m/>
    <s v="N/A"/>
    <s v="10/09/2026 17:38:43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61/26"/>
    <n v="1"/>
    <s v="BAG"/>
    <m/>
    <n v="871"/>
    <n v="863"/>
    <x v="1"/>
    <x v="8"/>
    <x v="0"/>
    <s v="1000 - Aprovação"/>
    <s v="Sim"/>
    <s v="Recepção do lote"/>
    <m/>
    <s v="0"/>
    <m/>
    <s v="N/A"/>
    <s v="10/09/2026 17:33:10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63/26"/>
    <n v="1"/>
    <s v="BAG"/>
    <m/>
    <n v="869.5"/>
    <n v="863"/>
    <x v="1"/>
    <x v="8"/>
    <x v="0"/>
    <s v="1000 - Aprovação"/>
    <s v="Sim"/>
    <s v="Recepção do lote"/>
    <m/>
    <s v="0"/>
    <m/>
    <s v="N/A"/>
    <s v="10/09/2026 17:35:43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65/26"/>
    <n v="1"/>
    <s v="BAG"/>
    <m/>
    <n v="870"/>
    <n v="863"/>
    <x v="1"/>
    <x v="8"/>
    <x v="0"/>
    <s v="1000 - Aprovação"/>
    <s v="Sim"/>
    <s v="Recepção do lote"/>
    <m/>
    <s v="0"/>
    <m/>
    <s v="N/A"/>
    <s v="10/09/2026 17:36:43"/>
    <m/>
    <m/>
    <s v="Informativo de ensaque clean para PA"/>
    <s v="null"/>
    <s v=""/>
    <m/>
  </r>
  <r>
    <s v="VALOREM - PATOS"/>
    <x v="0"/>
    <s v="SEMENTE DE MILHO HIBRIDO - P3889R R2 BB -"/>
    <x v="0"/>
    <s v="03P7600718"/>
    <s v="7359269-85902"/>
    <s v="INV26/26"/>
    <s v="R2"/>
    <s v="Informativo de ensaque clean para PA"/>
    <x v="1"/>
    <s v="STANDARD + P + D + L + L"/>
    <s v="EDSON JUNIOR PEREIRA LIMA"/>
    <x v="1"/>
    <s v="0023371/26"/>
    <n v="1"/>
    <s v="BAG"/>
    <m/>
    <n v="871"/>
    <n v="863"/>
    <x v="1"/>
    <x v="8"/>
    <x v="0"/>
    <s v="1000 - Aprovação"/>
    <s v="Sim"/>
    <s v="Recepção do lote"/>
    <m/>
    <s v="0"/>
    <m/>
    <s v="N/A"/>
    <s v="10/09/2026 17:39:50"/>
    <m/>
    <m/>
    <s v="Informativo de ensaque clean para PA"/>
    <s v="null"/>
    <s v=""/>
    <m/>
  </r>
  <r>
    <s v="VALOREM - PATOS"/>
    <x v="0"/>
    <s v="SEMENTE DE MILHO HIBRIDO - P3889R R2 60S -"/>
    <x v="0"/>
    <s v="03P7609035"/>
    <s v="7359269-85902"/>
    <s v="INV26/26"/>
    <s v="R2"/>
    <s v="Informativo de ensaque clean para PA"/>
    <x v="2"/>
    <s v="STANDARD + P + D + L + L"/>
    <s v="EDSON JUNIOR PEREIRA LIMA"/>
    <x v="1"/>
    <s v="0023373/26"/>
    <n v="24"/>
    <s v="SC"/>
    <m/>
    <n v="446.5"/>
    <n v="414.24"/>
    <x v="1"/>
    <x v="2"/>
    <x v="0"/>
    <s v="1000 - Aprovação"/>
    <s v="Sim"/>
    <s v="Recepção do lote"/>
    <m/>
    <s v="0"/>
    <m/>
    <s v="N/A"/>
    <s v="10/09/2026 17:02:48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74/26"/>
    <n v="1"/>
    <s v="BAG"/>
    <m/>
    <n v="678.5"/>
    <n v="674.5"/>
    <x v="1"/>
    <x v="9"/>
    <x v="0"/>
    <s v="1000 - Aprovação"/>
    <s v="Sim"/>
    <s v="Recepção do lote"/>
    <m/>
    <s v="0"/>
    <m/>
    <s v="N/A"/>
    <s v="10/09/2026 18:19:17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76/26"/>
    <n v="1"/>
    <s v="BAG"/>
    <m/>
    <n v="679"/>
    <n v="674.5"/>
    <x v="1"/>
    <x v="9"/>
    <x v="0"/>
    <s v="1000 - Aprovação"/>
    <s v="Sim"/>
    <s v="Recepção do lote"/>
    <m/>
    <s v="0"/>
    <m/>
    <s v="N/A"/>
    <s v="10/09/2026 18:20:46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78/26"/>
    <n v="1"/>
    <s v="BAG"/>
    <m/>
    <n v="679.5"/>
    <n v="674.5"/>
    <x v="1"/>
    <x v="9"/>
    <x v="0"/>
    <s v="1000 - Aprovação"/>
    <s v="Sim"/>
    <s v="Recepção do lote"/>
    <m/>
    <s v="0"/>
    <m/>
    <s v="N/A"/>
    <s v="10/09/2026 18:19:48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80/26"/>
    <n v="1"/>
    <s v="BAG"/>
    <m/>
    <n v="679"/>
    <n v="674.5"/>
    <x v="1"/>
    <x v="9"/>
    <x v="0"/>
    <s v="1000 - Aprovação"/>
    <s v="Sim"/>
    <s v="Recepção do lote"/>
    <m/>
    <s v="0"/>
    <m/>
    <s v="N/A"/>
    <s v="10/09/2026 18:16:33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82/26"/>
    <n v="1"/>
    <s v="BAG"/>
    <m/>
    <n v="678.5"/>
    <n v="674.5"/>
    <x v="1"/>
    <x v="9"/>
    <x v="0"/>
    <s v="1000 - Aprovação"/>
    <s v="Sim"/>
    <s v="Recepção do lote"/>
    <m/>
    <s v="0"/>
    <m/>
    <s v="N/A"/>
    <s v="10/09/2026 18:18:51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84/26"/>
    <n v="1"/>
    <s v="BAG"/>
    <m/>
    <n v="681"/>
    <n v="674.5"/>
    <x v="1"/>
    <x v="9"/>
    <x v="0"/>
    <s v="1000 - Aprovação"/>
    <s v="Sim"/>
    <s v="Recepção do lote"/>
    <m/>
    <s v="0"/>
    <m/>
    <s v="N/A"/>
    <s v="10/09/2026 18:17:33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86/26"/>
    <n v="1"/>
    <s v="BAG"/>
    <m/>
    <n v="679.5"/>
    <n v="674.5"/>
    <x v="1"/>
    <x v="9"/>
    <x v="0"/>
    <s v="1000 - Aprovação"/>
    <s v="Sim"/>
    <s v="Recepção do lote"/>
    <m/>
    <s v="0"/>
    <m/>
    <s v="N/A"/>
    <s v="10/09/2026 18:17:58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88/26"/>
    <n v="1"/>
    <s v="BAG"/>
    <m/>
    <n v="674.5"/>
    <n v="674.5"/>
    <x v="1"/>
    <x v="9"/>
    <x v="0"/>
    <s v="1000 - Aprovação"/>
    <s v="Sim"/>
    <s v="Recepção do lote"/>
    <m/>
    <s v="0"/>
    <m/>
    <s v="N/A"/>
    <s v="10/09/2026 18:20:17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90/26"/>
    <n v="1"/>
    <s v="BAG"/>
    <m/>
    <n v="681"/>
    <n v="674.5"/>
    <x v="1"/>
    <x v="9"/>
    <x v="0"/>
    <s v="1000 - Aprovação"/>
    <s v="Sim"/>
    <s v="Recepção do lote"/>
    <m/>
    <s v="0"/>
    <m/>
    <s v="N/A"/>
    <s v="10/09/2026 18:21:13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92/26"/>
    <n v="1"/>
    <s v="BAG"/>
    <m/>
    <n v="679.5"/>
    <n v="674.5"/>
    <x v="1"/>
    <x v="9"/>
    <x v="0"/>
    <s v="1000 - Aprovação"/>
    <s v="Sim"/>
    <s v="Recepção do lote"/>
    <m/>
    <s v="0"/>
    <m/>
    <s v="N/A"/>
    <s v="10/09/2026 18:22:13"/>
    <m/>
    <m/>
    <s v="Informativo de ensaque clean para PA"/>
    <s v="null"/>
    <s v=""/>
    <m/>
  </r>
  <r>
    <s v="VALOREM - PATOS"/>
    <x v="0"/>
    <s v="SEMENTE DE MILHO HIBRIDO - P3889R R4 BB -"/>
    <x v="0"/>
    <s v="03P7600742"/>
    <s v="7359269-85902"/>
    <s v="INV26/26"/>
    <s v="R4"/>
    <s v="Informativo de ensaque clean para PA"/>
    <x v="1"/>
    <s v="STANDARD + P + D + L + L"/>
    <s v="EDSON JUNIOR PEREIRA LIMA"/>
    <x v="1"/>
    <s v="0023394/26"/>
    <n v="1"/>
    <s v="BAG"/>
    <m/>
    <n v="681"/>
    <n v="674.5"/>
    <x v="1"/>
    <x v="9"/>
    <x v="0"/>
    <s v="1000 - Aprovação"/>
    <s v="Sim"/>
    <s v="Recepção do lote"/>
    <m/>
    <s v="0"/>
    <m/>
    <s v="N/A"/>
    <s v="10/09/2026 18:21:41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395/26"/>
    <n v="1"/>
    <s v="BAG"/>
    <m/>
    <n v="694.5"/>
    <n v="688"/>
    <x v="1"/>
    <x v="10"/>
    <x v="0"/>
    <s v="1000 - Aprovação"/>
    <s v="Sim"/>
    <s v="Recepção do lote"/>
    <m/>
    <s v="0"/>
    <m/>
    <s v="N/A"/>
    <s v="11/09/2026 09:59:18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397/26"/>
    <n v="1"/>
    <s v="BAG"/>
    <m/>
    <n v="690.5"/>
    <n v="688"/>
    <x v="1"/>
    <x v="10"/>
    <x v="0"/>
    <s v="1000 - Aprovação"/>
    <s v="Sim"/>
    <s v="Recepção do lote"/>
    <m/>
    <s v="0"/>
    <m/>
    <s v="N/A"/>
    <s v="11/09/2026 10:00:24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399/26"/>
    <n v="1"/>
    <s v="BAG"/>
    <m/>
    <n v="688"/>
    <n v="688"/>
    <x v="1"/>
    <x v="10"/>
    <x v="0"/>
    <s v="1000 - Aprovação"/>
    <s v="Sim"/>
    <s v="Recepção do lote"/>
    <m/>
    <s v="0"/>
    <m/>
    <s v="N/A"/>
    <s v="11/09/2026 09:58:54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01/26"/>
    <n v="1"/>
    <s v="BAG"/>
    <m/>
    <n v="694.5"/>
    <n v="688"/>
    <x v="1"/>
    <x v="10"/>
    <x v="0"/>
    <s v="1000 - Aprovação"/>
    <s v="Sim"/>
    <s v="Recepção do lote"/>
    <m/>
    <s v="0"/>
    <m/>
    <s v="N/A"/>
    <s v="11/09/2026 10:00:09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03/26"/>
    <n v="1"/>
    <s v="BAG"/>
    <m/>
    <n v="694"/>
    <n v="688"/>
    <x v="1"/>
    <x v="10"/>
    <x v="0"/>
    <s v="1000 - Aprovação"/>
    <s v="Sim"/>
    <s v="Recepção do lote"/>
    <m/>
    <s v="0"/>
    <m/>
    <s v="N/A"/>
    <s v="11/09/2026 09:59:43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05/26"/>
    <n v="1"/>
    <s v="BAG"/>
    <m/>
    <n v="694"/>
    <n v="688"/>
    <x v="1"/>
    <x v="10"/>
    <x v="0"/>
    <s v="1000 - Aprovação"/>
    <s v="Sim"/>
    <s v="Recepção do lote"/>
    <m/>
    <s v="0"/>
    <m/>
    <s v="N/A"/>
    <s v="11/09/2026 09:58:32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07/26"/>
    <n v="1"/>
    <s v="BAG"/>
    <m/>
    <n v="692"/>
    <n v="688"/>
    <x v="1"/>
    <x v="10"/>
    <x v="0"/>
    <s v="1000 - Aprovação"/>
    <s v="Sim"/>
    <s v="Recepção do lote"/>
    <m/>
    <s v="0"/>
    <m/>
    <s v="N/A"/>
    <s v="11/09/2026 09:48:58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09/26"/>
    <n v="1"/>
    <s v="BAG"/>
    <m/>
    <n v="690"/>
    <n v="688"/>
    <x v="1"/>
    <x v="10"/>
    <x v="0"/>
    <s v="1000 - Aprovação"/>
    <s v="Sim"/>
    <s v="Recepção do lote"/>
    <m/>
    <s v="0"/>
    <m/>
    <s v="N/A"/>
    <s v="11/09/2026 09:57:43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11/26"/>
    <n v="1"/>
    <s v="BAG"/>
    <m/>
    <n v="689.5"/>
    <n v="688"/>
    <x v="1"/>
    <x v="10"/>
    <x v="0"/>
    <s v="1000 - Aprovação"/>
    <s v="Sim"/>
    <s v="Recepção do lote"/>
    <m/>
    <s v="0"/>
    <m/>
    <s v="N/A"/>
    <s v="11/09/2026 09:48:23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13/26"/>
    <n v="1"/>
    <s v="BAG"/>
    <m/>
    <n v="692"/>
    <n v="688"/>
    <x v="1"/>
    <x v="10"/>
    <x v="0"/>
    <s v="1000 - Aprovação"/>
    <s v="Sim"/>
    <s v="Recepção do lote"/>
    <m/>
    <s v="0"/>
    <m/>
    <s v="N/A"/>
    <s v="11/09/2026 09:47:50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15/26"/>
    <n v="1"/>
    <s v="BAG"/>
    <m/>
    <n v="693.5"/>
    <n v="688"/>
    <x v="1"/>
    <x v="10"/>
    <x v="0"/>
    <s v="1000 - Aprovação"/>
    <s v="Sim"/>
    <s v="Recepção do lote"/>
    <m/>
    <s v="0"/>
    <m/>
    <s v="N/A"/>
    <s v="11/09/2026 09:47:11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17/26"/>
    <n v="1"/>
    <s v="BAG"/>
    <m/>
    <n v="691"/>
    <n v="688"/>
    <x v="1"/>
    <x v="10"/>
    <x v="0"/>
    <s v="1000 - Aprovação"/>
    <s v="Sim"/>
    <s v="Recepção do lote"/>
    <m/>
    <s v="0"/>
    <m/>
    <s v="N/A"/>
    <s v="11/09/2026 09:57:21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19/26"/>
    <n v="1"/>
    <s v="BAG"/>
    <m/>
    <n v="690.5"/>
    <n v="688"/>
    <x v="1"/>
    <x v="10"/>
    <x v="0"/>
    <s v="1000 - Aprovação"/>
    <s v="Sim"/>
    <s v="Recepção do lote"/>
    <m/>
    <s v="0"/>
    <m/>
    <s v="N/A"/>
    <s v="11/09/2026 09:49:38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21/26"/>
    <n v="1"/>
    <s v="BAG"/>
    <m/>
    <n v="691"/>
    <n v="688"/>
    <x v="1"/>
    <x v="10"/>
    <x v="0"/>
    <s v="1000 - Aprovação"/>
    <s v="Sim"/>
    <s v="Recepção do lote"/>
    <m/>
    <s v="0"/>
    <m/>
    <s v="N/A"/>
    <s v="11/09/2026 09:57:01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23/26"/>
    <n v="1"/>
    <s v="BAG"/>
    <m/>
    <n v="690"/>
    <n v="688"/>
    <x v="1"/>
    <x v="10"/>
    <x v="0"/>
    <s v="1000 - Aprovação"/>
    <s v="Sim"/>
    <s v="Recepção do lote"/>
    <m/>
    <s v="0"/>
    <m/>
    <s v="N/A"/>
    <s v="11/09/2026 09:49:19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25/26"/>
    <n v="1"/>
    <s v="BAG"/>
    <m/>
    <n v="688"/>
    <n v="688"/>
    <x v="1"/>
    <x v="10"/>
    <x v="0"/>
    <s v="1000 - Aprovação"/>
    <s v="Sim"/>
    <s v="Recepção do lote"/>
    <m/>
    <s v="0"/>
    <m/>
    <s v="N/A"/>
    <s v="11/09/2026 09:56:12"/>
    <m/>
    <m/>
    <s v="Informativo de ensaque clean para PA"/>
    <s v="null"/>
    <s v=""/>
    <m/>
  </r>
  <r>
    <s v="VALOREM - PATOS"/>
    <x v="0"/>
    <s v="SEMENTE DE MILHO HIBRIDO - P3889R C3 BB -"/>
    <x v="0"/>
    <s v="03P7600785"/>
    <s v="7359269-85902"/>
    <s v="INV26/26"/>
    <s v="C3"/>
    <s v="Informativo de ensaque clean para PA"/>
    <x v="1"/>
    <s v="STANDARD + P + D + L + L"/>
    <s v="GABRIELA OHANA SILVA PIMENTA"/>
    <x v="1"/>
    <s v="0023427/26"/>
    <n v="1"/>
    <s v="BAG"/>
    <m/>
    <n v="690.5"/>
    <n v="688"/>
    <x v="1"/>
    <x v="10"/>
    <x v="0"/>
    <s v="1000 - Aprovação"/>
    <s v="Sim"/>
    <s v="Recepção do lote"/>
    <m/>
    <s v="0"/>
    <m/>
    <s v="N/A"/>
    <s v="11/09/2026 09:56:42"/>
    <m/>
    <m/>
    <s v="Informativo de ensaque clean para PA"/>
    <s v="null"/>
    <s v=""/>
    <m/>
  </r>
  <r>
    <s v="VALOREM - PATOS"/>
    <x v="0"/>
    <s v="SEMENTE DE MILHO HIBRIDO - P3889R C3 60S -"/>
    <x v="0"/>
    <s v="03P7609095"/>
    <s v="7359269-85902"/>
    <s v="INV26/26"/>
    <s v="C3"/>
    <s v="Informativo de ensaque clean para PA"/>
    <x v="2"/>
    <s v="STANDARD + P + D + L + L"/>
    <s v="GABRIELA OHANA SILVA PIMENTA"/>
    <x v="1"/>
    <s v="0023429/26"/>
    <n v="43"/>
    <s v="SC"/>
    <m/>
    <n v="628"/>
    <n v="591.67999999999995"/>
    <x v="1"/>
    <x v="2"/>
    <x v="0"/>
    <s v="1000 - Aprovação"/>
    <s v="Sim"/>
    <s v="Recepção do lote"/>
    <m/>
    <s v="0"/>
    <m/>
    <s v="N/A"/>
    <s v="11/09/2026 10:03:27"/>
    <m/>
    <m/>
    <s v="Informativo de ensaque clean para PA"/>
    <s v="null"/>
    <s v=""/>
    <m/>
  </r>
  <r>
    <s v="VALOREM - PATOS"/>
    <x v="0"/>
    <s v="SEMENTE DE MILHO HIBRIDO - P3889R C1 BB -"/>
    <x v="0"/>
    <s v="03P7600752"/>
    <s v="7359269-85902"/>
    <s v="INV26/26"/>
    <s v="C1"/>
    <s v="Informativo de ensaque clean para PA"/>
    <x v="1"/>
    <s v="STANDARD + P + D + L + L"/>
    <s v="GABRIELA OHANA SILVA PIMENTA"/>
    <x v="1"/>
    <s v="0023430/26"/>
    <n v="1"/>
    <s v="BAG"/>
    <m/>
    <n v="837.5"/>
    <n v="834.5"/>
    <x v="1"/>
    <x v="9"/>
    <x v="0"/>
    <s v="1000 - Aprovação"/>
    <s v="Sim"/>
    <s v="Recepção do lote"/>
    <m/>
    <s v="0"/>
    <m/>
    <s v="N/A"/>
    <s v="11/09/2026 13:35:45"/>
    <m/>
    <m/>
    <s v="Informativo de ensaque clean para PA"/>
    <s v="null"/>
    <s v=""/>
    <m/>
  </r>
  <r>
    <s v="VALOREM - PATOS"/>
    <x v="0"/>
    <s v="SEMENTE DE MILHO HIBRIDO - P3889R C1 BB -"/>
    <x v="0"/>
    <s v="03P7600752"/>
    <s v="7359269-85902"/>
    <s v="INV26/26"/>
    <s v="C1"/>
    <s v="Informativo de ensaque clean para PA"/>
    <x v="1"/>
    <s v="STANDARD + P + D + L + L"/>
    <s v="GABRIELA OHANA SILVA PIMENTA"/>
    <x v="1"/>
    <s v="0023432/26"/>
    <n v="1"/>
    <s v="BAG"/>
    <m/>
    <n v="838.5"/>
    <n v="834.5"/>
    <x v="1"/>
    <x v="9"/>
    <x v="0"/>
    <s v="1000 - Aprovação"/>
    <s v="Sim"/>
    <s v="Recepção do lote"/>
    <m/>
    <s v="0"/>
    <m/>
    <s v="N/A"/>
    <s v="11/09/2026 13:38:01"/>
    <m/>
    <m/>
    <s v="Informativo de ensaque clean para PA"/>
    <s v="null"/>
    <s v=""/>
    <m/>
  </r>
  <r>
    <s v="VALOREM - PATOS"/>
    <x v="0"/>
    <s v="SEMENTE DE MILHO HIBRIDO - P3889R C1 BB -"/>
    <x v="0"/>
    <s v="03P7600752"/>
    <s v="7359269-85902"/>
    <s v="INV26/26"/>
    <s v="C1"/>
    <s v="Informativo de ensaque clean para PA"/>
    <x v="1"/>
    <s v="STANDARD + P + D + L + L"/>
    <s v="GABRIELA OHANA SILVA PIMENTA"/>
    <x v="1"/>
    <s v="0023434/26"/>
    <n v="1"/>
    <s v="BAG"/>
    <m/>
    <n v="836.5"/>
    <n v="834.5"/>
    <x v="1"/>
    <x v="9"/>
    <x v="0"/>
    <s v="1000 - Aprovação"/>
    <s v="Sim"/>
    <s v="Recepção do lote"/>
    <m/>
    <s v="0"/>
    <m/>
    <s v="N/A"/>
    <s v="11/09/2026 13:36:35"/>
    <m/>
    <m/>
    <s v="Informativo de ensaque clean para PA"/>
    <s v="null"/>
    <s v=""/>
    <m/>
  </r>
  <r>
    <s v="VALOREM - PATOS"/>
    <x v="0"/>
    <s v="SEMENTE DE MILHO HIBRIDO - P3889R C1 BB -"/>
    <x v="0"/>
    <s v="03P7600752"/>
    <s v="7359269-85902"/>
    <s v="INV26/26"/>
    <s v="C1"/>
    <s v="Informativo de ensaque clean para PA"/>
    <x v="1"/>
    <s v="STANDARD + P + D + L + L"/>
    <s v="GABRIELA OHANA SILVA PIMENTA"/>
    <x v="1"/>
    <s v="0023436/26"/>
    <n v="1"/>
    <s v="BAG"/>
    <m/>
    <n v="837"/>
    <n v="834.5"/>
    <x v="1"/>
    <x v="9"/>
    <x v="0"/>
    <s v="1000 - Aprovação"/>
    <s v="Sim"/>
    <s v="Recepção do lote"/>
    <m/>
    <s v="0"/>
    <m/>
    <s v="N/A"/>
    <s v="11/09/2026 13:38:37"/>
    <m/>
    <m/>
    <s v="Informativo de ensaque clean para PA"/>
    <s v="null"/>
    <s v=""/>
    <m/>
  </r>
  <r>
    <s v="VALOREM - PATOS"/>
    <x v="0"/>
    <s v="SEMENTE DE MILHO HIBRIDO - P3889R C1 BB -"/>
    <x v="0"/>
    <s v="03P7600752"/>
    <s v="7359269-85902"/>
    <s v="INV26/26"/>
    <s v="C1"/>
    <s v="Informativo de ensaque clean para PA"/>
    <x v="1"/>
    <s v="STANDARD + P + D + L + L"/>
    <s v="GABRIELA OHANA SILVA PIMENTA"/>
    <x v="1"/>
    <s v="0023438/26"/>
    <n v="1"/>
    <s v="BAG"/>
    <m/>
    <n v="841"/>
    <n v="834.5"/>
    <x v="1"/>
    <x v="9"/>
    <x v="0"/>
    <s v="1000 - Aprovação"/>
    <s v="Sim"/>
    <s v="Recepção do lote"/>
    <m/>
    <s v="0"/>
    <m/>
    <s v="N/A"/>
    <s v="11/09/2026 13:37:25"/>
    <m/>
    <m/>
    <s v="Informativo de ensaque clean para PA"/>
    <s v="null"/>
    <s v=""/>
    <m/>
  </r>
  <r>
    <s v="VALOREM - PATOS"/>
    <x v="0"/>
    <s v="SEMENTE DE MILHO HIBRIDO - P3889R C1 60S -"/>
    <x v="0"/>
    <s v="03P7609063"/>
    <s v="7359269-85902"/>
    <s v="INV26/26"/>
    <s v="C1"/>
    <s v="Informativo de ensaque clean para PA"/>
    <x v="2"/>
    <s v="STANDARD + P + D + L + L"/>
    <s v="GABRIELA OHANA SILVA PIMENTA"/>
    <x v="1"/>
    <s v="0023440/26"/>
    <n v="24"/>
    <s v="SC"/>
    <m/>
    <n v="441.5"/>
    <n v="400.56"/>
    <x v="1"/>
    <x v="2"/>
    <x v="0"/>
    <s v="1000 - Aprovação"/>
    <s v="Sim"/>
    <s v="Recepção do lote"/>
    <m/>
    <s v="0"/>
    <m/>
    <s v="N/A"/>
    <s v="11/09/2026 13:43:25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41/26"/>
    <n v="75"/>
    <s v="SC"/>
    <m/>
    <n v="974"/>
    <n v="933"/>
    <x v="1"/>
    <x v="11"/>
    <x v="0"/>
    <s v="1000 - Aprovação"/>
    <s v="Sim"/>
    <s v="Recepção do lote"/>
    <m/>
    <s v="0"/>
    <m/>
    <s v="N/A"/>
    <s v="11/09/2026 14:15:54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43/26"/>
    <n v="75"/>
    <s v="SC"/>
    <m/>
    <n v="970.5"/>
    <n v="933"/>
    <x v="1"/>
    <x v="11"/>
    <x v="0"/>
    <s v="1000 - Aprovação"/>
    <s v="Sim"/>
    <s v="Recepção do lote"/>
    <m/>
    <s v="0"/>
    <m/>
    <s v="N/A"/>
    <s v="11/09/2026 14:21:32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45/26"/>
    <n v="75"/>
    <s v="SC"/>
    <m/>
    <n v="972.5"/>
    <n v="933"/>
    <x v="1"/>
    <x v="11"/>
    <x v="0"/>
    <s v="1000 - Aprovação"/>
    <s v="Sim"/>
    <s v="Recepção do lote"/>
    <m/>
    <s v="0"/>
    <m/>
    <s v="N/A"/>
    <s v="11/09/2026 14:19:06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47/26"/>
    <n v="75"/>
    <s v="SC"/>
    <m/>
    <n v="974"/>
    <n v="933"/>
    <x v="1"/>
    <x v="11"/>
    <x v="0"/>
    <s v="1000 - Aprovação"/>
    <s v="Sim"/>
    <s v="Recepção do lote"/>
    <m/>
    <s v="0"/>
    <m/>
    <s v="N/A"/>
    <s v="11/09/2026 14:20:42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49/26"/>
    <n v="75"/>
    <s v="SC"/>
    <m/>
    <n v="970.5"/>
    <n v="933"/>
    <x v="1"/>
    <x v="11"/>
    <x v="0"/>
    <s v="1000 - Aprovação"/>
    <s v="Sim"/>
    <s v="Recepção do lote"/>
    <m/>
    <s v="0"/>
    <m/>
    <s v="N/A"/>
    <s v="11/09/2026 14:18:22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51/26"/>
    <n v="75"/>
    <s v="SC"/>
    <m/>
    <n v="970"/>
    <n v="933"/>
    <x v="1"/>
    <x v="11"/>
    <x v="0"/>
    <s v="1000 - Aprovação"/>
    <s v="Sim"/>
    <s v="Recepção do lote"/>
    <m/>
    <s v="0"/>
    <m/>
    <s v="N/A"/>
    <s v="11/09/2026 14:15:11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53/26"/>
    <n v="75"/>
    <s v="SC"/>
    <m/>
    <n v="970"/>
    <n v="933"/>
    <x v="1"/>
    <x v="11"/>
    <x v="0"/>
    <s v="1000 - Aprovação"/>
    <s v="Sim"/>
    <s v="Recepção do lote"/>
    <m/>
    <s v="0"/>
    <m/>
    <s v="N/A"/>
    <s v="11/09/2026 14:17:41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55/26"/>
    <n v="75"/>
    <s v="SC"/>
    <m/>
    <n v="974"/>
    <n v="933"/>
    <x v="1"/>
    <x v="11"/>
    <x v="0"/>
    <s v="1000 - Aprovação"/>
    <s v="Sim"/>
    <s v="Recepção do lote"/>
    <m/>
    <s v="0"/>
    <m/>
    <s v="N/A"/>
    <s v="11/09/2026 14:16:54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GABRIELA OHANA SILVA PIMENTA"/>
    <x v="1"/>
    <s v="0023457/26"/>
    <n v="75"/>
    <s v="SC"/>
    <m/>
    <n v="973"/>
    <n v="933"/>
    <x v="1"/>
    <x v="11"/>
    <x v="0"/>
    <s v="1000 - Aprovação"/>
    <s v="Sim"/>
    <s v="Recepção do lote"/>
    <m/>
    <s v="0"/>
    <m/>
    <s v="N/A"/>
    <s v="11/09/2026 14:20:01"/>
    <m/>
    <m/>
    <s v="Informativo de ensaque clean para PA"/>
    <s v="null"/>
    <s v=""/>
    <m/>
  </r>
  <r>
    <s v="VALOREM - PATOS"/>
    <x v="0"/>
    <s v="SEMENTE DE MILHO HIBRIDO - P3889R BPE 60S -"/>
    <x v="0"/>
    <s v="03P7614093"/>
    <s v="7359269-85902"/>
    <s v="INV26/26"/>
    <s v="BPE"/>
    <s v="Informativo de ensaque clean para PA"/>
    <x v="2"/>
    <s v="STANDARD + P + D + L + L"/>
    <s v="RODRIGO SILVA"/>
    <x v="1"/>
    <s v="0023459/26"/>
    <n v="39"/>
    <s v="SC"/>
    <m/>
    <n v="519.5"/>
    <n v="485.16"/>
    <x v="1"/>
    <x v="11"/>
    <x v="0"/>
    <s v="1000 - Aprovação"/>
    <s v="Sim"/>
    <s v="Recepção do lote"/>
    <m/>
    <s v="0"/>
    <m/>
    <s v="N/A"/>
    <s v="11/09/2026 14:32:54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61/26"/>
    <n v="75"/>
    <s v="SC"/>
    <m/>
    <n v="962.5"/>
    <n v="924.75"/>
    <x v="1"/>
    <x v="11"/>
    <x v="0"/>
    <s v="1000 - Aprovação"/>
    <s v="Sim"/>
    <s v="Recepção do lote"/>
    <m/>
    <s v="0"/>
    <m/>
    <s v="N/A"/>
    <s v="11/09/2026 15:45:05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63/26"/>
    <n v="75"/>
    <s v="SC"/>
    <m/>
    <n v="970"/>
    <n v="924.75"/>
    <x v="1"/>
    <x v="11"/>
    <x v="0"/>
    <s v="1000 - Aprovação"/>
    <s v="Sim"/>
    <s v="Recepção do lote"/>
    <m/>
    <s v="0"/>
    <m/>
    <s v="N/A"/>
    <s v="11/09/2026 15:39:13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65/26"/>
    <n v="75"/>
    <s v="SC"/>
    <m/>
    <n v="967.5"/>
    <n v="924.75"/>
    <x v="1"/>
    <x v="11"/>
    <x v="0"/>
    <s v="1000 - Aprovação"/>
    <s v="Sim"/>
    <s v="Recepção do lote"/>
    <m/>
    <s v="0"/>
    <m/>
    <s v="N/A"/>
    <s v="11/09/2026 15:46:38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67/26"/>
    <n v="75"/>
    <s v="SC"/>
    <m/>
    <n v="964"/>
    <n v="924.75"/>
    <x v="1"/>
    <x v="11"/>
    <x v="0"/>
    <s v="1000 - Aprovação"/>
    <s v="Sim"/>
    <s v="Recepção do lote"/>
    <m/>
    <s v="0"/>
    <m/>
    <s v="N/A"/>
    <s v="11/09/2026 15:40:24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69/26"/>
    <n v="75"/>
    <s v="SC"/>
    <m/>
    <n v="968"/>
    <n v="924.75"/>
    <x v="1"/>
    <x v="11"/>
    <x v="0"/>
    <s v="1000 - Aprovação"/>
    <s v="Sim"/>
    <s v="Recepção do lote"/>
    <m/>
    <s v="0"/>
    <m/>
    <s v="N/A"/>
    <s v="11/09/2026 15:48:23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71/26"/>
    <n v="75"/>
    <s v="SC"/>
    <m/>
    <n v="965"/>
    <n v="924.75"/>
    <x v="1"/>
    <x v="11"/>
    <x v="0"/>
    <s v="1000 - Aprovação"/>
    <s v="Sim"/>
    <s v="Recepção do lote"/>
    <m/>
    <s v="0"/>
    <m/>
    <s v="N/A"/>
    <s v="11/09/2026 15:49:46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73/26"/>
    <n v="75"/>
    <s v="SC"/>
    <m/>
    <n v="963.5"/>
    <n v="924.75"/>
    <x v="1"/>
    <x v="11"/>
    <x v="0"/>
    <s v="1000 - Aprovação"/>
    <s v="Sim"/>
    <s v="Recepção do lote"/>
    <m/>
    <s v="0"/>
    <m/>
    <s v="N/A"/>
    <s v="11/09/2026 15:44:52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77/26"/>
    <n v="75"/>
    <s v="SC"/>
    <m/>
    <n v="964.5"/>
    <n v="924.75"/>
    <x v="1"/>
    <x v="11"/>
    <x v="0"/>
    <s v="1000 - Aprovação"/>
    <s v="Sim"/>
    <s v="Recepção do lote"/>
    <m/>
    <s v="0"/>
    <m/>
    <s v="N/A"/>
    <s v="11/09/2026 15:44:43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81/26"/>
    <n v="75"/>
    <s v="SC"/>
    <m/>
    <n v="968"/>
    <n v="924.75"/>
    <x v="1"/>
    <x v="11"/>
    <x v="0"/>
    <s v="1000 - Aprovação"/>
    <s v="Sim"/>
    <s v="Recepção do lote"/>
    <m/>
    <s v="0"/>
    <m/>
    <s v="N/A"/>
    <s v="11/09/2026 15:38:07"/>
    <m/>
    <m/>
    <s v="Informativo de ensaque clean para PA"/>
    <s v="null"/>
    <s v=""/>
    <m/>
  </r>
  <r>
    <s v="VALOREM - PATOS"/>
    <x v="0"/>
    <s v="SEMENTE DE MILHO HIBRIDO - P3889R BPE 60S -"/>
    <x v="0"/>
    <s v="03P7614756"/>
    <s v="7359269-85902"/>
    <s v="INV26/26"/>
    <s v="BPE"/>
    <s v="Informativo de ensaque clean para PA"/>
    <x v="2"/>
    <s v="STANDARD + P + D + L + L"/>
    <s v="RODRIGO SILVA"/>
    <x v="1"/>
    <s v="0023483/26"/>
    <n v="75"/>
    <s v="SC"/>
    <m/>
    <n v="966"/>
    <n v="924.75"/>
    <x v="1"/>
    <x v="11"/>
    <x v="0"/>
    <s v="1000 - Aprovação"/>
    <s v="Sim"/>
    <s v="Recepção do lote"/>
    <m/>
    <s v="0"/>
    <m/>
    <s v="N/A"/>
    <s v="11/09/2026 15:36:24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84/26"/>
    <n v="75"/>
    <s v="SC"/>
    <m/>
    <n v="969"/>
    <n v="930"/>
    <x v="1"/>
    <x v="12"/>
    <x v="0"/>
    <s v="1000 - Aprovação"/>
    <s v="Sim"/>
    <s v="Recepção do lote"/>
    <m/>
    <s v="0"/>
    <m/>
    <s v="N/A"/>
    <s v="11/09/2026 16:22:49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86/26"/>
    <n v="75"/>
    <s v="SC"/>
    <m/>
    <n v="969.5"/>
    <n v="930"/>
    <x v="1"/>
    <x v="12"/>
    <x v="0"/>
    <s v="1000 - Aprovação"/>
    <s v="Sim"/>
    <s v="Recepção do lote"/>
    <m/>
    <s v="0"/>
    <m/>
    <s v="N/A"/>
    <s v="11/09/2026 16:25:35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88/26"/>
    <n v="75"/>
    <s v="SC"/>
    <m/>
    <n v="969"/>
    <n v="930"/>
    <x v="1"/>
    <x v="12"/>
    <x v="0"/>
    <s v="1000 - Aprovação"/>
    <s v="Sim"/>
    <s v="Recepção do lote"/>
    <m/>
    <s v="0"/>
    <m/>
    <s v="N/A"/>
    <s v="11/09/2026 16:24:36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90/26"/>
    <n v="75"/>
    <s v="SC"/>
    <m/>
    <n v="968"/>
    <n v="930"/>
    <x v="1"/>
    <x v="12"/>
    <x v="0"/>
    <s v="1000 - Aprovação"/>
    <s v="Sim"/>
    <s v="Recepção do lote"/>
    <m/>
    <s v="0"/>
    <m/>
    <s v="N/A"/>
    <s v="11/09/2026 16:27:09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92/26"/>
    <n v="75"/>
    <s v="SC"/>
    <m/>
    <n v="968.5"/>
    <n v="930"/>
    <x v="1"/>
    <x v="12"/>
    <x v="0"/>
    <s v="1000 - Aprovação"/>
    <s v="Sim"/>
    <s v="Recepção do lote"/>
    <m/>
    <s v="0"/>
    <m/>
    <s v="N/A"/>
    <s v="11/09/2026 16:26:20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94/26"/>
    <n v="75"/>
    <s v="SC"/>
    <m/>
    <n v="972"/>
    <n v="930"/>
    <x v="1"/>
    <x v="12"/>
    <x v="0"/>
    <s v="1000 - Aprovação"/>
    <s v="Sim"/>
    <s v="Recepção do lote"/>
    <m/>
    <s v="0"/>
    <m/>
    <s v="N/A"/>
    <s v="11/09/2026 16:30:06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96/26"/>
    <n v="75"/>
    <s v="SC"/>
    <m/>
    <n v="974"/>
    <n v="930"/>
    <x v="1"/>
    <x v="12"/>
    <x v="0"/>
    <s v="1000 - Aprovação"/>
    <s v="Sim"/>
    <s v="Recepção do lote"/>
    <m/>
    <s v="0"/>
    <m/>
    <s v="N/A"/>
    <s v="11/09/2026 16:28:13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98/26"/>
    <n v="75"/>
    <s v="SC"/>
    <m/>
    <n v="967"/>
    <n v="930"/>
    <x v="1"/>
    <x v="12"/>
    <x v="0"/>
    <s v="1000 - Aprovação"/>
    <s v="Sim"/>
    <s v="Recepção do lote"/>
    <m/>
    <s v="0"/>
    <m/>
    <s v="N/A"/>
    <s v="11/09/2026 16:30:47"/>
    <m/>
    <m/>
    <s v="Informativo de ensaque clean para PA"/>
    <s v="null"/>
    <s v=""/>
    <m/>
  </r>
  <r>
    <s v="VALOREM - PATOS"/>
    <x v="0"/>
    <s v="SEMENTE DE MILHO HIBRIDO - P3889R BPE 60S -"/>
    <x v="0"/>
    <s v="03P7616361"/>
    <s v="7359269-85902"/>
    <s v="INV26/26"/>
    <s v="BPE"/>
    <s v="Informativo de ensaque clean para PA"/>
    <x v="2"/>
    <s v="STANDARD + P + D + L + L"/>
    <s v="RODRIGO SILVA"/>
    <x v="1"/>
    <s v="0023499/26"/>
    <n v="68"/>
    <s v="SC"/>
    <m/>
    <n v="879.5"/>
    <n v="843.2"/>
    <x v="1"/>
    <x v="12"/>
    <x v="0"/>
    <s v="1000 - Aprovação"/>
    <s v="Sim"/>
    <s v="Recepção do lote"/>
    <m/>
    <s v="0"/>
    <m/>
    <s v="N/A"/>
    <s v="11/09/2026 16:23:47"/>
    <m/>
    <m/>
    <s v="Informativo de ensaque clean para PA"/>
    <s v="null"/>
    <s v=""/>
    <m/>
  </r>
  <r>
    <s v="VALOREM - PATOS"/>
    <x v="0"/>
    <s v="SEMENTE DE MILHO HIBRIDO - P3889R BPE 60S -"/>
    <x v="0"/>
    <s v="03P7616583"/>
    <s v="7359269-85902"/>
    <s v="INV26/26"/>
    <s v="BPE"/>
    <s v="Informativo de ensaque clean para PA"/>
    <x v="2"/>
    <s v="STANDARD + P + D + L + L"/>
    <s v="RODRIGO SILVA"/>
    <x v="1"/>
    <s v="0023500/26"/>
    <n v="75"/>
    <s v="SC"/>
    <m/>
    <n v="891"/>
    <n v="849"/>
    <x v="1"/>
    <x v="12"/>
    <x v="0"/>
    <s v="1000 - Aprovação"/>
    <s v="Sim"/>
    <s v="Recepção do lote"/>
    <m/>
    <s v="0"/>
    <m/>
    <s v="N/A"/>
    <s v="11/09/2026 16:35:48"/>
    <m/>
    <m/>
    <s v="Informativo de ensaque clean para PA"/>
    <s v="null"/>
    <s v=""/>
    <m/>
  </r>
  <r>
    <s v="VALOREM - PATOS"/>
    <x v="0"/>
    <s v="SEMENTE DE MILHO HIBRIDO - P3889R BPE 60S -"/>
    <x v="0"/>
    <s v="03P7616583"/>
    <s v="7359269-85902"/>
    <s v="INV26/26"/>
    <s v="BPE"/>
    <s v="Informativo de ensaque clean para PA"/>
    <x v="2"/>
    <s v="STANDARD + P + D + L + L"/>
    <s v="RODRIGO SILVA"/>
    <x v="1"/>
    <s v="0023501/26"/>
    <n v="75"/>
    <s v="SC"/>
    <m/>
    <n v="889.5"/>
    <n v="849"/>
    <x v="1"/>
    <x v="12"/>
    <x v="0"/>
    <s v="1000 - Aprovação"/>
    <s v="Sim"/>
    <s v="Recepção do lote"/>
    <m/>
    <s v="0"/>
    <m/>
    <s v="N/A"/>
    <s v="11/09/2026 16:34:49"/>
    <m/>
    <m/>
    <s v="Informativo de ensaque clean para PA"/>
    <s v="null"/>
    <s v=""/>
    <m/>
  </r>
  <r>
    <s v="VALOREM - PATOS"/>
    <x v="0"/>
    <s v="SEMENTE DE MILHO HIBRIDO - P3889R BPE 60S -"/>
    <x v="0"/>
    <s v="03P7616583"/>
    <s v="7359269-85902"/>
    <s v="INV26/26"/>
    <s v="BPE"/>
    <s v="Informativo de ensaque clean para PA"/>
    <x v="2"/>
    <s v="STANDARD + P + D + L + L"/>
    <s v="RODRIGO SILVA"/>
    <x v="1"/>
    <s v="0023502/26"/>
    <n v="75"/>
    <s v="SC"/>
    <m/>
    <n v="890"/>
    <n v="849"/>
    <x v="1"/>
    <x v="12"/>
    <x v="0"/>
    <s v="1000 - Aprovação"/>
    <s v="Sim"/>
    <s v="Recepção do lote"/>
    <m/>
    <s v="0"/>
    <m/>
    <s v="N/A"/>
    <s v="11/09/2026 16:34:10"/>
    <m/>
    <m/>
    <s v="Informativo de ensaque clean para PA"/>
    <s v="null"/>
    <s v=""/>
    <m/>
  </r>
  <r>
    <s v="VALOREM - PATOS"/>
    <x v="0"/>
    <s v="SEMENTE DE MILHO HIBRIDO - P3889R BPE 60S -"/>
    <x v="0"/>
    <s v="03P7616583"/>
    <s v="7359269-85902"/>
    <s v="INV26/26"/>
    <s v="BPE"/>
    <s v="Informativo de ensaque clean para PA"/>
    <x v="2"/>
    <s v="STANDARD + P + D + L + L"/>
    <s v="RODRIGO SILVA"/>
    <x v="1"/>
    <s v="0023503/26"/>
    <n v="75"/>
    <s v="SC"/>
    <m/>
    <n v="886.5"/>
    <n v="849"/>
    <x v="1"/>
    <x v="12"/>
    <x v="0"/>
    <s v="1000 - Aprovação"/>
    <s v="Sim"/>
    <s v="Recepção do lote"/>
    <m/>
    <s v="0"/>
    <m/>
    <s v="N/A"/>
    <s v="11/09/2026 16:33:29"/>
    <m/>
    <m/>
    <s v="Informativo de ensaque clean para PA"/>
    <s v="null"/>
    <s v=""/>
    <m/>
  </r>
  <r>
    <s v="VALOREM - PATOS"/>
    <x v="0"/>
    <s v="SEMENTE DE MILHO HIBRIDO - P3889R BPE 60S -"/>
    <x v="0"/>
    <s v="03P7616583"/>
    <s v="7359269-85902"/>
    <s v="INV26/26"/>
    <s v="BPE"/>
    <s v="Informativo de ensaque clean para PA"/>
    <x v="2"/>
    <s v="STANDARD + P + D + L + L"/>
    <s v="RODRIGO SILVA"/>
    <x v="1"/>
    <s v="0023505/26"/>
    <n v="18"/>
    <s v="SC"/>
    <m/>
    <n v="235"/>
    <n v="203.76"/>
    <x v="1"/>
    <x v="12"/>
    <x v="0"/>
    <s v="1000 - Aprovação"/>
    <s v="Sim"/>
    <s v="Recepção do lote"/>
    <m/>
    <s v="0"/>
    <m/>
    <s v="N/A"/>
    <s v="11/09/2026 16:32:52"/>
    <m/>
    <m/>
    <s v="Informativo de ensaque clean para PA"/>
    <s v="null"/>
    <s v=""/>
    <m/>
  </r>
  <r>
    <s v="VALOREM - PATOS"/>
    <x v="0"/>
    <s v="SEMENTE DE MILHO HIBRIDO - P3889R R3 BB -"/>
    <x v="0"/>
    <s v="03P7600731"/>
    <s v="7359269-85902"/>
    <s v="INV26/26"/>
    <s v="R3"/>
    <s v="Informativo de ensaque clean para PA"/>
    <x v="1"/>
    <s v="STANDARD + P + D + L + L"/>
    <s v="JULIO CESAR VIEIRA SILVA"/>
    <x v="1"/>
    <s v="0023507/26"/>
    <n v="1"/>
    <s v="BAG"/>
    <m/>
    <n v="752"/>
    <n v="748.5"/>
    <x v="1"/>
    <x v="13"/>
    <x v="0"/>
    <s v="1000 - Aprovação"/>
    <s v="Sim"/>
    <s v="Alocação física"/>
    <m/>
    <s v="0"/>
    <m/>
    <s v="N/A"/>
    <s v="15/09/2026 15:00:34"/>
    <m/>
    <s v=""/>
    <s v="Informativo de ensaque clean para PA"/>
    <s v="null"/>
    <s v=""/>
    <m/>
  </r>
  <r>
    <s v="VALOREM - PATOS"/>
    <x v="0"/>
    <s v="SEMENTE DE MILHO HIBRIDO - P3889R R3 BB -"/>
    <x v="0"/>
    <s v="03P7600731"/>
    <s v="7359269-85902"/>
    <s v="INV26/26"/>
    <s v="R3"/>
    <s v="Informativo de ensaque clean para PA"/>
    <x v="1"/>
    <s v="STANDARD + P + D + L + L"/>
    <s v="JULIO CESAR VIEIRA SILVA"/>
    <x v="1"/>
    <s v="0023509/26"/>
    <n v="1"/>
    <s v="BAG"/>
    <m/>
    <n v="754"/>
    <n v="748.5"/>
    <x v="1"/>
    <x v="13"/>
    <x v="0"/>
    <s v="1000 - Aprovação"/>
    <s v="Sim"/>
    <s v="Alocação física"/>
    <m/>
    <s v="0"/>
    <m/>
    <s v="N/A"/>
    <s v="15/09/2026 15:00:26"/>
    <m/>
    <s v=""/>
    <s v="Informativo de ensaque clean para PA"/>
    <s v="null"/>
    <s v=""/>
    <m/>
  </r>
  <r>
    <s v="VALOREM - PATOS"/>
    <x v="0"/>
    <s v="SEMENTE DE MILHO HIBRIDO - P3889R R3 BB -"/>
    <x v="0"/>
    <s v="03P7600731"/>
    <s v="7359269-85902"/>
    <s v="INV26/26"/>
    <s v="R3"/>
    <s v="Informativo de ensaque clean para PA"/>
    <x v="1"/>
    <s v="STANDARD + P + D + L + L"/>
    <s v="JULIO CESAR VIEIRA SILVA"/>
    <x v="1"/>
    <s v="0023511/26"/>
    <n v="1"/>
    <s v="BAG"/>
    <m/>
    <n v="752"/>
    <n v="748.5"/>
    <x v="1"/>
    <x v="13"/>
    <x v="0"/>
    <s v="1000 - Aprovação"/>
    <s v="Sim"/>
    <s v="Alocação física"/>
    <m/>
    <s v="0"/>
    <m/>
    <s v="N/A"/>
    <s v="15/09/2026 15:00:20"/>
    <m/>
    <s v=""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13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5:50:44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15/26"/>
    <n v="1"/>
    <s v="BAG"/>
    <m/>
    <n v="721"/>
    <n v="718.8"/>
    <x v="2"/>
    <x v="14"/>
    <x v="0"/>
    <s v="1000 - Aprovação"/>
    <s v="Sim"/>
    <s v="Recepção do lote"/>
    <m/>
    <s v="0"/>
    <m/>
    <s v="N/A"/>
    <s v="21/09/2026 16:05:30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17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6:01:41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19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6:00:32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21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6:06:29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23/26"/>
    <n v="1"/>
    <s v="BAG"/>
    <m/>
    <n v="725.5"/>
    <n v="718.8"/>
    <x v="2"/>
    <x v="14"/>
    <x v="0"/>
    <s v="1000 - Aprovação"/>
    <s v="Sim"/>
    <s v="Recepção do lote"/>
    <m/>
    <s v="0"/>
    <m/>
    <s v="N/A"/>
    <s v="21/09/2026 16:07:11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25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5:52:28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27/26"/>
    <n v="1"/>
    <s v="BAG"/>
    <m/>
    <n v="720"/>
    <n v="718.8"/>
    <x v="2"/>
    <x v="14"/>
    <x v="0"/>
    <s v="1000 - Aprovação"/>
    <s v="Sim"/>
    <s v="Recepção do lote"/>
    <m/>
    <s v="0"/>
    <m/>
    <s v="N/A"/>
    <s v="21/09/2026 16:04:27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29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6:02:13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31/26"/>
    <n v="1"/>
    <s v="BAG"/>
    <m/>
    <n v="725.5"/>
    <n v="718.8"/>
    <x v="2"/>
    <x v="14"/>
    <x v="0"/>
    <s v="1000 - Aprovação"/>
    <s v="Sim"/>
    <s v="Recepção do lote"/>
    <m/>
    <s v="0"/>
    <m/>
    <s v="N/A"/>
    <s v="21/09/2026 16:01:12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33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6:03:20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35/26"/>
    <n v="1"/>
    <s v="BAG"/>
    <m/>
    <n v="725"/>
    <n v="718.8"/>
    <x v="2"/>
    <x v="14"/>
    <x v="0"/>
    <s v="1000 - Aprovação"/>
    <s v="Sim"/>
    <s v="Recepção do lote"/>
    <m/>
    <s v="0"/>
    <m/>
    <s v="N/A"/>
    <s v="21/09/2026 15:59:30"/>
    <m/>
    <m/>
    <s v="Informativo de ensaque clean para PA"/>
    <s v="null"/>
    <s v=""/>
    <m/>
  </r>
  <r>
    <s v="VALOREM - PATOS"/>
    <x v="0"/>
    <s v="SEMENTE DE MILHO HIBRIDO - P3845VYHR PC2 BB -"/>
    <x v="1"/>
    <s v="05P7622520"/>
    <s v="7345816-434001"/>
    <s v="INV26/26"/>
    <s v="C2"/>
    <s v="Informativo de ensaque clean para PA"/>
    <x v="1"/>
    <s v="STANDARD + P + D + L + L"/>
    <s v="GABRIELA OHANA SILVA PIMENTA"/>
    <x v="1"/>
    <s v="0024037/26"/>
    <n v="1"/>
    <s v="BAG"/>
    <m/>
    <n v="722"/>
    <n v="718.8"/>
    <x v="2"/>
    <x v="14"/>
    <x v="0"/>
    <s v="1000 - Aprovação"/>
    <s v="Sim"/>
    <s v="Recepção do lote"/>
    <m/>
    <s v="0"/>
    <m/>
    <s v="N/A"/>
    <s v="21/09/2026 16:02:45"/>
    <m/>
    <m/>
    <s v="Informativo de ensaque clean para PA"/>
    <s v="null"/>
    <s v=""/>
    <m/>
  </r>
  <r>
    <s v="VALOREM - PATOS"/>
    <x v="0"/>
    <s v="SEMENTE DE MILHO HIBRIDO - P3845VYHR PC2 60S -"/>
    <x v="1"/>
    <s v="05P7626459"/>
    <s v="7345816-434001"/>
    <s v="INV26/26"/>
    <s v="C2"/>
    <s v="Informativo de ensaque clean para PA"/>
    <x v="2"/>
    <s v="STANDARD + P + D + L + L"/>
    <s v="RODRIGO SILVA"/>
    <x v="1"/>
    <s v="0024039/26"/>
    <n v="33"/>
    <s v="SC"/>
    <m/>
    <n v="629"/>
    <n v="593.01"/>
    <x v="2"/>
    <x v="15"/>
    <x v="0"/>
    <s v="1000 - Aprovação"/>
    <s v="Sim"/>
    <s v="Recepção do lote"/>
    <m/>
    <s v="0"/>
    <m/>
    <s v="N/A"/>
    <s v="21/09/2026 15:52:33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40/26"/>
    <n v="1"/>
    <s v="BAG"/>
    <m/>
    <n v="727"/>
    <n v="720.4"/>
    <x v="2"/>
    <x v="14"/>
    <x v="0"/>
    <s v="1000 - Aprovação"/>
    <s v="Sim"/>
    <s v="Recepção do lote"/>
    <m/>
    <s v="0"/>
    <m/>
    <s v="N/A"/>
    <s v="21/09/2026 16:35:34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42/26"/>
    <n v="1"/>
    <s v="BAG"/>
    <m/>
    <n v="727"/>
    <n v="720.4"/>
    <x v="2"/>
    <x v="14"/>
    <x v="0"/>
    <s v="1000 - Aprovação"/>
    <s v="Sim"/>
    <s v="Recepção do lote"/>
    <m/>
    <s v="0"/>
    <m/>
    <s v="N/A"/>
    <s v="21/09/2026 16:33:57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44/26"/>
    <n v="1"/>
    <s v="BAG"/>
    <m/>
    <n v="726"/>
    <n v="720.4"/>
    <x v="2"/>
    <x v="14"/>
    <x v="0"/>
    <s v="1000 - Aprovação"/>
    <s v="Sim"/>
    <s v="Recepção do lote"/>
    <m/>
    <s v="0"/>
    <m/>
    <s v="N/A"/>
    <s v="21/09/2026 16:42:10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46/26"/>
    <n v="1"/>
    <s v="BAG"/>
    <m/>
    <n v="726"/>
    <n v="720.4"/>
    <x v="2"/>
    <x v="14"/>
    <x v="0"/>
    <s v="1000 - Aprovação"/>
    <s v="Sim"/>
    <s v="Recepção do lote"/>
    <m/>
    <s v="0"/>
    <m/>
    <s v="N/A"/>
    <s v="21/09/2026 16:40:11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48/26"/>
    <n v="1"/>
    <s v="BAG"/>
    <m/>
    <n v="727"/>
    <n v="720.4"/>
    <x v="2"/>
    <x v="14"/>
    <x v="0"/>
    <s v="1000 - Aprovação"/>
    <s v="Sim"/>
    <s v="Recepção do lote"/>
    <m/>
    <s v="0"/>
    <m/>
    <s v="N/A"/>
    <s v="21/09/2026 16:38:44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50/26"/>
    <n v="1"/>
    <s v="BAG"/>
    <m/>
    <n v="727.6"/>
    <n v="720.4"/>
    <x v="2"/>
    <x v="14"/>
    <x v="0"/>
    <s v="1000 - Aprovação"/>
    <s v="Sim"/>
    <s v="Recepção do lote"/>
    <m/>
    <s v="0"/>
    <m/>
    <s v="N/A"/>
    <s v="21/09/2026 16:39:46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52/26"/>
    <n v="1"/>
    <s v="BAG"/>
    <m/>
    <n v="727"/>
    <n v="720.4"/>
    <x v="2"/>
    <x v="14"/>
    <x v="0"/>
    <s v="1000 - Aprovação"/>
    <s v="Sim"/>
    <s v="Recepção do lote"/>
    <m/>
    <s v="0"/>
    <m/>
    <s v="N/A"/>
    <s v="21/09/2026 16:38:02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54/26"/>
    <n v="1"/>
    <s v="BAG"/>
    <m/>
    <n v="727.5"/>
    <n v="720.4"/>
    <x v="2"/>
    <x v="14"/>
    <x v="0"/>
    <s v="1000 - Aprovação"/>
    <s v="Sim"/>
    <s v="Recepção do lote"/>
    <m/>
    <s v="0"/>
    <m/>
    <s v="N/A"/>
    <s v="21/09/2026 16:30:38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56/26"/>
    <n v="1"/>
    <s v="BAG"/>
    <m/>
    <n v="727"/>
    <n v="720.4"/>
    <x v="2"/>
    <x v="14"/>
    <x v="0"/>
    <s v="1000 - Aprovação"/>
    <s v="Sim"/>
    <s v="Recepção do lote"/>
    <m/>
    <s v="0"/>
    <m/>
    <s v="N/A"/>
    <s v="21/09/2026 16:31:12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58/26"/>
    <n v="1"/>
    <s v="BAG"/>
    <m/>
    <n v="727.5"/>
    <n v="720.4"/>
    <x v="2"/>
    <x v="14"/>
    <x v="0"/>
    <s v="1000 - Aprovação"/>
    <s v="Sim"/>
    <s v="Recepção do lote"/>
    <m/>
    <s v="0"/>
    <m/>
    <s v="N/A"/>
    <s v="21/09/2026 16:29:01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60/26"/>
    <n v="1"/>
    <s v="BAG"/>
    <m/>
    <n v="727"/>
    <n v="720.4"/>
    <x v="2"/>
    <x v="14"/>
    <x v="0"/>
    <s v="1000 - Aprovação"/>
    <s v="Sim"/>
    <s v="Recepção do lote"/>
    <m/>
    <s v="0"/>
    <m/>
    <s v="N/A"/>
    <s v="21/09/2026 16:31:41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62/26"/>
    <n v="1"/>
    <s v="BAG"/>
    <m/>
    <n v="727.5"/>
    <n v="720.4"/>
    <x v="2"/>
    <x v="14"/>
    <x v="0"/>
    <s v="1000 - Aprovação"/>
    <s v="Sim"/>
    <s v="Recepção do lote"/>
    <m/>
    <s v="0"/>
    <m/>
    <s v="N/A"/>
    <s v="21/09/2026 16:29:46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64/26"/>
    <n v="1"/>
    <s v="BAG"/>
    <m/>
    <n v="727.5"/>
    <n v="720.4"/>
    <x v="2"/>
    <x v="14"/>
    <x v="0"/>
    <s v="1000 - Aprovação"/>
    <s v="Sim"/>
    <s v="Recepção do lote"/>
    <m/>
    <s v="0"/>
    <m/>
    <s v="N/A"/>
    <s v="21/09/2026 16:33:17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66/26"/>
    <n v="1"/>
    <s v="BAG"/>
    <m/>
    <n v="727.5"/>
    <n v="720.4"/>
    <x v="2"/>
    <x v="14"/>
    <x v="0"/>
    <s v="1000 - Aprovação"/>
    <s v="Sim"/>
    <s v="Recepção do lote"/>
    <m/>
    <s v="0"/>
    <m/>
    <s v="N/A"/>
    <s v="21/09/2026 16:34:43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68/26"/>
    <n v="1"/>
    <s v="BAG"/>
    <m/>
    <n v="724"/>
    <n v="720.4"/>
    <x v="2"/>
    <x v="14"/>
    <x v="0"/>
    <s v="1000 - Aprovação"/>
    <s v="Sim"/>
    <s v="Recepção do lote"/>
    <m/>
    <s v="0"/>
    <m/>
    <s v="N/A"/>
    <s v="21/09/2026 16:37:03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70/26"/>
    <n v="1"/>
    <s v="BAG"/>
    <m/>
    <n v="723"/>
    <n v="720.4"/>
    <x v="2"/>
    <x v="14"/>
    <x v="0"/>
    <s v="1000 - Aprovação"/>
    <s v="Sim"/>
    <s v="Recepção do lote"/>
    <m/>
    <s v="0"/>
    <m/>
    <s v="N/A"/>
    <s v="21/09/2026 16:37:31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72/26"/>
    <n v="1"/>
    <s v="BAG"/>
    <m/>
    <n v="727.5"/>
    <n v="720.4"/>
    <x v="2"/>
    <x v="14"/>
    <x v="0"/>
    <s v="1000 - Aprovação"/>
    <s v="Sim"/>
    <s v="Recepção do lote"/>
    <m/>
    <s v="0"/>
    <m/>
    <s v="N/A"/>
    <s v="21/09/2026 16:36:35"/>
    <m/>
    <m/>
    <s v="Informativo de ensaque clean para PA"/>
    <s v="null"/>
    <s v=""/>
    <m/>
  </r>
  <r>
    <s v="VALOREM - PATOS"/>
    <x v="0"/>
    <s v="SEMENTE DE MILHO HIBRIDO - P3845VYHR PC2 BB -"/>
    <x v="1"/>
    <s v="05P7622521"/>
    <s v="7345816-434001"/>
    <s v="INV26/26"/>
    <s v="C2"/>
    <s v="Informativo de ensaque clean para PA"/>
    <x v="1"/>
    <s v="STANDARD + P + D + L + L"/>
    <s v="RODRIGO SILVA"/>
    <x v="1"/>
    <s v="0024073/26"/>
    <n v="1"/>
    <s v="BAG"/>
    <m/>
    <n v="727.5"/>
    <n v="720.4"/>
    <x v="2"/>
    <x v="14"/>
    <x v="0"/>
    <s v="1000 - Aprovação"/>
    <s v="Sim"/>
    <s v="Recepção do lote"/>
    <m/>
    <s v="0"/>
    <m/>
    <s v="N/A"/>
    <s v="21/09/2026 16:36:11"/>
    <m/>
    <m/>
    <s v="Informativo de ensaque clean para PA"/>
    <s v="null"/>
    <s v=""/>
    <m/>
  </r>
  <r>
    <s v="VALOREM - PATOS"/>
    <x v="0"/>
    <s v="SEMENTE DE MILHO HIBRIDO - P3845VYHR PC2 60S -"/>
    <x v="1"/>
    <s v="05P7626460"/>
    <s v="7345816-434001"/>
    <s v="INV26/26"/>
    <s v="C2"/>
    <s v="Informativo de ensaque clean para PA"/>
    <x v="2"/>
    <s v="STANDARD + P + D + L + L"/>
    <s v="RODRIGO SILVA"/>
    <x v="1"/>
    <s v="0024074/26"/>
    <n v="31"/>
    <s v="SC"/>
    <m/>
    <n v="591.5"/>
    <n v="558.30999999999995"/>
    <x v="2"/>
    <x v="15"/>
    <x v="0"/>
    <s v="1000 - Aprovação"/>
    <s v="Sim"/>
    <s v="Recepção do lote"/>
    <m/>
    <s v="0"/>
    <m/>
    <s v="N/A"/>
    <s v="21/09/2026 16:10:29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75/26"/>
    <n v="1"/>
    <s v="BAG"/>
    <m/>
    <n v="727"/>
    <n v="720.4"/>
    <x v="2"/>
    <x v="16"/>
    <x v="0"/>
    <s v="1000 - Aprovação"/>
    <s v="Sim"/>
    <s v="Recepção do lote"/>
    <m/>
    <s v="0"/>
    <m/>
    <s v="N/A"/>
    <s v="22/09/2026 08:57:10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77/26"/>
    <n v="1"/>
    <s v="BAG"/>
    <m/>
    <n v="727.5"/>
    <n v="720.4"/>
    <x v="2"/>
    <x v="16"/>
    <x v="0"/>
    <s v="1000 - Aprovação"/>
    <s v="Sim"/>
    <s v="Recepção do lote"/>
    <m/>
    <s v="0"/>
    <m/>
    <s v="N/A"/>
    <s v="22/09/2026 08:54:29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79/26"/>
    <n v="1"/>
    <s v="BAG"/>
    <m/>
    <n v="727.5"/>
    <n v="720.4"/>
    <x v="2"/>
    <x v="16"/>
    <x v="0"/>
    <s v="1000 - Aprovação"/>
    <s v="Sim"/>
    <s v="Recepção do lote"/>
    <m/>
    <s v="0"/>
    <m/>
    <s v="N/A"/>
    <s v="22/09/2026 08:50:01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81/26"/>
    <n v="1"/>
    <s v="BAG"/>
    <m/>
    <n v="727"/>
    <n v="720.4"/>
    <x v="2"/>
    <x v="16"/>
    <x v="0"/>
    <s v="1000 - Aprovação"/>
    <s v="Sim"/>
    <s v="Recepção do lote"/>
    <m/>
    <s v="0"/>
    <m/>
    <s v="N/A"/>
    <s v="22/09/2026 08:49:26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83/26"/>
    <n v="1"/>
    <s v="BAG"/>
    <m/>
    <n v="724.5"/>
    <n v="720.4"/>
    <x v="2"/>
    <x v="16"/>
    <x v="0"/>
    <s v="1000 - Aprovação"/>
    <s v="Sim"/>
    <s v="Recepção do lote"/>
    <m/>
    <s v="0"/>
    <m/>
    <s v="N/A"/>
    <s v="22/09/2026 08:48:51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85/26"/>
    <n v="1"/>
    <s v="BAG"/>
    <m/>
    <n v="726"/>
    <n v="720.4"/>
    <x v="2"/>
    <x v="16"/>
    <x v="0"/>
    <s v="1000 - Aprovação"/>
    <s v="Sim"/>
    <s v="Recepção do lote"/>
    <m/>
    <s v="0"/>
    <m/>
    <s v="N/A"/>
    <s v="22/09/2026 08:48:16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87/26"/>
    <n v="1"/>
    <s v="BAG"/>
    <m/>
    <n v="727"/>
    <n v="720.4"/>
    <x v="2"/>
    <x v="16"/>
    <x v="0"/>
    <s v="1000 - Aprovação"/>
    <s v="Sim"/>
    <s v="Recepção do lote"/>
    <m/>
    <s v="0"/>
    <m/>
    <s v="N/A"/>
    <s v="22/09/2026 08:52:26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89/26"/>
    <n v="1"/>
    <s v="BAG"/>
    <m/>
    <n v="726.5"/>
    <n v="720.4"/>
    <x v="2"/>
    <x v="16"/>
    <x v="0"/>
    <s v="1000 - Aprovação"/>
    <s v="Sim"/>
    <s v="Recepção do lote"/>
    <m/>
    <s v="0"/>
    <m/>
    <s v="N/A"/>
    <s v="22/09/2026 08:51:14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91/26"/>
    <n v="1"/>
    <s v="BAG"/>
    <m/>
    <n v="725.5"/>
    <n v="720.4"/>
    <x v="2"/>
    <x v="16"/>
    <x v="0"/>
    <s v="1000 - Aprovação"/>
    <s v="Sim"/>
    <s v="Recepção do lote"/>
    <m/>
    <s v="0"/>
    <m/>
    <s v="N/A"/>
    <s v="22/09/2026 08:53:06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93/26"/>
    <n v="1"/>
    <s v="BAG"/>
    <m/>
    <n v="727"/>
    <n v="720.4"/>
    <x v="2"/>
    <x v="16"/>
    <x v="0"/>
    <s v="1000 - Aprovação"/>
    <s v="Sim"/>
    <s v="Recepção do lote"/>
    <m/>
    <s v="0"/>
    <m/>
    <s v="N/A"/>
    <s v="22/09/2026 08:56:02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95/26"/>
    <n v="1"/>
    <s v="BAG"/>
    <m/>
    <n v="727"/>
    <n v="720.4"/>
    <x v="2"/>
    <x v="16"/>
    <x v="0"/>
    <s v="1000 - Aprovação"/>
    <s v="Sim"/>
    <s v="Recepção do lote"/>
    <m/>
    <s v="0"/>
    <m/>
    <s v="N/A"/>
    <s v="22/09/2026 08:53:53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97/26"/>
    <n v="1"/>
    <s v="BAG"/>
    <m/>
    <n v="726"/>
    <n v="720.4"/>
    <x v="2"/>
    <x v="16"/>
    <x v="0"/>
    <s v="1000 - Aprovação"/>
    <s v="Sim"/>
    <s v="Recepção do lote"/>
    <m/>
    <s v="0"/>
    <m/>
    <s v="N/A"/>
    <s v="22/09/2026 08:55:12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099/26"/>
    <n v="1"/>
    <s v="BAG"/>
    <m/>
    <n v="725"/>
    <n v="720.4"/>
    <x v="2"/>
    <x v="16"/>
    <x v="0"/>
    <s v="1000 - Aprovação"/>
    <s v="Sim"/>
    <s v="Recepção do lote"/>
    <m/>
    <s v="0"/>
    <m/>
    <s v="N/A"/>
    <s v="22/09/2026 08:47:45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101/26"/>
    <n v="1"/>
    <s v="BAG"/>
    <m/>
    <n v="727"/>
    <n v="720.4"/>
    <x v="2"/>
    <x v="16"/>
    <x v="0"/>
    <s v="1000 - Aprovação"/>
    <s v="Sim"/>
    <s v="Recepção do lote"/>
    <m/>
    <s v="0"/>
    <m/>
    <s v="N/A"/>
    <s v="22/09/2026 08:46:46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103/26"/>
    <n v="1"/>
    <s v="BAG"/>
    <m/>
    <n v="727.5"/>
    <n v="720.4"/>
    <x v="2"/>
    <x v="16"/>
    <x v="0"/>
    <s v="1000 - Aprovação"/>
    <s v="Sim"/>
    <s v="Recepção do lote"/>
    <m/>
    <s v="0"/>
    <m/>
    <s v="N/A"/>
    <s v="22/09/2026 08:51:51"/>
    <m/>
    <m/>
    <s v="Informativo de ensaque clean para PA"/>
    <s v="null"/>
    <s v=""/>
    <m/>
  </r>
  <r>
    <s v="VALOREM - PATOS"/>
    <x v="0"/>
    <s v="SEMENTE DE MILHO HIBRIDO - P3845VYHR PC2 BB -"/>
    <x v="1"/>
    <s v="05P7622522"/>
    <s v="7345816-434001"/>
    <s v="INV26/26"/>
    <s v="C2"/>
    <s v="Informativo de ensaque clean para PA"/>
    <x v="1"/>
    <s v="STANDARD + P + D + L + L"/>
    <s v="EDSON JUNIOR PEREIRA LIMA"/>
    <x v="1"/>
    <s v="0024105/26"/>
    <n v="1"/>
    <s v="BAG"/>
    <m/>
    <n v="727"/>
    <n v="720.4"/>
    <x v="2"/>
    <x v="16"/>
    <x v="0"/>
    <s v="1000 - Aprovação"/>
    <s v="Sim"/>
    <s v="Recepção do lote"/>
    <m/>
    <s v="0"/>
    <m/>
    <s v="N/A"/>
    <s v="22/09/2026 08:50:37"/>
    <m/>
    <m/>
    <s v="Informativo de ensaque clean para PA"/>
    <s v="null"/>
    <s v=""/>
    <m/>
  </r>
  <r>
    <s v="VALOREM - PATOS"/>
    <x v="0"/>
    <s v="SEMENTE DE MILHO HIBRIDO - P3845VYHR PC2 60S -"/>
    <x v="1"/>
    <s v="05P7626461"/>
    <s v="7345816-434001"/>
    <s v="INV26/26"/>
    <s v="C2"/>
    <s v="Informativo de ensaque clean para PA"/>
    <x v="2"/>
    <s v="STANDARD + P + D + L + L"/>
    <s v="EDSON JUNIOR PEREIRA LIMA"/>
    <x v="1"/>
    <s v="0024107/26"/>
    <n v="29"/>
    <s v="SC"/>
    <m/>
    <n v="556"/>
    <n v="522.29"/>
    <x v="2"/>
    <x v="15"/>
    <x v="0"/>
    <s v="1000 - Aprovação"/>
    <s v="Sim"/>
    <s v="Recepção do lote"/>
    <m/>
    <s v="0"/>
    <m/>
    <s v="N/A"/>
    <s v="22/09/2026 10:02:12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08/26"/>
    <n v="1"/>
    <s v="BAG"/>
    <m/>
    <n v="816.5"/>
    <n v="809.2"/>
    <x v="2"/>
    <x v="16"/>
    <x v="0"/>
    <s v="1000 - Aprovação"/>
    <s v="Sim"/>
    <s v="Recepção do lote"/>
    <m/>
    <s v="0"/>
    <m/>
    <s v="N/A"/>
    <s v="22/09/2026 15:31:21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10/26"/>
    <n v="1"/>
    <s v="BAG"/>
    <m/>
    <n v="813"/>
    <n v="809.2"/>
    <x v="2"/>
    <x v="16"/>
    <x v="0"/>
    <s v="1000 - Aprovação"/>
    <s v="Sim"/>
    <s v="Recepção do lote"/>
    <m/>
    <s v="0"/>
    <m/>
    <s v="N/A"/>
    <s v="22/09/2026 15:32:54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12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31:41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14/26"/>
    <n v="1"/>
    <s v="BAG"/>
    <m/>
    <n v="814"/>
    <n v="809.2"/>
    <x v="2"/>
    <x v="16"/>
    <x v="0"/>
    <s v="1000 - Aprovação"/>
    <s v="Sim"/>
    <s v="Recepção do lote"/>
    <m/>
    <s v="0"/>
    <m/>
    <s v="N/A"/>
    <s v="22/09/2026 15:33:20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16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35:15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18/26"/>
    <n v="1"/>
    <s v="BAG"/>
    <m/>
    <n v="811"/>
    <n v="809.2"/>
    <x v="2"/>
    <x v="16"/>
    <x v="0"/>
    <s v="1000 - Aprovação"/>
    <s v="Sim"/>
    <s v="Recepção do lote"/>
    <m/>
    <s v="0"/>
    <m/>
    <s v="N/A"/>
    <s v="22/09/2026 15:34:26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60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34:51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62/26"/>
    <n v="1"/>
    <s v="BAG"/>
    <m/>
    <n v="815"/>
    <n v="809.2"/>
    <x v="2"/>
    <x v="16"/>
    <x v="0"/>
    <s v="1000 - Aprovação"/>
    <s v="Sim"/>
    <s v="Recepção do lote"/>
    <m/>
    <s v="0"/>
    <m/>
    <s v="N/A"/>
    <s v="22/09/2026 15:30:30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64/26"/>
    <n v="1"/>
    <s v="BAG"/>
    <m/>
    <n v="816"/>
    <n v="809.2"/>
    <x v="2"/>
    <x v="16"/>
    <x v="0"/>
    <s v="1000 - Aprovação"/>
    <s v="Sim"/>
    <s v="Recepção do lote"/>
    <m/>
    <s v="0"/>
    <m/>
    <s v="N/A"/>
    <s v="22/09/2026 15:30:08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66/26"/>
    <n v="1"/>
    <s v="BAG"/>
    <m/>
    <n v="810"/>
    <n v="809.2"/>
    <x v="2"/>
    <x v="16"/>
    <x v="0"/>
    <s v="1000 - Aprovação"/>
    <s v="Sim"/>
    <s v="Recepção do lote"/>
    <m/>
    <s v="0"/>
    <m/>
    <s v="N/A"/>
    <s v="22/09/2026 15:32:30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68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32:05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70/26"/>
    <n v="1"/>
    <s v="BAG"/>
    <m/>
    <n v="814"/>
    <n v="809.2"/>
    <x v="2"/>
    <x v="16"/>
    <x v="0"/>
    <s v="1000 - Aprovação"/>
    <s v="Sim"/>
    <s v="Recepção do lote"/>
    <m/>
    <s v="0"/>
    <m/>
    <s v="N/A"/>
    <s v="22/09/2026 15:30:56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72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39:11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74/26"/>
    <n v="1"/>
    <s v="BAG"/>
    <m/>
    <n v="812"/>
    <n v="809.2"/>
    <x v="2"/>
    <x v="16"/>
    <x v="0"/>
    <s v="1000 - Aprovação"/>
    <s v="Sim"/>
    <s v="Recepção do lote"/>
    <m/>
    <s v="0"/>
    <m/>
    <s v="N/A"/>
    <s v="22/09/2026 15:39:56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76/26"/>
    <n v="1"/>
    <s v="BAG"/>
    <m/>
    <n v="812"/>
    <n v="809.2"/>
    <x v="2"/>
    <x v="16"/>
    <x v="0"/>
    <s v="1000 - Aprovação"/>
    <s v="Sim"/>
    <s v="Recepção do lote"/>
    <m/>
    <s v="0"/>
    <m/>
    <s v="N/A"/>
    <s v="22/09/2026 15:40:24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178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39:32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19/26"/>
    <n v="1"/>
    <s v="BAG"/>
    <m/>
    <n v="815"/>
    <n v="809.2"/>
    <x v="2"/>
    <x v="16"/>
    <x v="0"/>
    <s v="1000 - Aprovação"/>
    <s v="Sim"/>
    <s v="Recepção do lote"/>
    <m/>
    <s v="0"/>
    <m/>
    <s v="N/A"/>
    <s v="22/09/2026 15:42:27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21/26"/>
    <n v="1"/>
    <s v="BAG"/>
    <m/>
    <n v="816"/>
    <n v="809.2"/>
    <x v="2"/>
    <x v="16"/>
    <x v="0"/>
    <s v="1000 - Aprovação"/>
    <s v="Sim"/>
    <s v="Recepção do lote"/>
    <m/>
    <s v="0"/>
    <m/>
    <s v="N/A"/>
    <s v="22/09/2026 15:40:58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23/26"/>
    <n v="1"/>
    <s v="BAG"/>
    <m/>
    <n v="812"/>
    <n v="809.2"/>
    <x v="2"/>
    <x v="16"/>
    <x v="0"/>
    <s v="1000 - Aprovação"/>
    <s v="Sim"/>
    <s v="Recepção do lote"/>
    <m/>
    <s v="0"/>
    <m/>
    <s v="N/A"/>
    <s v="22/09/2026 15:43:06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25/26"/>
    <n v="1"/>
    <s v="BAG"/>
    <m/>
    <n v="814"/>
    <n v="809.2"/>
    <x v="2"/>
    <x v="16"/>
    <x v="0"/>
    <s v="1000 - Aprovação"/>
    <s v="Sim"/>
    <s v="Recepção do lote"/>
    <m/>
    <s v="0"/>
    <m/>
    <s v="N/A"/>
    <s v="22/09/2026 15:42:00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27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41:21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29/26"/>
    <n v="1"/>
    <s v="BAG"/>
    <m/>
    <n v="815"/>
    <n v="809.2"/>
    <x v="2"/>
    <x v="16"/>
    <x v="0"/>
    <s v="1000 - Aprovação"/>
    <s v="Sim"/>
    <s v="Recepção do lote"/>
    <m/>
    <s v="0"/>
    <m/>
    <s v="N/A"/>
    <s v="22/09/2026 15:28:14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31/26"/>
    <n v="1"/>
    <s v="BAG"/>
    <m/>
    <n v="814"/>
    <n v="809.2"/>
    <x v="2"/>
    <x v="16"/>
    <x v="0"/>
    <s v="1000 - Aprovação"/>
    <s v="Sim"/>
    <s v="Recepção do lote"/>
    <m/>
    <s v="0"/>
    <m/>
    <s v="N/A"/>
    <s v="22/09/2026 15:27:06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33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27:51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35/26"/>
    <n v="1"/>
    <s v="BAG"/>
    <m/>
    <n v="815"/>
    <n v="809.2"/>
    <x v="2"/>
    <x v="16"/>
    <x v="0"/>
    <s v="1000 - Aprovação"/>
    <s v="Sim"/>
    <s v="Recepção do lote"/>
    <m/>
    <s v="0"/>
    <m/>
    <s v="N/A"/>
    <s v="22/09/2026 15:27:24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37/26"/>
    <n v="1"/>
    <s v="BAG"/>
    <m/>
    <n v="813"/>
    <n v="809.2"/>
    <x v="2"/>
    <x v="16"/>
    <x v="0"/>
    <s v="1000 - Aprovação"/>
    <s v="Sim"/>
    <s v="Recepção do lote"/>
    <m/>
    <s v="0"/>
    <m/>
    <s v="N/A"/>
    <s v="22/09/2026 15:29:44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39/26"/>
    <n v="1"/>
    <s v="BAG"/>
    <m/>
    <n v="816"/>
    <n v="809.2"/>
    <x v="2"/>
    <x v="16"/>
    <x v="0"/>
    <s v="1000 - Aprovação"/>
    <s v="Sim"/>
    <s v="Recepção do lote"/>
    <m/>
    <s v="0"/>
    <m/>
    <s v="N/A"/>
    <s v="22/09/2026 15:29:19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41/26"/>
    <n v="1"/>
    <s v="BAG"/>
    <m/>
    <n v="816"/>
    <n v="809.2"/>
    <x v="2"/>
    <x v="16"/>
    <x v="0"/>
    <s v="1000 - Aprovação"/>
    <s v="Sim"/>
    <s v="Recepção do lote"/>
    <m/>
    <s v="0"/>
    <m/>
    <s v="N/A"/>
    <s v="22/09/2026 15:28:58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43/26"/>
    <n v="1"/>
    <s v="BAG"/>
    <m/>
    <n v="815"/>
    <n v="809.2"/>
    <x v="2"/>
    <x v="16"/>
    <x v="0"/>
    <s v="1000 - Aprovação"/>
    <s v="Sim"/>
    <s v="Recepção do lote"/>
    <m/>
    <s v="0"/>
    <m/>
    <s v="N/A"/>
    <s v="22/09/2026 15:37:40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45/26"/>
    <n v="1"/>
    <s v="BAG"/>
    <m/>
    <n v="812"/>
    <n v="809.2"/>
    <x v="2"/>
    <x v="16"/>
    <x v="0"/>
    <s v="1000 - Aprovação"/>
    <s v="Sim"/>
    <s v="Recepção do lote"/>
    <m/>
    <s v="0"/>
    <m/>
    <s v="N/A"/>
    <s v="22/09/2026 15:38:43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47/26"/>
    <n v="1"/>
    <s v="BAG"/>
    <m/>
    <n v="812"/>
    <n v="809.2"/>
    <x v="2"/>
    <x v="16"/>
    <x v="0"/>
    <s v="1000 - Aprovação"/>
    <s v="Sim"/>
    <s v="Recepção do lote"/>
    <m/>
    <s v="0"/>
    <m/>
    <s v="N/A"/>
    <s v="22/09/2026 15:36:47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49/26"/>
    <n v="1"/>
    <s v="BAG"/>
    <m/>
    <n v="816"/>
    <n v="809.2"/>
    <x v="2"/>
    <x v="16"/>
    <x v="0"/>
    <s v="1000 - Aprovação"/>
    <s v="Sim"/>
    <s v="Recepção do lote"/>
    <m/>
    <s v="0"/>
    <m/>
    <s v="N/A"/>
    <s v="22/09/2026 15:38:05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51/26"/>
    <n v="1"/>
    <s v="BAG"/>
    <m/>
    <n v="813"/>
    <n v="809.2"/>
    <x v="2"/>
    <x v="16"/>
    <x v="0"/>
    <s v="1000 - Aprovação"/>
    <s v="Sim"/>
    <s v="Recepção do lote"/>
    <m/>
    <s v="0"/>
    <m/>
    <s v="N/A"/>
    <s v="22/09/2026 15:36:20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53/26"/>
    <n v="1"/>
    <s v="BAG"/>
    <m/>
    <n v="817"/>
    <n v="809.2"/>
    <x v="2"/>
    <x v="16"/>
    <x v="0"/>
    <s v="1000 - Aprovação"/>
    <s v="Sim"/>
    <s v="Recepção do lote"/>
    <m/>
    <s v="0"/>
    <m/>
    <s v="N/A"/>
    <s v="22/09/2026 15:37:11"/>
    <m/>
    <m/>
    <s v="Informativo de ensaque clean para PA"/>
    <s v="null"/>
    <s v=""/>
    <m/>
  </r>
  <r>
    <s v="VALOREM - PATOS"/>
    <x v="0"/>
    <s v="SEMENTE DE MILHO HIBRIDO - P3845VYHR PC1 BB -"/>
    <x v="1"/>
    <s v="05P7622510"/>
    <s v="7345816-434001"/>
    <s v="INV26/26"/>
    <s v="C1"/>
    <s v="Informativo de ensaque clean para PA"/>
    <x v="1"/>
    <s v="STANDARD + P + D + L + L"/>
    <s v="EDSON JUNIOR PEREIRA LIMA"/>
    <x v="1"/>
    <s v="0024255/26"/>
    <n v="1"/>
    <s v="BAG"/>
    <m/>
    <n v="815"/>
    <n v="809.2"/>
    <x v="2"/>
    <x v="16"/>
    <x v="0"/>
    <s v="1000 - Aprovação"/>
    <s v="Sim"/>
    <s v="Recepção do lote"/>
    <m/>
    <s v="0"/>
    <m/>
    <s v="N/A"/>
    <s v="22/09/2026 15:28:37"/>
    <m/>
    <m/>
    <s v="Informativo de ensaque clean para PA"/>
    <s v="null"/>
    <s v=""/>
    <m/>
  </r>
  <r>
    <s v="VALOREM - PATOS"/>
    <x v="0"/>
    <s v="SEMENTE DE MILHO HIBRIDO - P3845VYHR PC1 60S -"/>
    <x v="1"/>
    <s v="05P7626451"/>
    <s v="7345816-434001"/>
    <s v="INV26/26"/>
    <s v="C1"/>
    <s v="Informativo de ensaque clean para PA"/>
    <x v="2"/>
    <s v="STANDARD + P + D + L + L"/>
    <s v="EDSON JUNIOR PEREIRA LIMA"/>
    <x v="1"/>
    <s v="0024257/26"/>
    <n v="5"/>
    <s v="SC"/>
    <m/>
    <n v="128"/>
    <n v="101.15"/>
    <x v="2"/>
    <x v="15"/>
    <x v="0"/>
    <s v="1000 - Aprovação"/>
    <s v="Sim"/>
    <s v="Recepção do lote"/>
    <m/>
    <s v="0"/>
    <m/>
    <s v="N/A"/>
    <s v="22/09/2026 15:54:03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58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8:12:31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60/26"/>
    <n v="1"/>
    <s v="BAG"/>
    <m/>
    <n v="815"/>
    <n v="813.2"/>
    <x v="2"/>
    <x v="17"/>
    <x v="0"/>
    <s v="1000 - Aprovação"/>
    <s v="Sim"/>
    <s v="Recepção do lote"/>
    <m/>
    <s v="0"/>
    <m/>
    <s v="N/A"/>
    <s v="22/09/2026 18:07:26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62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7:48:34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64/26"/>
    <n v="1"/>
    <s v="BAG"/>
    <m/>
    <n v="817"/>
    <n v="813.2"/>
    <x v="2"/>
    <x v="17"/>
    <x v="0"/>
    <s v="1000 - Aprovação"/>
    <s v="Sim"/>
    <s v="Recepção do lote"/>
    <m/>
    <s v="0"/>
    <m/>
    <s v="N/A"/>
    <s v="22/09/2026 17:54:43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66/26"/>
    <n v="1"/>
    <s v="BAG"/>
    <m/>
    <n v="817"/>
    <n v="813.2"/>
    <x v="2"/>
    <x v="17"/>
    <x v="0"/>
    <s v="1000 - Aprovação"/>
    <s v="Sim"/>
    <s v="Recepção do lote"/>
    <m/>
    <s v="0"/>
    <m/>
    <s v="N/A"/>
    <s v="22/09/2026 17:49:28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68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8:03:55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70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7:49:49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72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7:53:18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74/26"/>
    <n v="1"/>
    <s v="BAG"/>
    <m/>
    <n v="816"/>
    <n v="813.2"/>
    <x v="2"/>
    <x v="17"/>
    <x v="0"/>
    <s v="1000 - Aprovação"/>
    <s v="Sim"/>
    <s v="Recepção do lote"/>
    <m/>
    <s v="0"/>
    <m/>
    <s v="N/A"/>
    <s v="22/09/2026 17:52:36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76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8:05:58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78/26"/>
    <n v="1"/>
    <s v="BAG"/>
    <m/>
    <n v="820"/>
    <n v="813.2"/>
    <x v="2"/>
    <x v="17"/>
    <x v="0"/>
    <s v="1000 - Aprovação"/>
    <s v="Sim"/>
    <s v="Recepção do lote"/>
    <m/>
    <s v="0"/>
    <m/>
    <s v="N/A"/>
    <s v="22/09/2026 18:06:27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80/26"/>
    <n v="1"/>
    <s v="BAG"/>
    <m/>
    <n v="819"/>
    <n v="813.2"/>
    <x v="2"/>
    <x v="17"/>
    <x v="0"/>
    <s v="1000 - Aprovação"/>
    <s v="Sim"/>
    <s v="Recepção do lote"/>
    <m/>
    <s v="0"/>
    <m/>
    <s v="N/A"/>
    <s v="22/09/2026 18:06:57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82/26"/>
    <n v="1"/>
    <s v="BAG"/>
    <m/>
    <n v="816"/>
    <n v="813.2"/>
    <x v="2"/>
    <x v="17"/>
    <x v="0"/>
    <s v="1000 - Aprovação"/>
    <s v="Sim"/>
    <s v="Recepção do lote"/>
    <m/>
    <s v="0"/>
    <m/>
    <s v="N/A"/>
    <s v="22/09/2026 17:48:58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84/26"/>
    <n v="1"/>
    <s v="BAG"/>
    <m/>
    <n v="820"/>
    <n v="813.2"/>
    <x v="2"/>
    <x v="17"/>
    <x v="0"/>
    <s v="1000 - Aprovação"/>
    <s v="Sim"/>
    <s v="Recepção do lote"/>
    <m/>
    <s v="0"/>
    <m/>
    <s v="N/A"/>
    <s v="22/09/2026 18:04:30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86/26"/>
    <n v="1"/>
    <s v="BAG"/>
    <m/>
    <n v="819"/>
    <n v="813.2"/>
    <x v="2"/>
    <x v="17"/>
    <x v="0"/>
    <s v="1000 - Aprovação"/>
    <s v="Sim"/>
    <s v="Recepção do lote"/>
    <m/>
    <s v="0"/>
    <m/>
    <s v="N/A"/>
    <s v="22/09/2026 17:54:09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88/26"/>
    <n v="1"/>
    <s v="BAG"/>
    <m/>
    <n v="816"/>
    <n v="813.2"/>
    <x v="2"/>
    <x v="17"/>
    <x v="0"/>
    <s v="1000 - Aprovação"/>
    <s v="Sim"/>
    <s v="Recepção do lote"/>
    <m/>
    <s v="0"/>
    <m/>
    <s v="N/A"/>
    <s v="22/09/2026 17:53:45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90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7:46:01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92/26"/>
    <n v="1"/>
    <s v="BAG"/>
    <m/>
    <n v="817"/>
    <n v="813.2"/>
    <x v="2"/>
    <x v="17"/>
    <x v="0"/>
    <s v="1000 - Aprovação"/>
    <s v="Sim"/>
    <s v="Recepção do lote"/>
    <m/>
    <s v="0"/>
    <m/>
    <s v="N/A"/>
    <s v="22/09/2026 17:46:25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94/26"/>
    <n v="1"/>
    <s v="BAG"/>
    <m/>
    <n v="820"/>
    <n v="813.2"/>
    <x v="2"/>
    <x v="17"/>
    <x v="0"/>
    <s v="1000 - Aprovação"/>
    <s v="Sim"/>
    <s v="Recepção do lote"/>
    <m/>
    <s v="0"/>
    <m/>
    <s v="N/A"/>
    <s v="22/09/2026 17:46:46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298/26"/>
    <n v="1"/>
    <s v="BAG"/>
    <m/>
    <n v="820"/>
    <n v="813.2"/>
    <x v="2"/>
    <x v="17"/>
    <x v="0"/>
    <s v="1000 - Aprovação"/>
    <s v="Sim"/>
    <s v="Recepção do lote"/>
    <m/>
    <s v="0"/>
    <m/>
    <s v="N/A"/>
    <s v="22/09/2026 17:50:15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00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7:47:50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02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7:52:58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06/26"/>
    <n v="1"/>
    <s v="BAG"/>
    <m/>
    <n v="817"/>
    <n v="813.2"/>
    <x v="2"/>
    <x v="17"/>
    <x v="0"/>
    <s v="1000 - Aprovação"/>
    <s v="Sim"/>
    <s v="Recepção do lote"/>
    <m/>
    <s v="0"/>
    <m/>
    <s v="N/A"/>
    <s v="22/09/2026 17:48:12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08/26"/>
    <n v="1"/>
    <s v="BAG"/>
    <m/>
    <n v="817"/>
    <n v="813.2"/>
    <x v="2"/>
    <x v="17"/>
    <x v="0"/>
    <s v="1000 - Aprovação"/>
    <s v="Sim"/>
    <s v="Recepção do lote"/>
    <m/>
    <s v="0"/>
    <m/>
    <s v="N/A"/>
    <s v="22/09/2026 17:52:07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12/26"/>
    <n v="1"/>
    <s v="BAG"/>
    <m/>
    <n v="820"/>
    <n v="813.2"/>
    <x v="2"/>
    <x v="17"/>
    <x v="0"/>
    <s v="1000 - Aprovação"/>
    <s v="Sim"/>
    <s v="Recepção do lote"/>
    <m/>
    <s v="0"/>
    <m/>
    <s v="N/A"/>
    <s v="22/09/2026 18:07:54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14/26"/>
    <n v="1"/>
    <s v="BAG"/>
    <m/>
    <n v="819"/>
    <n v="813.2"/>
    <x v="2"/>
    <x v="17"/>
    <x v="0"/>
    <s v="1000 - Aprovação"/>
    <s v="Sim"/>
    <s v="Recepção do lote"/>
    <m/>
    <s v="0"/>
    <m/>
    <s v="N/A"/>
    <s v="22/09/2026 18:08:22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18/26"/>
    <n v="1"/>
    <s v="BAG"/>
    <m/>
    <n v="821"/>
    <n v="813.2"/>
    <x v="2"/>
    <x v="17"/>
    <x v="0"/>
    <s v="1000 - Aprovação"/>
    <s v="Sim"/>
    <s v="Recepção do lote"/>
    <m/>
    <s v="0"/>
    <m/>
    <s v="N/A"/>
    <s v="22/09/2026 18:08:48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20/26"/>
    <n v="1"/>
    <s v="BAG"/>
    <m/>
    <n v="818"/>
    <n v="813.2"/>
    <x v="2"/>
    <x v="17"/>
    <x v="0"/>
    <s v="1000 - Aprovação"/>
    <s v="Sim"/>
    <s v="Recepção do lote"/>
    <m/>
    <s v="0"/>
    <m/>
    <s v="N/A"/>
    <s v="22/09/2026 18:09:18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24/26"/>
    <n v="1"/>
    <s v="BAG"/>
    <m/>
    <n v="818"/>
    <n v="813.2"/>
    <x v="2"/>
    <x v="17"/>
    <x v="0"/>
    <s v="1000 - Aprovação"/>
    <s v="Sim"/>
    <s v="Recepção do lote"/>
    <m/>
    <s v="0"/>
    <m/>
    <s v="N/A"/>
    <s v="22/09/2026 18:09:55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26/26"/>
    <n v="1"/>
    <s v="BAG"/>
    <m/>
    <n v="820"/>
    <n v="813.2"/>
    <x v="2"/>
    <x v="17"/>
    <x v="0"/>
    <s v="1000 - Aprovação"/>
    <s v="Sim"/>
    <s v="Recepção do lote"/>
    <m/>
    <s v="0"/>
    <m/>
    <s v="N/A"/>
    <s v="22/09/2026 18:10:30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28/26"/>
    <n v="1"/>
    <s v="BAG"/>
    <m/>
    <n v="816"/>
    <n v="813.2"/>
    <x v="2"/>
    <x v="17"/>
    <x v="0"/>
    <s v="1000 - Aprovação"/>
    <s v="Sim"/>
    <s v="Recepção do lote"/>
    <m/>
    <s v="0"/>
    <m/>
    <s v="N/A"/>
    <s v="22/09/2026 18:12:59"/>
    <m/>
    <m/>
    <s v="Informativo de ensaque clean para PA"/>
    <s v="null"/>
    <s v=""/>
    <m/>
  </r>
  <r>
    <s v="VALOREM - PATOS"/>
    <x v="0"/>
    <s v="SEMENTE DE MILHO HIBRIDO - P3845VYHR PC1 BB -"/>
    <x v="1"/>
    <s v="05P7622511"/>
    <s v="7345816-434001"/>
    <s v="INV26/26"/>
    <s v="C1"/>
    <s v="Informativo de ensaque clean para PA"/>
    <x v="1"/>
    <s v="STANDARD + P + D + L + L"/>
    <s v="EDSON JUNIOR PEREIRA LIMA"/>
    <x v="1"/>
    <s v="0024332/26"/>
    <n v="1"/>
    <s v="BAG"/>
    <m/>
    <n v="814"/>
    <n v="813.2"/>
    <x v="2"/>
    <x v="17"/>
    <x v="0"/>
    <s v="1000 - Aprovação"/>
    <s v="Sim"/>
    <s v="Recepção do lote"/>
    <m/>
    <s v="0"/>
    <m/>
    <s v="N/A"/>
    <s v="22/09/2026 18:11:02"/>
    <m/>
    <m/>
    <s v="Informativo de ensaque clean para PA"/>
    <s v="null"/>
    <s v=""/>
    <m/>
  </r>
  <r>
    <s v="VALOREM - PATOS"/>
    <x v="0"/>
    <s v="SEMENTE DE MILHO HIBRIDO - P3845VYHR PC1 60S -"/>
    <x v="1"/>
    <s v="05P7626450"/>
    <s v="7345816-434001"/>
    <s v="INV26/26"/>
    <s v="C1"/>
    <s v="Informativo de ensaque clean para PA"/>
    <x v="2"/>
    <s v="STANDARD + P + D + L + L"/>
    <s v="EDSON JUNIOR PEREIRA LIMA"/>
    <x v="1"/>
    <s v="0024336/26"/>
    <n v="26"/>
    <s v="SC"/>
    <m/>
    <n v="559"/>
    <n v="528.58000000000004"/>
    <x v="2"/>
    <x v="15"/>
    <x v="0"/>
    <s v="1000 - Aprovação"/>
    <s v="Sim"/>
    <s v="Recepção do lote"/>
    <m/>
    <s v="0"/>
    <m/>
    <s v="N/A"/>
    <s v="22/09/2026 18:15:29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38/26"/>
    <n v="1"/>
    <s v="BAG"/>
    <m/>
    <n v="813"/>
    <n v="808.8"/>
    <x v="2"/>
    <x v="18"/>
    <x v="0"/>
    <s v="1000 - Aprovação"/>
    <s v="Sim"/>
    <s v="Recepção do lote"/>
    <m/>
    <s v="0"/>
    <m/>
    <s v="N/A"/>
    <s v="23/09/2026 11:58:56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40/26"/>
    <n v="1"/>
    <s v="BAG"/>
    <m/>
    <n v="815"/>
    <n v="808.8"/>
    <x v="2"/>
    <x v="18"/>
    <x v="0"/>
    <s v="1000 - Aprovação"/>
    <s v="Sim"/>
    <s v="Recepção do lote"/>
    <m/>
    <s v="0"/>
    <m/>
    <s v="N/A"/>
    <s v="23/09/2026 11:57:33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44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1:58:36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48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1:57:10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50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2:03:20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52/26"/>
    <n v="1"/>
    <s v="BAG"/>
    <m/>
    <n v="814"/>
    <n v="808.8"/>
    <x v="2"/>
    <x v="18"/>
    <x v="0"/>
    <s v="1000 - Aprovação"/>
    <s v="Sim"/>
    <s v="Recepção do lote"/>
    <m/>
    <s v="0"/>
    <m/>
    <s v="N/A"/>
    <s v="23/09/2026 12:05:31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54/26"/>
    <n v="1"/>
    <s v="BAG"/>
    <m/>
    <n v="814"/>
    <n v="808.8"/>
    <x v="2"/>
    <x v="18"/>
    <x v="0"/>
    <s v="1000 - Aprovação"/>
    <s v="Sim"/>
    <s v="Recepção do lote"/>
    <m/>
    <s v="0"/>
    <m/>
    <s v="N/A"/>
    <s v="23/09/2026 12:03:53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56/26"/>
    <n v="1"/>
    <s v="BAG"/>
    <m/>
    <n v="815"/>
    <n v="808.8"/>
    <x v="2"/>
    <x v="18"/>
    <x v="0"/>
    <s v="1000 - Aprovação"/>
    <s v="Sim"/>
    <s v="Recepção do lote"/>
    <m/>
    <s v="0"/>
    <m/>
    <s v="N/A"/>
    <s v="23/09/2026 12:04:19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58/26"/>
    <n v="1"/>
    <s v="BAG"/>
    <m/>
    <n v="815"/>
    <n v="808.8"/>
    <x v="2"/>
    <x v="18"/>
    <x v="0"/>
    <s v="1000 - Aprovação"/>
    <s v="Sim"/>
    <s v="Recepção do lote"/>
    <m/>
    <s v="0"/>
    <m/>
    <s v="N/A"/>
    <s v="23/09/2026 12:06:24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60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2:06:02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62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1:54:31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64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2:04:59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66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2:02:53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68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1:56:48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70/26"/>
    <n v="1"/>
    <s v="BAG"/>
    <m/>
    <n v="812"/>
    <n v="808.8"/>
    <x v="2"/>
    <x v="18"/>
    <x v="0"/>
    <s v="1000 - Aprovação"/>
    <s v="Sim"/>
    <s v="Recepção do lote"/>
    <m/>
    <s v="0"/>
    <m/>
    <s v="N/A"/>
    <s v="23/09/2026 12:07:04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72/26"/>
    <n v="1"/>
    <s v="BAG"/>
    <m/>
    <n v="810"/>
    <n v="808.8"/>
    <x v="2"/>
    <x v="18"/>
    <x v="0"/>
    <s v="1000 - Aprovação"/>
    <s v="Sim"/>
    <s v="Recepção do lote"/>
    <m/>
    <s v="0"/>
    <m/>
    <s v="N/A"/>
    <s v="23/09/2026 11:57:54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74/26"/>
    <n v="1"/>
    <s v="BAG"/>
    <m/>
    <n v="816"/>
    <n v="808.8"/>
    <x v="2"/>
    <x v="18"/>
    <x v="0"/>
    <s v="1000 - Aprovação"/>
    <s v="Sim"/>
    <s v="Recepção do lote"/>
    <m/>
    <s v="0"/>
    <m/>
    <s v="N/A"/>
    <s v="23/09/2026 12:07:26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76/26"/>
    <n v="1"/>
    <s v="BAG"/>
    <m/>
    <n v="813"/>
    <n v="808.8"/>
    <x v="2"/>
    <x v="18"/>
    <x v="0"/>
    <s v="1000 - Aprovação"/>
    <s v="Sim"/>
    <s v="Recepção do lote"/>
    <m/>
    <s v="0"/>
    <m/>
    <s v="N/A"/>
    <s v="23/09/2026 13:29:36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78/26"/>
    <n v="1"/>
    <s v="BAG"/>
    <m/>
    <n v="814"/>
    <n v="808.8"/>
    <x v="2"/>
    <x v="18"/>
    <x v="0"/>
    <s v="1000 - Aprovação"/>
    <s v="Sim"/>
    <s v="Recepção do lote"/>
    <m/>
    <s v="0"/>
    <m/>
    <s v="N/A"/>
    <s v="23/09/2026 11:53:25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80/26"/>
    <n v="1"/>
    <s v="BAG"/>
    <m/>
    <n v="812"/>
    <n v="808.8"/>
    <x v="2"/>
    <x v="18"/>
    <x v="0"/>
    <s v="1000 - Aprovação"/>
    <s v="Sim"/>
    <s v="Recepção do lote"/>
    <m/>
    <s v="0"/>
    <m/>
    <s v="N/A"/>
    <s v="23/09/2026 11:53:46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82/26"/>
    <n v="1"/>
    <s v="BAG"/>
    <m/>
    <n v="814"/>
    <n v="808.8"/>
    <x v="2"/>
    <x v="18"/>
    <x v="0"/>
    <s v="1000 - Aprovação"/>
    <s v="Sim"/>
    <s v="Recepção do lote"/>
    <m/>
    <s v="0"/>
    <m/>
    <s v="N/A"/>
    <s v="23/09/2026 11:54:54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84/26"/>
    <n v="1"/>
    <s v="BAG"/>
    <m/>
    <n v="815"/>
    <n v="808.8"/>
    <x v="2"/>
    <x v="18"/>
    <x v="0"/>
    <s v="1000 - Aprovação"/>
    <s v="Sim"/>
    <s v="Recepção do lote"/>
    <m/>
    <s v="0"/>
    <m/>
    <s v="N/A"/>
    <s v="23/09/2026 11:54:09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86/26"/>
    <n v="1"/>
    <s v="BAG"/>
    <m/>
    <n v="812"/>
    <n v="808.8"/>
    <x v="2"/>
    <x v="18"/>
    <x v="0"/>
    <s v="1000 - Aprovação"/>
    <s v="Sim"/>
    <s v="Recepção do lote"/>
    <m/>
    <s v="0"/>
    <m/>
    <s v="N/A"/>
    <s v="23/09/2026 11:55:42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88/26"/>
    <n v="1"/>
    <s v="BAG"/>
    <m/>
    <n v="813"/>
    <n v="808.8"/>
    <x v="2"/>
    <x v="18"/>
    <x v="0"/>
    <s v="1000 - Aprovação"/>
    <s v="Sim"/>
    <s v="Recepção do lote"/>
    <m/>
    <s v="0"/>
    <m/>
    <s v="N/A"/>
    <s v="23/09/2026 12:00:50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90/26"/>
    <n v="1"/>
    <s v="BAG"/>
    <m/>
    <n v="814"/>
    <n v="808.8"/>
    <x v="2"/>
    <x v="18"/>
    <x v="0"/>
    <s v="1000 - Aprovação"/>
    <s v="Sim"/>
    <s v="Recepção do lote"/>
    <m/>
    <s v="0"/>
    <m/>
    <s v="N/A"/>
    <s v="23/09/2026 11:56:23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92/26"/>
    <n v="1"/>
    <s v="BAG"/>
    <m/>
    <n v="813"/>
    <n v="808.8"/>
    <x v="2"/>
    <x v="18"/>
    <x v="0"/>
    <s v="1000 - Aprovação"/>
    <s v="Sim"/>
    <s v="Recepção do lote"/>
    <m/>
    <s v="0"/>
    <m/>
    <s v="N/A"/>
    <s v="23/09/2026 11:56:03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94/26"/>
    <n v="1"/>
    <s v="BAG"/>
    <m/>
    <n v="811"/>
    <n v="808.8"/>
    <x v="2"/>
    <x v="18"/>
    <x v="0"/>
    <s v="1000 - Aprovação"/>
    <s v="Sim"/>
    <s v="Recepção do lote"/>
    <m/>
    <s v="0"/>
    <m/>
    <s v="N/A"/>
    <s v="23/09/2026 12:00:20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96/26"/>
    <n v="1"/>
    <s v="BAG"/>
    <m/>
    <n v="812"/>
    <n v="808.8"/>
    <x v="2"/>
    <x v="18"/>
    <x v="0"/>
    <s v="1000 - Aprovação"/>
    <s v="Sim"/>
    <s v="Recepção do lote"/>
    <m/>
    <s v="0"/>
    <m/>
    <s v="N/A"/>
    <s v="23/09/2026 12:01:24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398/26"/>
    <n v="1"/>
    <s v="BAG"/>
    <m/>
    <n v="813"/>
    <n v="808.8"/>
    <x v="2"/>
    <x v="18"/>
    <x v="0"/>
    <s v="1000 - Aprovação"/>
    <s v="Sim"/>
    <s v="Recepção do lote"/>
    <m/>
    <s v="0"/>
    <m/>
    <s v="N/A"/>
    <s v="23/09/2026 11:59:38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400/26"/>
    <n v="1"/>
    <s v="BAG"/>
    <m/>
    <n v="811"/>
    <n v="808.8"/>
    <x v="2"/>
    <x v="18"/>
    <x v="0"/>
    <s v="1000 - Aprovação"/>
    <s v="Sim"/>
    <s v="Recepção do lote"/>
    <m/>
    <s v="0"/>
    <m/>
    <s v="N/A"/>
    <s v="23/09/2026 11:55:15"/>
    <m/>
    <m/>
    <s v="Informativo de ensaque clean para PA"/>
    <s v="null"/>
    <s v=""/>
    <m/>
  </r>
  <r>
    <s v="VALOREM - PATOS"/>
    <x v="0"/>
    <s v="SEMENTE DE MILHO HIBRIDO - P3845VYHR PC1 BB -"/>
    <x v="1"/>
    <s v="05P7622512"/>
    <s v="7345816-434001"/>
    <s v="INV26/26"/>
    <s v="C1"/>
    <s v="Informativo de ensaque clean para PA"/>
    <x v="1"/>
    <s v="STANDARD + P + D + L + L"/>
    <s v="GABRIELA OHANA SILVA PIMENTA"/>
    <x v="1"/>
    <s v="0024402/26"/>
    <n v="1"/>
    <s v="BAG"/>
    <m/>
    <n v="811"/>
    <n v="808.8"/>
    <x v="2"/>
    <x v="18"/>
    <x v="0"/>
    <s v="1000 - Aprovação"/>
    <s v="Sim"/>
    <s v="Recepção do lote"/>
    <m/>
    <s v="0"/>
    <m/>
    <s v="N/A"/>
    <s v="23/09/2026 11:59:20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04/26"/>
    <n v="1"/>
    <s v="BAG"/>
    <m/>
    <n v="794"/>
    <n v="787.6"/>
    <x v="2"/>
    <x v="18"/>
    <x v="0"/>
    <s v="1000 - Aprovação"/>
    <s v="Sim"/>
    <s v="Recepção do lote"/>
    <m/>
    <s v="0"/>
    <m/>
    <s v="N/A"/>
    <s v="23/09/2026 14:21:19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46/26"/>
    <n v="1"/>
    <s v="BAG"/>
    <m/>
    <n v="792"/>
    <n v="787.6"/>
    <x v="2"/>
    <x v="18"/>
    <x v="0"/>
    <s v="1000 - Aprovação"/>
    <s v="Sim"/>
    <s v="Recepção do lote"/>
    <m/>
    <s v="0"/>
    <m/>
    <s v="N/A"/>
    <s v="23/09/2026 14:23:01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48/26"/>
    <n v="1"/>
    <s v="BAG"/>
    <m/>
    <n v="795"/>
    <n v="787.6"/>
    <x v="2"/>
    <x v="18"/>
    <x v="0"/>
    <s v="1000 - Aprovação"/>
    <s v="Sim"/>
    <s v="Recepção do lote"/>
    <m/>
    <s v="0"/>
    <m/>
    <s v="N/A"/>
    <s v="23/09/2026 14:22:43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50/26"/>
    <n v="1"/>
    <s v="BAG"/>
    <m/>
    <n v="794"/>
    <n v="787.6"/>
    <x v="2"/>
    <x v="18"/>
    <x v="0"/>
    <s v="1000 - Aprovação"/>
    <s v="Sim"/>
    <s v="Recepção do lote"/>
    <m/>
    <s v="0"/>
    <m/>
    <s v="N/A"/>
    <s v="23/09/2026 14:21:36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52/26"/>
    <n v="1"/>
    <s v="BAG"/>
    <m/>
    <n v="794"/>
    <n v="787.6"/>
    <x v="2"/>
    <x v="18"/>
    <x v="0"/>
    <s v="1000 - Aprovação"/>
    <s v="Sim"/>
    <s v="Recepção do lote"/>
    <m/>
    <s v="0"/>
    <m/>
    <s v="N/A"/>
    <s v="23/09/2026 14:20:57"/>
    <m/>
    <m/>
    <s v="Informativo de ensaque clean para PA"/>
    <s v="null"/>
    <s v=""/>
    <m/>
  </r>
  <r>
    <s v="VALOREM - PATOS"/>
    <x v="0"/>
    <s v="SEMENTE DE MILHO HIBRIDO - P3845VYHR PC1 60S -"/>
    <x v="1"/>
    <s v="05P7626455"/>
    <s v="7345816-434001"/>
    <s v="INV26/26"/>
    <s v="C1"/>
    <s v="Informativo de ensaque clean para PA"/>
    <x v="2"/>
    <s v="STANDARD + P + D + L + L"/>
    <s v="GABRIELA OHANA SILVA PIMENTA"/>
    <x v="1"/>
    <s v="0024454/26"/>
    <n v="39"/>
    <s v="SC"/>
    <m/>
    <n v="823"/>
    <n v="788.58"/>
    <x v="2"/>
    <x v="15"/>
    <x v="0"/>
    <s v="1000 - Aprovação"/>
    <s v="Sim"/>
    <s v="Recepção do lote"/>
    <m/>
    <s v="0"/>
    <m/>
    <s v="N/A"/>
    <s v="23/09/2026 14:00:06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55/26"/>
    <n v="1"/>
    <s v="BAG"/>
    <m/>
    <n v="793"/>
    <n v="787.6"/>
    <x v="2"/>
    <x v="18"/>
    <x v="0"/>
    <s v="1000 - Aprovação"/>
    <s v="Sim"/>
    <s v="Recepção do lote"/>
    <m/>
    <s v="0"/>
    <m/>
    <s v="N/A"/>
    <s v="23/09/2026 14:22:21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57/26"/>
    <n v="1"/>
    <s v="BAG"/>
    <m/>
    <n v="795"/>
    <n v="787.6"/>
    <x v="2"/>
    <x v="18"/>
    <x v="0"/>
    <s v="1000 - Aprovação"/>
    <s v="Sim"/>
    <s v="Recepção do lote"/>
    <m/>
    <s v="0"/>
    <m/>
    <s v="N/A"/>
    <s v="23/09/2026 14:20:21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59/26"/>
    <n v="1"/>
    <s v="BAG"/>
    <m/>
    <n v="792"/>
    <n v="787.6"/>
    <x v="2"/>
    <x v="18"/>
    <x v="0"/>
    <s v="1000 - Aprovação"/>
    <s v="Sim"/>
    <s v="Recepção do lote"/>
    <m/>
    <s v="0"/>
    <m/>
    <s v="N/A"/>
    <s v="23/09/2026 14:21:57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61/26"/>
    <n v="1"/>
    <s v="BAG"/>
    <m/>
    <n v="790"/>
    <n v="787.6"/>
    <x v="2"/>
    <x v="18"/>
    <x v="0"/>
    <s v="1000 - Aprovação"/>
    <s v="Sim"/>
    <s v="Recepção do lote"/>
    <m/>
    <s v="0"/>
    <m/>
    <s v="N/A"/>
    <s v="23/09/2026 14:23:46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63/26"/>
    <n v="1"/>
    <s v="BAG"/>
    <m/>
    <n v="789"/>
    <n v="787.6"/>
    <x v="2"/>
    <x v="18"/>
    <x v="0"/>
    <s v="1000 - Aprovação"/>
    <s v="Sim"/>
    <s v="Recepção do lote"/>
    <m/>
    <s v="0"/>
    <m/>
    <s v="N/A"/>
    <s v="23/09/2026 14:24:12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65/26"/>
    <n v="1"/>
    <s v="BAG"/>
    <m/>
    <n v="789"/>
    <n v="787.6"/>
    <x v="2"/>
    <x v="18"/>
    <x v="0"/>
    <s v="1000 - Aprovação"/>
    <s v="Sim"/>
    <s v="Recepção do lote"/>
    <m/>
    <s v="0"/>
    <m/>
    <s v="N/A"/>
    <s v="23/09/2026 14:20:03"/>
    <m/>
    <m/>
    <s v="Informativo de ensaque clean para PA"/>
    <s v="null"/>
    <s v=""/>
    <m/>
  </r>
  <r>
    <s v="VALOREM - PATOS"/>
    <x v="0"/>
    <s v="SEMENTE DE MILHO HIBRIDO - P3845VYHR R2 BB -"/>
    <x v="1"/>
    <s v="05P7622450"/>
    <s v="7345816-434001"/>
    <s v="INV26/26"/>
    <s v="R2"/>
    <s v="Informativo de ensaque clean para PA"/>
    <x v="1"/>
    <s v="STANDARD + P + D + L + L"/>
    <s v="GABRIELA OHANA SILVA PIMENTA"/>
    <x v="1"/>
    <s v="0024467/26"/>
    <n v="1"/>
    <s v="BAG"/>
    <m/>
    <n v="791"/>
    <n v="787.6"/>
    <x v="2"/>
    <x v="18"/>
    <x v="0"/>
    <s v="1000 - Aprovação"/>
    <s v="Sim"/>
    <s v="Recepção do lote"/>
    <m/>
    <s v="0"/>
    <m/>
    <s v="N/A"/>
    <s v="23/09/2026 14:23:30"/>
    <m/>
    <m/>
    <s v="Informativo de ensaque clean para PA"/>
    <s v="null"/>
    <s v=""/>
    <m/>
  </r>
  <r>
    <s v="VALOREM - PATOS"/>
    <x v="0"/>
    <s v="SEMENTE DE MILHO HIBRIDO - P3845VYHR R2 60S -"/>
    <x v="1"/>
    <s v="05P7626424"/>
    <s v="7345816-434001"/>
    <s v="INV26/26"/>
    <s v="R2"/>
    <s v="Informativo de ensaque clean para PA"/>
    <x v="2"/>
    <s v="STANDARD + P + D + L + L"/>
    <s v="GABRIELA OHANA SILVA PIMENTA"/>
    <x v="1"/>
    <s v="0024469/26"/>
    <n v="9"/>
    <s v="SC"/>
    <m/>
    <n v="208.5"/>
    <n v="177.21"/>
    <x v="2"/>
    <x v="15"/>
    <x v="0"/>
    <s v="1000 - Aprovação"/>
    <s v="Sim"/>
    <s v="Recepção do lote"/>
    <m/>
    <s v="0"/>
    <m/>
    <s v="N/A"/>
    <s v="23/09/2026 13:54:49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70/26"/>
    <n v="1"/>
    <s v="BAG"/>
    <m/>
    <n v="797"/>
    <n v="794.4"/>
    <x v="2"/>
    <x v="18"/>
    <x v="0"/>
    <s v="1000 - Aprovação"/>
    <s v="Sim"/>
    <s v="Recepção do lote"/>
    <m/>
    <s v="0"/>
    <m/>
    <s v="N/A"/>
    <s v="23/09/2026 16:17:37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72/26"/>
    <n v="1"/>
    <s v="BAG"/>
    <m/>
    <n v="797"/>
    <n v="794.4"/>
    <x v="2"/>
    <x v="18"/>
    <x v="0"/>
    <s v="1000 - Aprovação"/>
    <s v="Sim"/>
    <s v="Recepção do lote"/>
    <m/>
    <s v="0"/>
    <m/>
    <s v="N/A"/>
    <s v="23/09/2026 16:11:54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74/26"/>
    <n v="1"/>
    <s v="BAG"/>
    <m/>
    <n v="795"/>
    <n v="794.4"/>
    <x v="2"/>
    <x v="18"/>
    <x v="0"/>
    <s v="1000 - Aprovação"/>
    <s v="Sim"/>
    <s v="Recepção do lote"/>
    <m/>
    <s v="0"/>
    <m/>
    <s v="N/A"/>
    <s v="23/09/2026 16:12:50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76/26"/>
    <n v="1"/>
    <s v="BAG"/>
    <m/>
    <n v="798"/>
    <n v="794.4"/>
    <x v="2"/>
    <x v="18"/>
    <x v="0"/>
    <s v="1000 - Aprovação"/>
    <s v="Sim"/>
    <s v="Recepção do lote"/>
    <m/>
    <s v="0"/>
    <m/>
    <s v="N/A"/>
    <s v="23/09/2026 16:11:20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78/26"/>
    <n v="1"/>
    <s v="BAG"/>
    <m/>
    <n v="799"/>
    <n v="794.4"/>
    <x v="2"/>
    <x v="18"/>
    <x v="0"/>
    <s v="1000 - Aprovação"/>
    <s v="Sim"/>
    <s v="Recepção do lote"/>
    <m/>
    <s v="0"/>
    <m/>
    <s v="N/A"/>
    <s v="23/09/2026 16:10:39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80/26"/>
    <n v="1"/>
    <s v="BAG"/>
    <m/>
    <n v="800"/>
    <n v="794.4"/>
    <x v="2"/>
    <x v="18"/>
    <x v="0"/>
    <s v="1000 - Aprovação"/>
    <s v="Sim"/>
    <s v="Recepção do lote"/>
    <m/>
    <s v="0"/>
    <m/>
    <s v="N/A"/>
    <s v="23/09/2026 16:13:24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82/26"/>
    <n v="1"/>
    <s v="BAG"/>
    <m/>
    <n v="802"/>
    <n v="794.4"/>
    <x v="2"/>
    <x v="18"/>
    <x v="0"/>
    <s v="1000 - Aprovação"/>
    <s v="Sim"/>
    <s v="Recepção do lote"/>
    <m/>
    <s v="0"/>
    <m/>
    <s v="N/A"/>
    <s v="23/09/2026 16:14:02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84/26"/>
    <n v="1"/>
    <s v="BAG"/>
    <m/>
    <n v="801"/>
    <n v="794.4"/>
    <x v="2"/>
    <x v="18"/>
    <x v="0"/>
    <s v="1000 - Aprovação"/>
    <s v="Sim"/>
    <s v="Recepção do lote"/>
    <m/>
    <s v="0"/>
    <m/>
    <s v="N/A"/>
    <s v="23/09/2026 16:09:49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86/26"/>
    <n v="1"/>
    <s v="BAG"/>
    <m/>
    <n v="802"/>
    <n v="794.4"/>
    <x v="2"/>
    <x v="18"/>
    <x v="0"/>
    <s v="1000 - Aprovação"/>
    <s v="Sim"/>
    <s v="Recepção do lote"/>
    <m/>
    <s v="0"/>
    <m/>
    <s v="N/A"/>
    <s v="23/09/2026 16:14:54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88/26"/>
    <n v="1"/>
    <s v="BAG"/>
    <m/>
    <n v="801"/>
    <n v="794.4"/>
    <x v="2"/>
    <x v="18"/>
    <x v="0"/>
    <s v="1000 - Aprovação"/>
    <s v="Sim"/>
    <s v="Recepção do lote"/>
    <m/>
    <s v="0"/>
    <m/>
    <s v="N/A"/>
    <s v="23/09/2026 16:15:32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90/26"/>
    <n v="1"/>
    <s v="BAG"/>
    <m/>
    <n v="802"/>
    <n v="794.4"/>
    <x v="2"/>
    <x v="18"/>
    <x v="0"/>
    <s v="1000 - Aprovação"/>
    <s v="Sim"/>
    <s v="Recepção do lote"/>
    <m/>
    <s v="0"/>
    <m/>
    <s v="N/A"/>
    <s v="23/09/2026 16:09:15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92/26"/>
    <n v="1"/>
    <s v="BAG"/>
    <m/>
    <n v="801"/>
    <n v="794.4"/>
    <x v="2"/>
    <x v="18"/>
    <x v="0"/>
    <s v="1000 - Aprovação"/>
    <s v="Sim"/>
    <s v="Recepção do lote"/>
    <m/>
    <s v="0"/>
    <m/>
    <s v="N/A"/>
    <s v="23/09/2026 16:18:15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94/26"/>
    <n v="1"/>
    <s v="BAG"/>
    <m/>
    <n v="802"/>
    <n v="794.4"/>
    <x v="2"/>
    <x v="18"/>
    <x v="0"/>
    <s v="1000 - Aprovação"/>
    <s v="Sim"/>
    <s v="Recepção do lote"/>
    <m/>
    <s v="0"/>
    <m/>
    <s v="N/A"/>
    <s v="23/09/2026 16:08:45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96/26"/>
    <n v="1"/>
    <s v="BAG"/>
    <m/>
    <n v="800"/>
    <n v="794.4"/>
    <x v="2"/>
    <x v="18"/>
    <x v="0"/>
    <s v="1000 - Aprovação"/>
    <s v="Sim"/>
    <s v="Recepção do lote"/>
    <m/>
    <s v="0"/>
    <m/>
    <s v="N/A"/>
    <s v="23/09/2026 16:16:59"/>
    <m/>
    <m/>
    <s v="Informativo de ensaque clean para PA"/>
    <s v="null"/>
    <s v=""/>
    <m/>
  </r>
  <r>
    <s v="VALOREM - PATOS"/>
    <x v="0"/>
    <s v="SEMENTE DE MILHO HIBRIDO - P3845VYHR R2 BB -"/>
    <x v="1"/>
    <s v="05P7622449"/>
    <s v="7345816-434001"/>
    <s v="INV26/26"/>
    <s v="R2"/>
    <s v="Informativo de ensaque clean para PA"/>
    <x v="1"/>
    <s v="STANDARD + P + D + L + L"/>
    <s v="GABRIELA OHANA SILVA PIMENTA"/>
    <x v="1"/>
    <s v="0024498/26"/>
    <n v="1"/>
    <s v="BAG"/>
    <m/>
    <n v="802"/>
    <n v="794.4"/>
    <x v="2"/>
    <x v="18"/>
    <x v="0"/>
    <s v="1000 - Aprovação"/>
    <s v="Sim"/>
    <s v="Recepção do lote"/>
    <m/>
    <s v="0"/>
    <m/>
    <s v="N/A"/>
    <s v="23/09/2026 16:08:10"/>
    <m/>
    <m/>
    <s v="Informativo de ensaque clean para PA"/>
    <s v="null"/>
    <s v=""/>
    <m/>
  </r>
  <r>
    <s v="VALOREM - PATOS"/>
    <x v="0"/>
    <s v="SEMENTE DE MILHO HIBRIDO - P3845VYHR R2 60S -"/>
    <x v="1"/>
    <s v="05P7626423"/>
    <s v="7345816-434001"/>
    <s v="INV26/26"/>
    <s v="R2"/>
    <s v="Informativo de ensaque clean para PA"/>
    <x v="2"/>
    <s v="STANDARD + P + D + L + L"/>
    <s v="GABRIELA OHANA SILVA PIMENTA"/>
    <x v="1"/>
    <s v="0024500/26"/>
    <n v="18"/>
    <s v="SC"/>
    <m/>
    <n v="389"/>
    <n v="357.48"/>
    <x v="2"/>
    <x v="19"/>
    <x v="0"/>
    <s v="1000 - Aprovação"/>
    <s v="Sim"/>
    <s v="Recepção do lote"/>
    <m/>
    <s v="0"/>
    <m/>
    <s v="N/A"/>
    <s v="23/09/2026 16:23:33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02/26"/>
    <n v="1"/>
    <s v="BAG"/>
    <m/>
    <n v="731"/>
    <n v="726"/>
    <x v="2"/>
    <x v="20"/>
    <x v="0"/>
    <s v="1000 - Aprovação"/>
    <s v="Sim"/>
    <s v="Recepção do lote"/>
    <m/>
    <s v="0"/>
    <m/>
    <s v="N/A"/>
    <s v="23/09/2026 18:00:40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04/26"/>
    <n v="1"/>
    <s v="BAG"/>
    <m/>
    <n v="727"/>
    <n v="726"/>
    <x v="2"/>
    <x v="20"/>
    <x v="0"/>
    <s v="1000 - Aprovação"/>
    <s v="Sim"/>
    <s v="Recepção do lote"/>
    <m/>
    <s v="0"/>
    <m/>
    <s v="N/A"/>
    <s v="23/09/2026 17:52:31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06/26"/>
    <n v="1"/>
    <s v="BAG"/>
    <m/>
    <n v="732"/>
    <n v="726"/>
    <x v="2"/>
    <x v="20"/>
    <x v="0"/>
    <s v="1000 - Aprovação"/>
    <s v="Sim"/>
    <s v="Recepção do lote"/>
    <m/>
    <s v="0"/>
    <m/>
    <s v="N/A"/>
    <s v="23/09/2026 17:53:43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08/26"/>
    <n v="1"/>
    <s v="BAG"/>
    <m/>
    <n v="728"/>
    <n v="726"/>
    <x v="2"/>
    <x v="20"/>
    <x v="0"/>
    <s v="1000 - Aprovação"/>
    <s v="Sim"/>
    <s v="Recepção do lote"/>
    <m/>
    <s v="0"/>
    <m/>
    <s v="N/A"/>
    <s v="23/09/2026 17:51:26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10/26"/>
    <n v="1"/>
    <s v="BAG"/>
    <m/>
    <n v="729"/>
    <n v="726"/>
    <x v="2"/>
    <x v="20"/>
    <x v="0"/>
    <s v="1000 - Aprovação"/>
    <s v="Sim"/>
    <s v="Recepção do lote"/>
    <m/>
    <s v="0"/>
    <m/>
    <s v="N/A"/>
    <s v="23/09/2026 17:50:36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12/26"/>
    <n v="1"/>
    <s v="BAG"/>
    <m/>
    <n v="732"/>
    <n v="726"/>
    <x v="2"/>
    <x v="20"/>
    <x v="0"/>
    <s v="1000 - Aprovação"/>
    <s v="Sim"/>
    <s v="Recepção do lote"/>
    <m/>
    <s v="0"/>
    <m/>
    <s v="N/A"/>
    <s v="23/09/2026 17:57:46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14/26"/>
    <n v="1"/>
    <s v="BAG"/>
    <m/>
    <n v="729"/>
    <n v="726"/>
    <x v="2"/>
    <x v="20"/>
    <x v="0"/>
    <s v="1000 - Aprovação"/>
    <s v="Sim"/>
    <s v="Recepção do lote"/>
    <m/>
    <s v="0"/>
    <m/>
    <s v="N/A"/>
    <s v="23/09/2026 17:58:28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16/26"/>
    <n v="1"/>
    <s v="BAG"/>
    <m/>
    <n v="730"/>
    <n v="726"/>
    <x v="2"/>
    <x v="20"/>
    <x v="0"/>
    <s v="1000 - Aprovação"/>
    <s v="Sim"/>
    <s v="Recepção do lote"/>
    <m/>
    <s v="0"/>
    <m/>
    <s v="N/A"/>
    <s v="23/09/2026 17:59:13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18/26"/>
    <n v="1"/>
    <s v="BAG"/>
    <m/>
    <n v="733"/>
    <n v="726"/>
    <x v="2"/>
    <x v="20"/>
    <x v="0"/>
    <s v="1000 - Aprovação"/>
    <s v="Sim"/>
    <s v="Recepção do lote"/>
    <m/>
    <s v="0"/>
    <m/>
    <s v="N/A"/>
    <s v="23/09/2026 17:50:05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20/26"/>
    <n v="1"/>
    <s v="BAG"/>
    <m/>
    <n v="733"/>
    <n v="726"/>
    <x v="2"/>
    <x v="20"/>
    <x v="0"/>
    <s v="1000 - Aprovação"/>
    <s v="Sim"/>
    <s v="Recepção do lote"/>
    <m/>
    <s v="0"/>
    <m/>
    <s v="N/A"/>
    <s v="23/09/2026 17:49:28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22/26"/>
    <n v="1"/>
    <s v="BAG"/>
    <m/>
    <n v="733"/>
    <n v="726"/>
    <x v="2"/>
    <x v="20"/>
    <x v="0"/>
    <s v="1000 - Aprovação"/>
    <s v="Sim"/>
    <s v="Recepção do lote"/>
    <m/>
    <s v="0"/>
    <m/>
    <s v="N/A"/>
    <s v="23/09/2026 17:59:49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24/26"/>
    <n v="1"/>
    <s v="BAG"/>
    <m/>
    <n v="727"/>
    <n v="726"/>
    <x v="2"/>
    <x v="20"/>
    <x v="0"/>
    <s v="1000 - Aprovação"/>
    <s v="Sim"/>
    <s v="Recepção do lote"/>
    <m/>
    <s v="0"/>
    <m/>
    <s v="N/A"/>
    <s v="23/09/2026 18:00:16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26/26"/>
    <n v="1"/>
    <s v="BAG"/>
    <m/>
    <n v="733"/>
    <n v="726"/>
    <x v="2"/>
    <x v="20"/>
    <x v="0"/>
    <s v="1000 - Aprovação"/>
    <s v="Sim"/>
    <s v="Recepção do lote"/>
    <m/>
    <s v="0"/>
    <m/>
    <s v="N/A"/>
    <s v="23/09/2026 18:01:04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28/26"/>
    <n v="1"/>
    <s v="BAG"/>
    <m/>
    <n v="731"/>
    <n v="726"/>
    <x v="2"/>
    <x v="20"/>
    <x v="0"/>
    <s v="1000 - Aprovação"/>
    <s v="Sim"/>
    <s v="Recepção do lote"/>
    <m/>
    <s v="0"/>
    <m/>
    <s v="N/A"/>
    <s v="23/09/2026 17:53:11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30/26"/>
    <n v="1"/>
    <s v="BAG"/>
    <m/>
    <n v="730"/>
    <n v="726"/>
    <x v="2"/>
    <x v="20"/>
    <x v="0"/>
    <s v="1000 - Aprovação"/>
    <s v="Sim"/>
    <s v="Recepção do lote"/>
    <m/>
    <s v="0"/>
    <m/>
    <s v="N/A"/>
    <s v="23/09/2026 17:54:47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32/26"/>
    <n v="1"/>
    <s v="BAG"/>
    <m/>
    <n v="733"/>
    <n v="726"/>
    <x v="2"/>
    <x v="20"/>
    <x v="0"/>
    <s v="1000 - Aprovação"/>
    <s v="Sim"/>
    <s v="Recepção do lote"/>
    <m/>
    <s v="0"/>
    <m/>
    <s v="N/A"/>
    <s v="23/09/2026 17:54:16"/>
    <m/>
    <m/>
    <s v="Informativo de ensaque clean para PA"/>
    <s v="null"/>
    <s v=""/>
    <m/>
  </r>
  <r>
    <s v="VALOREM - PATOS"/>
    <x v="0"/>
    <s v="SEMENTE DE MILHO HIBRIDO - P3845VYHR PC2 BB -"/>
    <x v="1"/>
    <s v="05P7622525"/>
    <s v="7345816-434001"/>
    <s v="INV26/26"/>
    <s v="C2"/>
    <s v="Informativo de ensaque clean para PA"/>
    <x v="1"/>
    <s v="STANDARD + P + D + L + L"/>
    <s v="GABRIELA OHANA SILVA PIMENTA"/>
    <x v="1"/>
    <s v="0024534/26"/>
    <n v="1"/>
    <s v="BAG"/>
    <m/>
    <n v="733"/>
    <n v="726"/>
    <x v="2"/>
    <x v="20"/>
    <x v="0"/>
    <s v="1000 - Aprovação"/>
    <s v="Sim"/>
    <s v="Recepção do lote"/>
    <m/>
    <s v="0"/>
    <m/>
    <s v="N/A"/>
    <s v="23/09/2026 17:52:00"/>
    <m/>
    <m/>
    <s v="Informativo de ensaque clean para PA"/>
    <s v="null"/>
    <s v=""/>
    <m/>
  </r>
  <r>
    <s v="VALOREM - PATOS"/>
    <x v="0"/>
    <s v="SEMENTE DE MILHO HIBRIDO - P3845VYHR PC2 60S -"/>
    <x v="1"/>
    <s v="05P7626462"/>
    <s v="7345816-434001"/>
    <s v="INV26/26"/>
    <s v="C2"/>
    <s v="Informativo de ensaque clean para PA"/>
    <x v="2"/>
    <s v="STANDARD + P + D + L + L"/>
    <s v="GABRIELA OHANA SILVA PIMENTA"/>
    <x v="1"/>
    <s v="0024536/26"/>
    <n v="4"/>
    <s v="SC"/>
    <m/>
    <n v="103"/>
    <n v="72.599999999999994"/>
    <x v="2"/>
    <x v="19"/>
    <x v="0"/>
    <s v="1000 - Aprovação"/>
    <s v="Sim"/>
    <s v="Recepção do lote"/>
    <m/>
    <s v="0"/>
    <m/>
    <s v="N/A"/>
    <s v="23/09/2026 16:40:50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37/26"/>
    <n v="1"/>
    <s v="BAG"/>
    <m/>
    <n v="811"/>
    <n v="803.2"/>
    <x v="2"/>
    <x v="21"/>
    <x v="0"/>
    <s v="1000 - Aprovação"/>
    <s v="Sim"/>
    <s v="Recepção do lote"/>
    <m/>
    <s v="0"/>
    <m/>
    <s v="N/A"/>
    <s v="24/09/2026 10:25:31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39/26"/>
    <n v="1"/>
    <s v="BAG"/>
    <m/>
    <n v="810"/>
    <n v="803.2"/>
    <x v="2"/>
    <x v="21"/>
    <x v="0"/>
    <s v="1000 - Aprovação"/>
    <s v="Sim"/>
    <s v="Recepção do lote"/>
    <m/>
    <s v="0"/>
    <m/>
    <s v="N/A"/>
    <s v="24/09/2026 10:25:59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41/26"/>
    <n v="1"/>
    <s v="BAG"/>
    <m/>
    <n v="809"/>
    <n v="803.2"/>
    <x v="2"/>
    <x v="21"/>
    <x v="0"/>
    <s v="1000 - Aprovação"/>
    <s v="Sim"/>
    <s v="Recepção do lote"/>
    <m/>
    <s v="0"/>
    <m/>
    <s v="N/A"/>
    <s v="24/09/2026 10:29:29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43/26"/>
    <n v="1"/>
    <s v="BAG"/>
    <m/>
    <n v="811"/>
    <n v="803.2"/>
    <x v="2"/>
    <x v="21"/>
    <x v="0"/>
    <s v="1000 - Aprovação"/>
    <s v="Sim"/>
    <s v="Recepção do lote"/>
    <m/>
    <s v="0"/>
    <m/>
    <s v="N/A"/>
    <s v="24/09/2026 10:31:04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45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31:43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47/26"/>
    <n v="1"/>
    <s v="BAG"/>
    <m/>
    <n v="809"/>
    <n v="803.2"/>
    <x v="2"/>
    <x v="21"/>
    <x v="0"/>
    <s v="1000 - Aprovação"/>
    <s v="Sim"/>
    <s v="Recepção do lote"/>
    <m/>
    <s v="0"/>
    <m/>
    <s v="N/A"/>
    <s v="24/09/2026 10:33:11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49/26"/>
    <n v="1"/>
    <s v="BAG"/>
    <m/>
    <n v="808"/>
    <n v="803.2"/>
    <x v="2"/>
    <x v="21"/>
    <x v="0"/>
    <s v="1000 - Aprovação"/>
    <s v="Sim"/>
    <s v="Recepção do lote"/>
    <m/>
    <s v="0"/>
    <m/>
    <s v="N/A"/>
    <s v="24/09/2026 10:23:30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51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24:32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53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24:02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55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22:31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97/26"/>
    <n v="1"/>
    <s v="BAG"/>
    <m/>
    <n v="810"/>
    <n v="803.2"/>
    <x v="2"/>
    <x v="21"/>
    <x v="0"/>
    <s v="1000 - Aprovação"/>
    <s v="Sim"/>
    <s v="Recepção do lote"/>
    <m/>
    <s v="0"/>
    <m/>
    <s v="N/A"/>
    <s v="24/09/2026 10:21:33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599/26"/>
    <n v="1"/>
    <s v="BAG"/>
    <m/>
    <n v="809"/>
    <n v="803.2"/>
    <x v="2"/>
    <x v="21"/>
    <x v="0"/>
    <s v="1000 - Aprovação"/>
    <s v="Sim"/>
    <s v="Recepção do lote"/>
    <m/>
    <s v="0"/>
    <m/>
    <s v="N/A"/>
    <s v="24/09/2026 10:20:56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01/26"/>
    <n v="1"/>
    <s v="BAG"/>
    <m/>
    <n v="811"/>
    <n v="803.2"/>
    <x v="2"/>
    <x v="21"/>
    <x v="0"/>
    <s v="1000 - Aprovação"/>
    <s v="Sim"/>
    <s v="Recepção do lote"/>
    <m/>
    <s v="0"/>
    <m/>
    <s v="N/A"/>
    <s v="24/09/2026 10:27:42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03/26"/>
    <n v="1"/>
    <s v="BAG"/>
    <m/>
    <n v="804"/>
    <n v="803.2"/>
    <x v="2"/>
    <x v="21"/>
    <x v="0"/>
    <s v="1000 - Aprovação"/>
    <s v="Sim"/>
    <s v="Recepção do lote"/>
    <m/>
    <s v="0"/>
    <m/>
    <s v="N/A"/>
    <s v="24/09/2026 10:25:01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05/26"/>
    <n v="1"/>
    <s v="BAG"/>
    <m/>
    <n v="804"/>
    <n v="803.2"/>
    <x v="2"/>
    <x v="21"/>
    <x v="0"/>
    <s v="1000 - Aprovação"/>
    <s v="Sim"/>
    <s v="Recepção do lote"/>
    <m/>
    <s v="0"/>
    <m/>
    <s v="N/A"/>
    <s v="24/09/2026 10:27:12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07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32:14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09/26"/>
    <n v="1"/>
    <s v="BAG"/>
    <m/>
    <n v="807"/>
    <n v="803.2"/>
    <x v="2"/>
    <x v="21"/>
    <x v="0"/>
    <s v="1000 - Aprovação"/>
    <s v="Sim"/>
    <s v="Recepção do lote"/>
    <m/>
    <s v="0"/>
    <m/>
    <s v="N/A"/>
    <s v="24/09/2026 10:28:11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11/26"/>
    <n v="1"/>
    <s v="BAG"/>
    <m/>
    <n v="805"/>
    <n v="803.2"/>
    <x v="2"/>
    <x v="21"/>
    <x v="0"/>
    <s v="1000 - Aprovação"/>
    <s v="Sim"/>
    <s v="Recepção do lote"/>
    <m/>
    <s v="0"/>
    <m/>
    <s v="N/A"/>
    <s v="24/09/2026 10:30:27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13/26"/>
    <n v="1"/>
    <s v="BAG"/>
    <m/>
    <n v="811"/>
    <n v="803.2"/>
    <x v="2"/>
    <x v="21"/>
    <x v="0"/>
    <s v="1000 - Aprovação"/>
    <s v="Sim"/>
    <s v="Recepção do lote"/>
    <m/>
    <s v="0"/>
    <m/>
    <s v="N/A"/>
    <s v="24/09/2026 10:22:59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15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22:02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17/26"/>
    <n v="1"/>
    <s v="BAG"/>
    <m/>
    <n v="804"/>
    <n v="803.2"/>
    <x v="2"/>
    <x v="21"/>
    <x v="0"/>
    <s v="1000 - Aprovação"/>
    <s v="Sim"/>
    <s v="Recepção do lote"/>
    <m/>
    <s v="0"/>
    <m/>
    <s v="N/A"/>
    <s v="24/09/2026 10:20:23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19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19:06"/>
    <m/>
    <m/>
    <s v="Informativo de ensaque clean para PA"/>
    <s v="null"/>
    <s v=""/>
    <m/>
  </r>
  <r>
    <s v="VALOREM - PATOS"/>
    <x v="0"/>
    <s v="SEMENTE DE MILHO HIBRIDO - P3845VYHR PC1 BB -"/>
    <x v="1"/>
    <s v="05P7622513"/>
    <s v="7345816-434001"/>
    <s v="INV26/26"/>
    <s v="C1"/>
    <s v="Informativo de ensaque clean para PA"/>
    <x v="1"/>
    <s v="STANDARD + P + D + L + L"/>
    <s v="EDSON JUNIOR PEREIRA LIMA"/>
    <x v="1"/>
    <s v="0024621/26"/>
    <n v="1"/>
    <s v="BAG"/>
    <m/>
    <n v="806"/>
    <n v="803.2"/>
    <x v="2"/>
    <x v="21"/>
    <x v="0"/>
    <s v="1000 - Aprovação"/>
    <s v="Sim"/>
    <s v="Recepção do lote"/>
    <m/>
    <s v="0"/>
    <m/>
    <s v="N/A"/>
    <s v="24/09/2026 10:16:43"/>
    <m/>
    <m/>
    <s v="Informativo de ensaque clean para PA"/>
    <s v="null"/>
    <s v=""/>
    <m/>
  </r>
  <r>
    <s v="VALOREM - PATOS"/>
    <x v="0"/>
    <s v="SEMENTE DE MILHO HIBRIDO - P3845VYHR PC1 60S -"/>
    <x v="1"/>
    <s v="05P7626452"/>
    <s v="7345816-434001"/>
    <s v="INV26/26"/>
    <s v="C1"/>
    <s v="Informativo de ensaque clean para PA"/>
    <x v="2"/>
    <s v="STANDARD + P + D + L + L"/>
    <s v="GABRIELA OHANA SILVA PIMENTA"/>
    <x v="1"/>
    <s v="0024623/26"/>
    <n v="12"/>
    <s v="SC"/>
    <m/>
    <n v="271"/>
    <n v="240.96"/>
    <x v="2"/>
    <x v="15"/>
    <x v="0"/>
    <s v="1000 - Aprovação"/>
    <s v="Sim"/>
    <s v="Recepção do lote"/>
    <m/>
    <s v="0"/>
    <m/>
    <s v="N/A"/>
    <s v="23/09/2026 18:04:20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24/26"/>
    <n v="1"/>
    <s v="BAG"/>
    <m/>
    <n v="699"/>
    <n v="698.4"/>
    <x v="2"/>
    <x v="20"/>
    <x v="0"/>
    <s v="1000 - Aprovação"/>
    <s v="Sim"/>
    <s v="Recepção do lote"/>
    <m/>
    <s v="0"/>
    <m/>
    <s v="N/A"/>
    <s v="23/09/2026 18:23:41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25/26"/>
    <n v="1"/>
    <s v="BAG"/>
    <m/>
    <n v="703"/>
    <n v="698.4"/>
    <x v="2"/>
    <x v="20"/>
    <x v="0"/>
    <s v="1000 - Aprovação"/>
    <s v="Sim"/>
    <s v="Alocação física"/>
    <m/>
    <s v="0"/>
    <m/>
    <s v="N/A"/>
    <s v="23/09/2026 18:41:29"/>
    <m/>
    <s v=""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26/26"/>
    <n v="1"/>
    <s v="BAG"/>
    <m/>
    <n v="700"/>
    <n v="698.4"/>
    <x v="2"/>
    <x v="20"/>
    <x v="0"/>
    <s v="1000 - Aprovação"/>
    <s v="Sim"/>
    <s v="Recepção do lote"/>
    <m/>
    <s v="0"/>
    <m/>
    <s v="N/A"/>
    <s v="23/09/2026 18:29:04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27/26"/>
    <n v="1"/>
    <s v="BAG"/>
    <m/>
    <n v="704"/>
    <n v="698.4"/>
    <x v="2"/>
    <x v="20"/>
    <x v="0"/>
    <s v="1000 - Aprovação"/>
    <s v="Sim"/>
    <s v="Recepção do lote"/>
    <m/>
    <s v="0"/>
    <m/>
    <s v="N/A"/>
    <s v="23/09/2026 18:29:40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29/26"/>
    <n v="1"/>
    <s v="BAG"/>
    <m/>
    <n v="699"/>
    <n v="698.4"/>
    <x v="2"/>
    <x v="20"/>
    <x v="0"/>
    <s v="1000 - Aprovação"/>
    <s v="Sim"/>
    <s v="Recepção do lote"/>
    <m/>
    <s v="0"/>
    <m/>
    <s v="N/A"/>
    <s v="23/09/2026 18:30:28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31/26"/>
    <n v="1"/>
    <s v="BAG"/>
    <m/>
    <n v="702"/>
    <n v="698.4"/>
    <x v="2"/>
    <x v="20"/>
    <x v="0"/>
    <s v="1000 - Aprovação"/>
    <s v="Sim"/>
    <s v="Recepção do lote"/>
    <m/>
    <s v="0"/>
    <m/>
    <s v="N/A"/>
    <s v="23/09/2026 18:28:11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33/26"/>
    <n v="1"/>
    <s v="BAG"/>
    <m/>
    <n v="699"/>
    <n v="698.4"/>
    <x v="2"/>
    <x v="20"/>
    <x v="0"/>
    <s v="1000 - Aprovação"/>
    <s v="Sim"/>
    <s v="Recepção do lote"/>
    <m/>
    <s v="0"/>
    <m/>
    <s v="N/A"/>
    <s v="23/09/2026 18:26:56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35/26"/>
    <n v="1"/>
    <s v="BAG"/>
    <m/>
    <n v="705"/>
    <n v="698.4"/>
    <x v="2"/>
    <x v="20"/>
    <x v="0"/>
    <s v="1000 - Aprovação"/>
    <s v="Sim"/>
    <s v="Recepção do lote"/>
    <m/>
    <s v="0"/>
    <m/>
    <s v="N/A"/>
    <s v="23/09/2026 18:27:31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37/26"/>
    <n v="1"/>
    <s v="BAG"/>
    <m/>
    <n v="699"/>
    <n v="698.4"/>
    <x v="2"/>
    <x v="20"/>
    <x v="0"/>
    <s v="1000 - Aprovação"/>
    <s v="Sim"/>
    <s v="Recepção do lote"/>
    <m/>
    <s v="0"/>
    <m/>
    <s v="N/A"/>
    <s v="23/09/2026 18:25:20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39/26"/>
    <n v="1"/>
    <s v="BAG"/>
    <m/>
    <n v="701"/>
    <n v="698.4"/>
    <x v="2"/>
    <x v="20"/>
    <x v="0"/>
    <s v="1000 - Aprovação"/>
    <s v="Sim"/>
    <s v="Recepção do lote"/>
    <m/>
    <s v="0"/>
    <m/>
    <s v="N/A"/>
    <s v="23/09/2026 18:26:18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41/26"/>
    <n v="1"/>
    <s v="BAG"/>
    <m/>
    <n v="701"/>
    <n v="698.4"/>
    <x v="2"/>
    <x v="20"/>
    <x v="0"/>
    <s v="1000 - Aprovação"/>
    <s v="Sim"/>
    <s v="Recepção do lote"/>
    <m/>
    <s v="0"/>
    <m/>
    <s v="N/A"/>
    <s v="23/09/2026 18:24:14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42/26"/>
    <n v="1"/>
    <s v="BAG"/>
    <m/>
    <n v="699"/>
    <n v="698.4"/>
    <x v="2"/>
    <x v="20"/>
    <x v="0"/>
    <s v="1000 - Aprovação"/>
    <s v="Sim"/>
    <s v="Recepção do lote"/>
    <m/>
    <s v="0"/>
    <m/>
    <s v="N/A"/>
    <s v="23/09/2026 18:23:04"/>
    <m/>
    <m/>
    <s v="Informativo de ensaque clean para PA"/>
    <s v="null"/>
    <s v=""/>
    <m/>
  </r>
  <r>
    <s v="VALOREM - PATOS"/>
    <x v="0"/>
    <s v="SEMENTE DE MILHO HIBRIDO - P3845VYHR R3 BB -"/>
    <x v="1"/>
    <s v="05P7622468"/>
    <s v="7345816-434001"/>
    <s v="INV26/26"/>
    <s v="R3"/>
    <s v="Informativo de ensaque clean para PA"/>
    <x v="1"/>
    <s v="STANDARD + P + D + L + L"/>
    <s v="GABRIELA OHANA SILVA PIMENTA"/>
    <x v="1"/>
    <s v="0024643/26"/>
    <n v="1"/>
    <s v="BAG"/>
    <m/>
    <n v="705"/>
    <n v="698.4"/>
    <x v="2"/>
    <x v="20"/>
    <x v="0"/>
    <s v="1000 - Aprovação"/>
    <s v="Sim"/>
    <s v="Recepção do lote"/>
    <m/>
    <s v="0"/>
    <m/>
    <s v="N/A"/>
    <s v="23/09/2026 18:22:16"/>
    <m/>
    <m/>
    <s v="Informativo de ensaque clean para PA"/>
    <s v="null"/>
    <s v=""/>
    <m/>
  </r>
  <r>
    <s v="VALOREM - PATOS"/>
    <x v="0"/>
    <s v="SEMENTE DE MILHO HIBRIDO -P3845VYHR PR3 60S -"/>
    <x v="1"/>
    <s v="05P7626429"/>
    <s v="7345816-434001"/>
    <s v="INV26/26"/>
    <s v="R3"/>
    <s v="Informativo de ensaque clean para PA"/>
    <x v="2"/>
    <s v="STANDARD + P + D + L + L"/>
    <s v="GABRIELA OHANA SILVA PIMENTA"/>
    <x v="1"/>
    <s v="0024644/26"/>
    <n v="37"/>
    <s v="SC"/>
    <m/>
    <n v="679"/>
    <n v="646.02"/>
    <x v="2"/>
    <x v="15"/>
    <x v="0"/>
    <s v="1000 - Aprovação"/>
    <s v="Sim"/>
    <s v="Recepção do lote"/>
    <m/>
    <s v="0"/>
    <m/>
    <s v="N/A"/>
    <s v="23/09/2026 18:06:45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54/26"/>
    <n v="1"/>
    <s v="BAG"/>
    <m/>
    <n v="731"/>
    <n v="728.8"/>
    <x v="2"/>
    <x v="22"/>
    <x v="0"/>
    <s v="1000 - Aprovação"/>
    <s v="Sim"/>
    <s v="Recepção do lote"/>
    <m/>
    <s v="0"/>
    <m/>
    <s v="N/A"/>
    <s v="24/09/2026 16:15:57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56/26"/>
    <n v="1"/>
    <s v="BAG"/>
    <m/>
    <n v="732"/>
    <n v="728.8"/>
    <x v="2"/>
    <x v="22"/>
    <x v="0"/>
    <s v="1000 - Aprovação"/>
    <s v="Sim"/>
    <s v="Recepção do lote"/>
    <m/>
    <s v="0"/>
    <m/>
    <s v="N/A"/>
    <s v="24/09/2026 16:14:52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60/26"/>
    <n v="1"/>
    <s v="BAG"/>
    <m/>
    <n v="732"/>
    <n v="728.8"/>
    <x v="2"/>
    <x v="22"/>
    <x v="0"/>
    <s v="1000 - Aprovação"/>
    <s v="Sim"/>
    <s v="Recepção do lote"/>
    <m/>
    <s v="0"/>
    <m/>
    <s v="N/A"/>
    <s v="24/09/2026 16:15:22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64/26"/>
    <n v="1"/>
    <s v="BAG"/>
    <m/>
    <n v="729"/>
    <n v="728.8"/>
    <x v="2"/>
    <x v="22"/>
    <x v="0"/>
    <s v="1000 - Aprovação"/>
    <s v="Sim"/>
    <s v="Recepção do lote"/>
    <m/>
    <s v="0"/>
    <m/>
    <s v="N/A"/>
    <s v="24/09/2026 17:17:11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70/26"/>
    <n v="1"/>
    <s v="BAG"/>
    <m/>
    <n v="730"/>
    <n v="728.8"/>
    <x v="2"/>
    <x v="22"/>
    <x v="0"/>
    <s v="1000 - Aprovação"/>
    <s v="Sim"/>
    <s v="Recepção do lote"/>
    <m/>
    <s v="0"/>
    <m/>
    <s v="N/A"/>
    <s v="24/09/2026 17:24:55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74/26"/>
    <n v="1"/>
    <s v="BAG"/>
    <m/>
    <n v="729"/>
    <n v="728.8"/>
    <x v="2"/>
    <x v="22"/>
    <x v="0"/>
    <s v="1000 - Aprovação"/>
    <s v="Sim"/>
    <s v="Recepção do lote"/>
    <m/>
    <s v="0"/>
    <m/>
    <s v="N/A"/>
    <s v="24/09/2026 17:23:08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76/26"/>
    <n v="1"/>
    <s v="BAG"/>
    <m/>
    <n v="730"/>
    <n v="728.8"/>
    <x v="2"/>
    <x v="22"/>
    <x v="0"/>
    <s v="1000 - Aprovação"/>
    <s v="Sim"/>
    <s v="Recepção do lote"/>
    <m/>
    <s v="0"/>
    <m/>
    <s v="N/A"/>
    <s v="24/09/2026 17:25:25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80/26"/>
    <n v="1"/>
    <s v="BAG"/>
    <m/>
    <n v="729"/>
    <n v="728.8"/>
    <x v="2"/>
    <x v="22"/>
    <x v="0"/>
    <s v="1000 - Aprovação"/>
    <s v="Sim"/>
    <s v="Recepção do lote"/>
    <m/>
    <s v="0"/>
    <m/>
    <s v="N/A"/>
    <s v="24/09/2026 17:26:16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82/26"/>
    <n v="1"/>
    <s v="BAG"/>
    <m/>
    <n v="731"/>
    <n v="728.8"/>
    <x v="2"/>
    <x v="22"/>
    <x v="0"/>
    <s v="1000 - Aprovação"/>
    <s v="Sim"/>
    <s v="Recepção do lote"/>
    <m/>
    <s v="0"/>
    <m/>
    <s v="N/A"/>
    <s v="24/09/2026 16:09:13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84/26"/>
    <n v="1"/>
    <s v="BAG"/>
    <m/>
    <n v="729"/>
    <n v="728.8"/>
    <x v="2"/>
    <x v="22"/>
    <x v="0"/>
    <s v="1000 - Aprovação"/>
    <s v="Sim"/>
    <s v="Recepção do lote"/>
    <m/>
    <s v="0"/>
    <m/>
    <s v="N/A"/>
    <s v="24/09/2026 16:08:42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88/26"/>
    <n v="1"/>
    <s v="BAG"/>
    <m/>
    <n v="732"/>
    <n v="728.8"/>
    <x v="2"/>
    <x v="22"/>
    <x v="0"/>
    <s v="1000 - Aprovação"/>
    <s v="Sim"/>
    <s v="Recepção do lote"/>
    <m/>
    <s v="0"/>
    <m/>
    <s v="N/A"/>
    <s v="24/09/2026 16:10:28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GUILHERME ALFENAS DE OLIVEIRA"/>
    <x v="1"/>
    <s v="0024792/26"/>
    <n v="1"/>
    <s v="BAG"/>
    <m/>
    <n v="735"/>
    <n v="728.8"/>
    <x v="2"/>
    <x v="22"/>
    <x v="0"/>
    <s v="1000 - Aprovação"/>
    <s v="Sim"/>
    <s v="Recepção do lote"/>
    <m/>
    <s v="0"/>
    <m/>
    <s v="N/A"/>
    <s v="24/09/2026 17:16:34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EDSON JUNIOR PEREIRA LIMA"/>
    <x v="1"/>
    <s v="0024796/26"/>
    <n v="1"/>
    <s v="BAG"/>
    <m/>
    <n v="735"/>
    <n v="728.8"/>
    <x v="2"/>
    <x v="22"/>
    <x v="0"/>
    <s v="1000 - Aprovação"/>
    <s v="Sim"/>
    <s v="Recepção do lote"/>
    <m/>
    <s v="0"/>
    <m/>
    <s v="N/A"/>
    <s v="24/09/2026 18:31:00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EDSON JUNIOR PEREIRA LIMA"/>
    <x v="1"/>
    <s v="0024798/26"/>
    <n v="1"/>
    <s v="BAG"/>
    <m/>
    <n v="732"/>
    <n v="728.8"/>
    <x v="2"/>
    <x v="22"/>
    <x v="0"/>
    <s v="1000 - Aprovação"/>
    <s v="Sim"/>
    <s v="Recepção do lote"/>
    <m/>
    <s v="0"/>
    <m/>
    <s v="N/A"/>
    <s v="24/09/2026 18:34:00"/>
    <m/>
    <m/>
    <s v="Informativo de ensaque clean para PA"/>
    <s v="null"/>
    <s v=""/>
    <m/>
  </r>
  <r>
    <s v="VALOREM - PATOS"/>
    <x v="0"/>
    <s v="SEMENTE DE MILHO HIBRIDO - P3845VYHR PC2 BB -"/>
    <x v="1"/>
    <s v="05P7622528"/>
    <s v="7345816-434001"/>
    <s v="INV26/26"/>
    <s v="C2"/>
    <s v="Informativo de ensaque clean para PA"/>
    <x v="1"/>
    <s v="STANDARD + P + D + L + L"/>
    <s v="EDSON JUNIOR PEREIRA LIMA"/>
    <x v="1"/>
    <s v="0024802/26"/>
    <n v="1"/>
    <s v="BAG"/>
    <m/>
    <n v="730"/>
    <n v="728.8"/>
    <x v="2"/>
    <x v="22"/>
    <x v="0"/>
    <s v="1000 - Aprovação"/>
    <s v="Sim"/>
    <s v="Recepção do lote"/>
    <m/>
    <s v="0"/>
    <m/>
    <s v="N/A"/>
    <s v="24/09/2026 18:32:07"/>
    <m/>
    <m/>
    <s v="Informativo de ensaque clean para PA"/>
    <s v="null"/>
    <s v=""/>
    <m/>
  </r>
  <r>
    <s v="VALOREM - PATOS"/>
    <x v="0"/>
    <s v="SEMENTE DE MILHO HIBRIDO - P3845VYHR PC2 60S -"/>
    <x v="1"/>
    <s v="05P7626464"/>
    <s v="7345816-434001"/>
    <s v="INV26/26"/>
    <s v="C2"/>
    <s v="Informativo de ensaque clean para PA"/>
    <x v="2"/>
    <s v="STANDARD + P + D + L + L"/>
    <s v="EDSON JUNIOR PEREIRA LIMA"/>
    <x v="1"/>
    <s v="0024806/26"/>
    <n v="16"/>
    <s v="SC"/>
    <m/>
    <n v="322"/>
    <n v="291.52"/>
    <x v="2"/>
    <x v="15"/>
    <x v="0"/>
    <s v="1000 - Aprovação"/>
    <s v="Sim"/>
    <s v="Recepção do lote"/>
    <m/>
    <s v="0"/>
    <m/>
    <s v="N/A"/>
    <s v="24/09/2026 18:28:44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19/26"/>
    <n v="1"/>
    <s v="BAG"/>
    <m/>
    <n v="797"/>
    <n v="792.8"/>
    <x v="2"/>
    <x v="22"/>
    <x v="0"/>
    <s v="1000 - Aprovação"/>
    <s v="Sim"/>
    <s v="Recepção do lote"/>
    <m/>
    <s v="0"/>
    <m/>
    <s v="N/A"/>
    <s v="25/09/2026 13:44:11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21/26"/>
    <n v="1"/>
    <s v="BAG"/>
    <m/>
    <n v="797"/>
    <n v="792.8"/>
    <x v="2"/>
    <x v="22"/>
    <x v="0"/>
    <s v="1000 - Aprovação"/>
    <s v="Sim"/>
    <s v="Recepção do lote"/>
    <m/>
    <s v="0"/>
    <m/>
    <s v="N/A"/>
    <s v="25/09/2026 13:43:29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25/26"/>
    <n v="1"/>
    <s v="BAG"/>
    <m/>
    <n v="794"/>
    <n v="792.8"/>
    <x v="2"/>
    <x v="22"/>
    <x v="0"/>
    <s v="1000 - Aprovação"/>
    <s v="Sim"/>
    <s v="Recepção do lote"/>
    <m/>
    <s v="0"/>
    <m/>
    <s v="N/A"/>
    <s v="25/09/2026 13:44:55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29/26"/>
    <n v="1"/>
    <s v="BAG"/>
    <m/>
    <n v="797"/>
    <n v="792.8"/>
    <x v="2"/>
    <x v="22"/>
    <x v="0"/>
    <s v="1000 - Aprovação"/>
    <s v="Sim"/>
    <s v="Recepção do lote"/>
    <m/>
    <s v="0"/>
    <m/>
    <s v="N/A"/>
    <s v="25/09/2026 13:45:31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31/26"/>
    <n v="1"/>
    <s v="BAG"/>
    <m/>
    <n v="798"/>
    <n v="792.8"/>
    <x v="2"/>
    <x v="22"/>
    <x v="0"/>
    <s v="1000 - Aprovação"/>
    <s v="Sim"/>
    <s v="Recepção do lote"/>
    <m/>
    <s v="0"/>
    <m/>
    <s v="N/A"/>
    <s v="25/09/2026 13:49:04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37/26"/>
    <n v="1"/>
    <s v="BAG"/>
    <m/>
    <n v="796"/>
    <n v="792.8"/>
    <x v="2"/>
    <x v="22"/>
    <x v="0"/>
    <s v="1000 - Aprovação"/>
    <s v="Sim"/>
    <s v="Recepção do lote"/>
    <m/>
    <s v="0"/>
    <m/>
    <s v="N/A"/>
    <s v="25/09/2026 13:22:28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80/26"/>
    <n v="1"/>
    <s v="BAG"/>
    <m/>
    <n v="795"/>
    <n v="792.8"/>
    <x v="2"/>
    <x v="22"/>
    <x v="0"/>
    <s v="1000 - Aprovação"/>
    <s v="Sim"/>
    <s v="Recepção do lote"/>
    <m/>
    <s v="0"/>
    <m/>
    <s v="N/A"/>
    <s v="25/09/2026 13:49:46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82/26"/>
    <n v="1"/>
    <s v="BAG"/>
    <m/>
    <n v="795"/>
    <n v="792.8"/>
    <x v="2"/>
    <x v="22"/>
    <x v="0"/>
    <s v="1000 - Aprovação"/>
    <s v="Sim"/>
    <s v="Recepção do lote"/>
    <m/>
    <s v="0"/>
    <m/>
    <s v="N/A"/>
    <s v="25/09/2026 13:50:26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84/26"/>
    <n v="1"/>
    <s v="BAG"/>
    <m/>
    <n v="795"/>
    <n v="792.8"/>
    <x v="2"/>
    <x v="22"/>
    <x v="0"/>
    <s v="1000 - Aprovação"/>
    <s v="Sim"/>
    <s v="Recepção do lote"/>
    <m/>
    <s v="0"/>
    <m/>
    <s v="N/A"/>
    <s v="25/09/2026 13:47:39"/>
    <m/>
    <m/>
    <s v="Informativo de ensaque clean para PA"/>
    <s v="null"/>
    <s v=""/>
    <m/>
  </r>
  <r>
    <s v="VALOREM - PATOS"/>
    <x v="0"/>
    <s v="SEMENTE DE MILHO HIBRIDO - P3845VYHR R2 BB -"/>
    <x v="1"/>
    <s v="05P7622451"/>
    <s v="7345816-434001"/>
    <s v="INV26/26"/>
    <s v="R2"/>
    <s v="Informativo de ensaque clean para PA"/>
    <x v="1"/>
    <s v="STANDARD + P + D + L + L"/>
    <s v="GABRIELA OHANA SILVA PIMENTA"/>
    <x v="1"/>
    <s v="0024888/26"/>
    <n v="1"/>
    <s v="BAG"/>
    <m/>
    <n v="799"/>
    <n v="792.8"/>
    <x v="2"/>
    <x v="22"/>
    <x v="0"/>
    <s v="1000 - Aprovação"/>
    <s v="Sim"/>
    <s v="Recepção do lote"/>
    <m/>
    <s v="0"/>
    <m/>
    <s v="N/A"/>
    <s v="25/09/2026 13:48:16"/>
    <m/>
    <m/>
    <s v="Informativo de ensaque clean para PA"/>
    <s v="null"/>
    <s v=""/>
    <m/>
  </r>
  <r>
    <s v="VALOREM - PATOS"/>
    <x v="0"/>
    <s v="SEMENTE DE MILHO HIBRIDO - P3845VYHR R2 60S -"/>
    <x v="1"/>
    <s v="05P7626426"/>
    <s v="7345816-434001"/>
    <s v="INV26/26"/>
    <s v="R2"/>
    <s v="Informativo de ensaque clean para PA"/>
    <x v="2"/>
    <s v="STANDARD + P + D + L + L"/>
    <s v="GABRIELA OHANA SILVA PIMENTA"/>
    <x v="1"/>
    <s v="0024894/26"/>
    <n v="25"/>
    <s v="SC"/>
    <m/>
    <n v="528"/>
    <n v="495.5"/>
    <x v="2"/>
    <x v="15"/>
    <x v="0"/>
    <s v="1000 - Aprovação"/>
    <s v="Sim"/>
    <s v="Recepção do lote"/>
    <m/>
    <s v="0"/>
    <m/>
    <s v="N/A"/>
    <s v="25/09/2026 11:25:51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00/26"/>
    <n v="1"/>
    <s v="BAG"/>
    <m/>
    <n v="734"/>
    <n v="731.2"/>
    <x v="2"/>
    <x v="21"/>
    <x v="0"/>
    <s v="1000 - Aprovação"/>
    <s v="Sim"/>
    <s v="Recepção do lote"/>
    <m/>
    <s v="0"/>
    <m/>
    <s v="N/A"/>
    <s v="25/09/2026 14:17:09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02/26"/>
    <n v="1"/>
    <s v="BAG"/>
    <m/>
    <n v="736"/>
    <n v="731.2"/>
    <x v="2"/>
    <x v="21"/>
    <x v="0"/>
    <s v="1000 - Aprovação"/>
    <s v="Sim"/>
    <s v="Recepção do lote"/>
    <m/>
    <s v="0"/>
    <m/>
    <s v="N/A"/>
    <s v="25/09/2026 14:18:44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06/26"/>
    <n v="1"/>
    <s v="BAG"/>
    <m/>
    <n v="735"/>
    <n v="731.2"/>
    <x v="2"/>
    <x v="21"/>
    <x v="0"/>
    <s v="1000 - Aprovação"/>
    <s v="Sim"/>
    <s v="Recepção do lote"/>
    <m/>
    <s v="0"/>
    <m/>
    <s v="N/A"/>
    <s v="25/09/2026 14:17:49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08/26"/>
    <n v="1"/>
    <s v="BAG"/>
    <m/>
    <n v="733"/>
    <n v="731.2"/>
    <x v="2"/>
    <x v="21"/>
    <x v="0"/>
    <s v="1000 - Aprovação"/>
    <s v="Sim"/>
    <s v="Recepção do lote"/>
    <m/>
    <s v="0"/>
    <m/>
    <s v="N/A"/>
    <s v="25/09/2026 14:27:08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10/26"/>
    <n v="1"/>
    <s v="BAG"/>
    <m/>
    <n v="735"/>
    <n v="731.2"/>
    <x v="2"/>
    <x v="21"/>
    <x v="0"/>
    <s v="1000 - Aprovação"/>
    <s v="Sim"/>
    <s v="Recepção do lote"/>
    <m/>
    <s v="0"/>
    <m/>
    <s v="N/A"/>
    <s v="25/09/2026 14:26:33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14/26"/>
    <n v="1"/>
    <s v="BAG"/>
    <m/>
    <n v="737"/>
    <n v="731.2"/>
    <x v="2"/>
    <x v="21"/>
    <x v="0"/>
    <s v="1000 - Aprovação"/>
    <s v="Sim"/>
    <s v="Recepção do lote"/>
    <m/>
    <s v="0"/>
    <m/>
    <s v="N/A"/>
    <s v="25/09/2026 14:26:50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16/26"/>
    <n v="1"/>
    <s v="BAG"/>
    <m/>
    <n v="736.5"/>
    <n v="731.2"/>
    <x v="2"/>
    <x v="21"/>
    <x v="0"/>
    <s v="1000 - Aprovação"/>
    <s v="Sim"/>
    <s v="Recepção do lote"/>
    <m/>
    <s v="0"/>
    <m/>
    <s v="N/A"/>
    <s v="25/09/2026 14:26:13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26/26"/>
    <n v="1"/>
    <s v="BAG"/>
    <m/>
    <n v="735"/>
    <n v="731.2"/>
    <x v="2"/>
    <x v="21"/>
    <x v="0"/>
    <s v="1000 - Aprovação"/>
    <s v="Sim"/>
    <s v="Recepção do lote"/>
    <m/>
    <s v="0"/>
    <m/>
    <s v="N/A"/>
    <s v="25/09/2026 14:22:57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28/26"/>
    <n v="1"/>
    <s v="BAG"/>
    <m/>
    <n v="736"/>
    <n v="731.2"/>
    <x v="2"/>
    <x v="21"/>
    <x v="0"/>
    <s v="1000 - Aprovação"/>
    <s v="Sim"/>
    <s v="Recepção do lote"/>
    <m/>
    <s v="0"/>
    <m/>
    <s v="N/A"/>
    <s v="25/09/2026 14:14:46"/>
    <m/>
    <m/>
    <s v="Informativo de ensaque clean para PA"/>
    <s v="null"/>
    <s v=""/>
    <m/>
  </r>
  <r>
    <s v="VALOREM - PATOS"/>
    <x v="0"/>
    <s v="SEMENTE DE MILHO HIBRIDO - P3845VYHR R2C BB -"/>
    <x v="1"/>
    <s v="05P7622557"/>
    <s v="7345816-434001"/>
    <s v="INV26/26"/>
    <s v="R2C"/>
    <s v="Informativo de ensaque clean para PA"/>
    <x v="1"/>
    <s v="STANDARD + P + D + L + L"/>
    <s v="GABRIELA OHANA SILVA PIMENTA"/>
    <x v="1"/>
    <s v="0024932/26"/>
    <n v="1"/>
    <s v="BAG"/>
    <m/>
    <n v="738"/>
    <n v="731.2"/>
    <x v="2"/>
    <x v="21"/>
    <x v="0"/>
    <s v="1000 - Aprovação"/>
    <s v="Sim"/>
    <s v="Recepção do lote"/>
    <m/>
    <s v="0"/>
    <m/>
    <s v="N/A"/>
    <s v="25/09/2026 14:15:26"/>
    <m/>
    <m/>
    <s v="Informativo de ensaque clean para PA"/>
    <s v="null"/>
    <s v=""/>
    <m/>
  </r>
  <r>
    <s v="VALOREM - PATOS"/>
    <x v="0"/>
    <s v="SEMENTE DE MILHO HIBRIDO - P3845VYHR R2C 60S -"/>
    <x v="1"/>
    <s v="05P7626478"/>
    <s v="7345816-434001"/>
    <s v="INV26/26"/>
    <s v="R2C"/>
    <s v="Informativo de ensaque clean para PA"/>
    <x v="2"/>
    <s v="STANDARD + P + D + L + L"/>
    <s v="GABRIELA OHANA SILVA PIMENTA"/>
    <x v="1"/>
    <s v="0024934/26"/>
    <n v="7"/>
    <s v="SC"/>
    <m/>
    <n v="158"/>
    <n v="127.96"/>
    <x v="2"/>
    <x v="15"/>
    <x v="0"/>
    <s v="1000 - Aprovação"/>
    <s v="Sim"/>
    <s v="Recepção do lote"/>
    <m/>
    <s v="0"/>
    <m/>
    <s v="N/A"/>
    <s v="25/09/2026 11:30:34"/>
    <m/>
    <m/>
    <s v="Informativo de ensaque clean para PA"/>
    <s v="null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4989/26"/>
    <n v="1"/>
    <s v="BAG"/>
    <m/>
    <n v="814"/>
    <n v="813.2"/>
    <x v="0"/>
    <x v="0"/>
    <x v="0"/>
    <s v="1000 - Aprovação"/>
    <s v="Sim"/>
    <s v="Desbloqueio de material"/>
    <m/>
    <s v="0"/>
    <m/>
    <s v="N/A"/>
    <s v="30/09/2026 13:21:52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4991/26"/>
    <n v="1"/>
    <s v="BAG"/>
    <m/>
    <n v="814"/>
    <n v="813.2"/>
    <x v="0"/>
    <x v="0"/>
    <x v="0"/>
    <s v="1000 - Aprovação"/>
    <s v="Sim"/>
    <s v="Desbloqueio de material"/>
    <m/>
    <s v="0"/>
    <m/>
    <s v="N/A"/>
    <s v="30/09/2026 13:21:50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4995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1:46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4997/26"/>
    <n v="1"/>
    <s v="BAG"/>
    <m/>
    <n v="815"/>
    <n v="813.2"/>
    <x v="0"/>
    <x v="0"/>
    <x v="0"/>
    <s v="1000 - Aprovação"/>
    <s v="Sim"/>
    <s v="Desbloqueio de material"/>
    <m/>
    <s v="0"/>
    <m/>
    <s v="N/A"/>
    <s v="30/09/2026 13:21:42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01/26"/>
    <n v="1"/>
    <s v="BAG"/>
    <m/>
    <n v="816"/>
    <n v="813.2"/>
    <x v="0"/>
    <x v="0"/>
    <x v="0"/>
    <s v="1000 - Aprovação"/>
    <s v="Sim"/>
    <s v="Desbloqueio de material"/>
    <m/>
    <s v="0"/>
    <m/>
    <s v="N/A"/>
    <s v="30/09/2026 13:21:39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05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1:36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07/26"/>
    <n v="1"/>
    <s v="BAG"/>
    <m/>
    <n v="817"/>
    <n v="813.2"/>
    <x v="0"/>
    <x v="0"/>
    <x v="0"/>
    <s v="1000 - Aprovação"/>
    <s v="Sim"/>
    <s v="Desbloqueio de material"/>
    <m/>
    <s v="0"/>
    <m/>
    <s v="N/A"/>
    <s v="30/09/2026 13:21:34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09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1:29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13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1:26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17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1:24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19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1:21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23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1:17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25/26"/>
    <n v="1"/>
    <s v="BAG"/>
    <m/>
    <n v="817"/>
    <n v="813.2"/>
    <x v="0"/>
    <x v="0"/>
    <x v="0"/>
    <s v="1000 - Aprovação"/>
    <s v="Sim"/>
    <s v="Desbloqueio de material"/>
    <m/>
    <s v="0"/>
    <m/>
    <s v="N/A"/>
    <s v="30/09/2026 13:21:14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29/26"/>
    <n v="1"/>
    <s v="BAG"/>
    <m/>
    <n v="819.5"/>
    <n v="813.2"/>
    <x v="0"/>
    <x v="0"/>
    <x v="0"/>
    <s v="1000 - Aprovação"/>
    <s v="Sim"/>
    <s v="Desbloqueio de material"/>
    <m/>
    <s v="0"/>
    <m/>
    <s v="N/A"/>
    <s v="30/09/2026 13:21:11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31/26"/>
    <n v="1"/>
    <s v="BAG"/>
    <m/>
    <n v="816"/>
    <n v="813.2"/>
    <x v="0"/>
    <x v="0"/>
    <x v="0"/>
    <s v="1000 - Aprovação"/>
    <s v="Sim"/>
    <s v="Desbloqueio de material"/>
    <m/>
    <s v="0"/>
    <m/>
    <s v="N/A"/>
    <s v="30/09/2026 13:21:09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33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1:06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35/26"/>
    <n v="1"/>
    <s v="BAG"/>
    <m/>
    <n v="817.5"/>
    <n v="813.2"/>
    <x v="0"/>
    <x v="0"/>
    <x v="0"/>
    <s v="1000 - Aprovação"/>
    <s v="Sim"/>
    <s v="Desbloqueio de material"/>
    <m/>
    <s v="0"/>
    <m/>
    <s v="N/A"/>
    <s v="30/09/2026 13:21:03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37/26"/>
    <n v="1"/>
    <s v="BAG"/>
    <m/>
    <n v="820"/>
    <n v="813.2"/>
    <x v="0"/>
    <x v="0"/>
    <x v="0"/>
    <s v="1000 - Aprovação"/>
    <s v="Sim"/>
    <s v="Desbloqueio de material"/>
    <m/>
    <s v="0"/>
    <m/>
    <s v="N/A"/>
    <s v="30/09/2026 13:21:01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39/26"/>
    <n v="1"/>
    <s v="BAG"/>
    <m/>
    <n v="818.5"/>
    <n v="813.2"/>
    <x v="0"/>
    <x v="0"/>
    <x v="0"/>
    <s v="1000 - Aprovação"/>
    <s v="Sim"/>
    <s v="Desbloqueio de material"/>
    <m/>
    <s v="0"/>
    <m/>
    <s v="N/A"/>
    <s v="30/09/2026 13:20:58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41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0:55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43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53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49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50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51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47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53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44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57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41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61/26"/>
    <n v="1"/>
    <s v="BAG"/>
    <m/>
    <n v="820"/>
    <n v="813.2"/>
    <x v="0"/>
    <x v="0"/>
    <x v="0"/>
    <s v="1000 - Aprovação"/>
    <s v="Sim"/>
    <s v="Desbloqueio de material"/>
    <m/>
    <s v="0"/>
    <m/>
    <s v="N/A"/>
    <s v="30/09/2026 13:20:38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63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35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67/26"/>
    <n v="1"/>
    <s v="BAG"/>
    <m/>
    <n v="817"/>
    <n v="813.2"/>
    <x v="0"/>
    <x v="0"/>
    <x v="0"/>
    <s v="1000 - Aprovação"/>
    <s v="Sim"/>
    <s v="Desbloqueio de material"/>
    <m/>
    <s v="0"/>
    <m/>
    <s v="N/A"/>
    <s v="30/09/2026 13:20:32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69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0:29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73/26"/>
    <n v="1"/>
    <s v="BAG"/>
    <m/>
    <n v="815"/>
    <n v="813.2"/>
    <x v="0"/>
    <x v="0"/>
    <x v="0"/>
    <s v="1000 - Aprovação"/>
    <s v="Sim"/>
    <s v="Desbloqueio de material"/>
    <m/>
    <s v="0"/>
    <m/>
    <s v="N/A"/>
    <s v="30/09/2026 13:20:25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77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0:22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79/26"/>
    <n v="1"/>
    <s v="BAG"/>
    <m/>
    <n v="818"/>
    <n v="813.2"/>
    <x v="0"/>
    <x v="0"/>
    <x v="0"/>
    <s v="1000 - Aprovação"/>
    <s v="Sim"/>
    <s v="Desbloqueio de material"/>
    <m/>
    <s v="0"/>
    <m/>
    <s v="N/A"/>
    <s v="30/09/2026 13:20:18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85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20:15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91/26"/>
    <n v="1"/>
    <s v="BAG"/>
    <m/>
    <n v="817"/>
    <n v="813.2"/>
    <x v="0"/>
    <x v="0"/>
    <x v="0"/>
    <s v="1000 - Aprovação"/>
    <s v="Sim"/>
    <s v="Desbloqueio de material"/>
    <m/>
    <s v="0"/>
    <m/>
    <s v="N/A"/>
    <s v="30/09/2026 13:20:10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93/26"/>
    <n v="1"/>
    <s v="BAG"/>
    <m/>
    <n v="817"/>
    <n v="813.2"/>
    <x v="0"/>
    <x v="0"/>
    <x v="0"/>
    <s v="1000 - Aprovação"/>
    <s v="Sim"/>
    <s v="Desbloqueio de material"/>
    <m/>
    <s v="0"/>
    <m/>
    <s v="N/A"/>
    <s v="30/09/2026 13:20:07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95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03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97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20:00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099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19:57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101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19:53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103/26"/>
    <n v="1"/>
    <s v="BAG"/>
    <m/>
    <n v="815"/>
    <n v="813.2"/>
    <x v="0"/>
    <x v="0"/>
    <x v="0"/>
    <s v="1000 - Aprovação"/>
    <s v="Sim"/>
    <s v="Desbloqueio de material"/>
    <m/>
    <s v="0"/>
    <m/>
    <s v="N/A"/>
    <s v="30/09/2026 13:19:50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109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19:46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111/26"/>
    <n v="1"/>
    <s v="BAG"/>
    <m/>
    <n v="819"/>
    <n v="813.2"/>
    <x v="0"/>
    <x v="0"/>
    <x v="0"/>
    <s v="1000 - Aprovação"/>
    <s v="Sim"/>
    <s v="Desbloqueio de material"/>
    <m/>
    <s v="0"/>
    <m/>
    <s v="N/A"/>
    <s v="30/09/2026 13:19:37"/>
    <m/>
    <s v="TROCA DE EMBALAGENS"/>
    <s v="Informativo de ensaque clean para PA"/>
    <s v="6467-PTM-COR-09/2026"/>
    <s v=""/>
    <m/>
  </r>
  <r>
    <s v="VALOREM - PATOS"/>
    <x v="0"/>
    <s v="SEMENTE DE MILHO HIBRIDO - P3845VYHR PC1 BB -"/>
    <x v="1"/>
    <s v="05P7622514"/>
    <s v="7345816-434001"/>
    <s v="INV26/26"/>
    <s v="C1"/>
    <s v="Informativo de ensaque clean para PA"/>
    <x v="1"/>
    <s v="STANDARD + P + D + L + L"/>
    <s v="GUILHERME ALFENAS DE OLIVEIRA"/>
    <x v="1"/>
    <s v="0025113/26"/>
    <n v="1"/>
    <s v="BAG"/>
    <m/>
    <n v="821"/>
    <n v="813.2"/>
    <x v="0"/>
    <x v="0"/>
    <x v="0"/>
    <s v="1000 - Aprovação"/>
    <s v="Sim"/>
    <s v="Desbloqueio de material"/>
    <m/>
    <s v="0"/>
    <m/>
    <s v="N/A"/>
    <s v="30/09/2026 13:19:43"/>
    <m/>
    <s v="TROCA DE EMBALAGENS"/>
    <s v="Informativo de ensaque clean para PA"/>
    <s v="6467-PTM-COR-09/2026"/>
    <s v=""/>
    <m/>
  </r>
  <r>
    <s v="VALOREM - PATOS"/>
    <x v="0"/>
    <s v="SEMENTE DE MILHO HIBRIDO - P3845VYHR PC1 60S -"/>
    <x v="1"/>
    <s v="05P7626458"/>
    <s v="7345816-434001"/>
    <s v="INV26/26"/>
    <s v="C1"/>
    <s v="Informativo de ensaque clean para PA"/>
    <x v="2"/>
    <s v="STANDARD + P + D + L + L"/>
    <s v="GABRIELA OHANA SILVA PIMENTA"/>
    <x v="1"/>
    <s v="0025114/26"/>
    <n v="11"/>
    <s v="SC"/>
    <m/>
    <n v="254"/>
    <n v="223.63"/>
    <x v="2"/>
    <x v="15"/>
    <x v="0"/>
    <s v="1000 - Aprovação"/>
    <s v="Sim"/>
    <s v="Recepção do lote"/>
    <m/>
    <s v="0"/>
    <m/>
    <s v="N/A"/>
    <s v="25/09/2026 16:47:44"/>
    <m/>
    <m/>
    <s v="Informativo de ensaque clean para PA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115/26"/>
    <n v="1150"/>
    <s v="KG"/>
    <m/>
    <n v="1153"/>
    <n v="1150"/>
    <x v="3"/>
    <x v="23"/>
    <x v="0"/>
    <s v="1001 - Liberado Especial Cliente"/>
    <s v="Sim"/>
    <s v="Recepção do lote"/>
    <m/>
    <s v="0"/>
    <m/>
    <s v="N/A"/>
    <s v="27/09/2026 14:31:30"/>
    <m/>
    <m/>
    <s v="Informativo de ensaque de classificação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117/26"/>
    <n v="1143"/>
    <s v="KG"/>
    <m/>
    <n v="1146"/>
    <n v="1143"/>
    <x v="3"/>
    <x v="23"/>
    <x v="0"/>
    <s v="1001 - Liberado Especial Cliente"/>
    <s v="Sim"/>
    <s v="Recepção do lote"/>
    <m/>
    <s v="0"/>
    <m/>
    <s v="N/A"/>
    <s v="27/09/2026 14:32:00"/>
    <m/>
    <m/>
    <s v="Informativo de ensaque de classificação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19/26"/>
    <n v="1"/>
    <s v="BAG"/>
    <m/>
    <n v="793"/>
    <n v="792"/>
    <x v="2"/>
    <x v="24"/>
    <x v="0"/>
    <s v="1000 - Aprovação"/>
    <s v="Sim"/>
    <s v="Recepção do lote"/>
    <m/>
    <s v="0"/>
    <m/>
    <s v="N/A"/>
    <s v="25/09/2026 18:42:20"/>
    <m/>
    <m/>
    <s v="Informativo de ensaque clean para PA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21/26"/>
    <n v="1"/>
    <s v="BAG"/>
    <m/>
    <n v="793"/>
    <n v="792"/>
    <x v="2"/>
    <x v="24"/>
    <x v="0"/>
    <s v="1000 - Aprovação"/>
    <s v="Sim"/>
    <s v="Recepção do lote"/>
    <m/>
    <s v="0"/>
    <m/>
    <s v="N/A"/>
    <s v="25/09/2026 18:40:58"/>
    <m/>
    <m/>
    <s v="Informativo de ensaque clean para PA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123/26"/>
    <n v="1150"/>
    <s v="KG"/>
    <m/>
    <n v="1153"/>
    <n v="1150"/>
    <x v="3"/>
    <x v="23"/>
    <x v="0"/>
    <s v="1001 - Liberado Especial Cliente"/>
    <s v="Sim"/>
    <s v="Recepção do lote"/>
    <m/>
    <s v="0"/>
    <m/>
    <s v="N/A"/>
    <s v="27/09/2026 14:32:24"/>
    <m/>
    <m/>
    <s v="Informativo de ensaque de classificação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25/26"/>
    <n v="1"/>
    <s v="BAG"/>
    <m/>
    <n v="796"/>
    <n v="792"/>
    <x v="2"/>
    <x v="24"/>
    <x v="0"/>
    <s v="1000 - Aprovação"/>
    <s v="Sim"/>
    <s v="Recepção do lote"/>
    <m/>
    <s v="0"/>
    <m/>
    <s v="N/A"/>
    <s v="25/09/2026 18:40:21"/>
    <m/>
    <m/>
    <s v="Informativo de ensaque clean para PA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27/26"/>
    <n v="1"/>
    <s v="BAG"/>
    <m/>
    <n v="798"/>
    <n v="792"/>
    <x v="2"/>
    <x v="24"/>
    <x v="0"/>
    <s v="1000 - Aprovação"/>
    <s v="Sim"/>
    <s v="Recepção do lote"/>
    <m/>
    <s v="0"/>
    <m/>
    <s v="N/A"/>
    <s v="25/09/2026 18:39:38"/>
    <m/>
    <m/>
    <s v="Informativo de ensaque clean para PA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29/26"/>
    <n v="1"/>
    <s v="BAG"/>
    <m/>
    <n v="796"/>
    <n v="792"/>
    <x v="2"/>
    <x v="24"/>
    <x v="0"/>
    <s v="1000 - Aprovação"/>
    <s v="Sim"/>
    <s v="Recepção do lote"/>
    <m/>
    <s v="0"/>
    <m/>
    <s v="N/A"/>
    <s v="25/09/2026 18:39:03"/>
    <m/>
    <m/>
    <s v="Informativo de ensaque clean para PA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131/26"/>
    <n v="1141"/>
    <s v="KG"/>
    <m/>
    <n v="1144"/>
    <n v="1141"/>
    <x v="3"/>
    <x v="23"/>
    <x v="0"/>
    <s v="1001 - Liberado Especial Cliente"/>
    <s v="Sim"/>
    <s v="Recepção do lote"/>
    <m/>
    <s v="0"/>
    <m/>
    <s v="N/A"/>
    <s v="27/09/2026 14:33:03"/>
    <m/>
    <m/>
    <s v="Informativo de ensaque de classificação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33/26"/>
    <n v="1"/>
    <s v="BAG"/>
    <m/>
    <n v="799"/>
    <n v="792"/>
    <x v="2"/>
    <x v="24"/>
    <x v="0"/>
    <s v="1000 - Aprovação"/>
    <s v="Sim"/>
    <s v="Recepção do lote"/>
    <m/>
    <s v="0"/>
    <m/>
    <s v="N/A"/>
    <s v="25/09/2026 18:46:12"/>
    <m/>
    <m/>
    <s v="Informativo de ensaque clean para PA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57/26"/>
    <n v="1"/>
    <s v="BAG"/>
    <m/>
    <n v="798"/>
    <n v="792"/>
    <x v="2"/>
    <x v="24"/>
    <x v="0"/>
    <s v="1000 - Aprovação"/>
    <s v="Sim"/>
    <s v="Recepção do lote"/>
    <m/>
    <s v="0"/>
    <m/>
    <s v="N/A"/>
    <s v="25/09/2026 18:38:06"/>
    <m/>
    <m/>
    <s v="Informativo de ensaque clean para PA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159/26"/>
    <n v="1141"/>
    <s v="KG"/>
    <m/>
    <n v="1144"/>
    <n v="1141"/>
    <x v="3"/>
    <x v="23"/>
    <x v="0"/>
    <s v="1001 - Liberado Especial Cliente"/>
    <s v="Sim"/>
    <s v="Recepção do lote"/>
    <m/>
    <s v="0"/>
    <m/>
    <s v="N/A"/>
    <s v="27/09/2026 14:35:08"/>
    <m/>
    <m/>
    <s v="Informativo de ensaque de classificação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61/26"/>
    <n v="1185"/>
    <s v="KG"/>
    <m/>
    <n v="1188"/>
    <n v="1185"/>
    <x v="0"/>
    <x v="0"/>
    <x v="0"/>
    <s v="1000 - Aprovação"/>
    <s v="Sim"/>
    <s v="Recepção do lote"/>
    <m/>
    <s v="0"/>
    <m/>
    <s v="N/A"/>
    <s v="27/09/2026 19:09:45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62/26"/>
    <n v="1179"/>
    <s v="KG"/>
    <m/>
    <n v="1182"/>
    <n v="1179"/>
    <x v="0"/>
    <x v="0"/>
    <x v="0"/>
    <s v="1000 - Aprovação"/>
    <s v="Sim"/>
    <s v="Recepção do lote"/>
    <m/>
    <s v="0"/>
    <m/>
    <s v="N/A"/>
    <s v="27/09/2026 19:10:52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63/26"/>
    <n v="1197"/>
    <s v="KG"/>
    <m/>
    <n v="1200"/>
    <n v="1197"/>
    <x v="0"/>
    <x v="0"/>
    <x v="0"/>
    <s v="1000 - Aprovação"/>
    <s v="Sim"/>
    <s v="Recepção do lote"/>
    <m/>
    <s v="0"/>
    <m/>
    <s v="N/A"/>
    <s v="27/09/2026 19:09:20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164/26"/>
    <n v="1198"/>
    <s v="KG"/>
    <m/>
    <n v="1201"/>
    <n v="1198"/>
    <x v="0"/>
    <x v="0"/>
    <x v="0"/>
    <s v="1000 - Aprovação"/>
    <s v="Sim"/>
    <s v="Recepção do lote"/>
    <m/>
    <s v="0"/>
    <m/>
    <s v="N/A"/>
    <s v="28/09/2026 08:20:23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66/26"/>
    <n v="1191"/>
    <s v="KG"/>
    <m/>
    <n v="1194"/>
    <n v="1191"/>
    <x v="0"/>
    <x v="0"/>
    <x v="0"/>
    <s v="1000 - Aprovação"/>
    <s v="Sim"/>
    <s v="Recepção do lote"/>
    <m/>
    <s v="0"/>
    <m/>
    <s v="N/A"/>
    <s v="27/09/2026 19:08:04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67/26"/>
    <n v="1190"/>
    <s v="KG"/>
    <m/>
    <n v="1193"/>
    <n v="1190"/>
    <x v="0"/>
    <x v="0"/>
    <x v="0"/>
    <s v="1000 - Aprovação"/>
    <s v="Sim"/>
    <s v="Recepção do lote"/>
    <m/>
    <s v="0"/>
    <m/>
    <s v="N/A"/>
    <s v="27/09/2026 19:10:37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68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09:55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69/26"/>
    <n v="1190"/>
    <s v="KG"/>
    <m/>
    <n v="1193"/>
    <n v="1190"/>
    <x v="0"/>
    <x v="0"/>
    <x v="0"/>
    <s v="1000 - Aprovação"/>
    <s v="Sim"/>
    <s v="Recepção do lote"/>
    <m/>
    <s v="0"/>
    <m/>
    <s v="N/A"/>
    <s v="27/09/2026 19:10:04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70/26"/>
    <n v="1190"/>
    <s v="KG"/>
    <m/>
    <n v="1193"/>
    <n v="1190"/>
    <x v="0"/>
    <x v="0"/>
    <x v="0"/>
    <s v="1000 - Aprovação"/>
    <s v="Sim"/>
    <s v="Recepção do lote"/>
    <m/>
    <s v="0"/>
    <m/>
    <s v="N/A"/>
    <s v="27/09/2026 19:09:28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71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13:21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72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08:28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73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10:13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174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17:53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76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12:38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77/26"/>
    <n v="1190"/>
    <s v="KG"/>
    <m/>
    <n v="1193"/>
    <n v="1190"/>
    <x v="0"/>
    <x v="0"/>
    <x v="0"/>
    <s v="1000 - Aprovação"/>
    <s v="Sim"/>
    <s v="Recepção do lote"/>
    <m/>
    <s v="0"/>
    <m/>
    <s v="N/A"/>
    <s v="27/09/2026 19:12:53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78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09:37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80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10:44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81/26"/>
    <n v="1190"/>
    <s v="KG"/>
    <m/>
    <n v="1193"/>
    <n v="1190"/>
    <x v="0"/>
    <x v="0"/>
    <x v="0"/>
    <s v="1000 - Aprovação"/>
    <s v="Sim"/>
    <s v="Recepção do lote"/>
    <m/>
    <s v="0"/>
    <m/>
    <s v="N/A"/>
    <s v="27/09/2026 19:12:16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82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13:13"/>
    <m/>
    <m/>
    <s v="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83/26"/>
    <n v="1"/>
    <s v="BAG"/>
    <m/>
    <n v="797"/>
    <n v="792"/>
    <x v="2"/>
    <x v="24"/>
    <x v="0"/>
    <s v="1000 - Aprovação"/>
    <s v="Sim"/>
    <s v="Recepção do lote"/>
    <m/>
    <s v="0"/>
    <m/>
    <s v="N/A"/>
    <s v="25/09/2026 18:46:41"/>
    <m/>
    <m/>
    <s v="Informativo de ensaque clean para PA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85/26"/>
    <n v="1"/>
    <s v="BAG"/>
    <m/>
    <n v="798"/>
    <n v="792"/>
    <x v="2"/>
    <x v="24"/>
    <x v="0"/>
    <s v="1000 - Aprovação"/>
    <s v="Sim"/>
    <s v="Recepção do lote"/>
    <m/>
    <s v="0"/>
    <m/>
    <s v="N/A"/>
    <s v="25/09/2026 18:45:02"/>
    <m/>
    <m/>
    <s v="Informativo de ensaque clean para PA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187/26"/>
    <n v="1150"/>
    <s v="KG"/>
    <m/>
    <n v="1153"/>
    <n v="1150"/>
    <x v="3"/>
    <x v="23"/>
    <x v="0"/>
    <s v="1001 - Liberado Especial Cliente"/>
    <s v="Sim"/>
    <s v="Recepção do lote"/>
    <m/>
    <s v="0"/>
    <m/>
    <s v="N/A"/>
    <s v="27/09/2026 14:35:26"/>
    <m/>
    <m/>
    <s v="Informativo de ensaque de classificação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189/26"/>
    <n v="1"/>
    <s v="BAG"/>
    <m/>
    <n v="798"/>
    <n v="792"/>
    <x v="2"/>
    <x v="24"/>
    <x v="0"/>
    <s v="1000 - Aprovação"/>
    <s v="Sim"/>
    <s v="Recepção do lote"/>
    <m/>
    <s v="0"/>
    <m/>
    <s v="N/A"/>
    <s v="25/09/2026 18:41:42"/>
    <m/>
    <m/>
    <s v="Informativo de ensaque clean para PA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96/26"/>
    <n v="1197"/>
    <s v="KG"/>
    <m/>
    <n v="1200"/>
    <n v="1197"/>
    <x v="0"/>
    <x v="0"/>
    <x v="0"/>
    <s v="1000 - Aprovação"/>
    <s v="Sim"/>
    <s v="Recepção do lote"/>
    <m/>
    <s v="0"/>
    <m/>
    <s v="N/A"/>
    <s v="27/09/2026 19:08:41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197/26"/>
    <n v="1197"/>
    <s v="KG"/>
    <m/>
    <n v="1200"/>
    <n v="1197"/>
    <x v="0"/>
    <x v="0"/>
    <x v="0"/>
    <s v="1000 - Aprovação"/>
    <s v="Sim"/>
    <s v="Recepção do lote"/>
    <m/>
    <s v="0"/>
    <m/>
    <s v="N/A"/>
    <s v="28/09/2026 08:20:55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198/26"/>
    <n v="1195"/>
    <s v="KG"/>
    <m/>
    <n v="1198"/>
    <n v="1195"/>
    <x v="0"/>
    <x v="0"/>
    <x v="0"/>
    <s v="1000 - Aprovação"/>
    <s v="Sim"/>
    <s v="Recepção do lote"/>
    <m/>
    <s v="0"/>
    <m/>
    <s v="N/A"/>
    <s v="28/09/2026 08:47:44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199/26"/>
    <n v="1196"/>
    <s v="KG"/>
    <m/>
    <n v="1199"/>
    <n v="1196"/>
    <x v="0"/>
    <x v="0"/>
    <x v="0"/>
    <s v="1000 - Aprovação"/>
    <s v="Sim"/>
    <s v="Recepção do lote"/>
    <m/>
    <s v="0"/>
    <m/>
    <s v="N/A"/>
    <s v="27/09/2026 19:10:29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200/26"/>
    <n v="1196"/>
    <s v="KG"/>
    <m/>
    <n v="1199"/>
    <n v="1196"/>
    <x v="0"/>
    <x v="0"/>
    <x v="0"/>
    <s v="1000 - Aprovação"/>
    <s v="Sim"/>
    <s v="Recepção do lote"/>
    <m/>
    <s v="0"/>
    <m/>
    <s v="N/A"/>
    <s v="27/09/2026 19:10:21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1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19:02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2/26"/>
    <n v="1188"/>
    <s v="KG"/>
    <m/>
    <n v="1191"/>
    <n v="1188"/>
    <x v="0"/>
    <x v="0"/>
    <x v="0"/>
    <s v="1000 - Aprovação"/>
    <s v="Sim"/>
    <s v="Recepção do lote"/>
    <m/>
    <s v="0"/>
    <m/>
    <s v="N/A"/>
    <s v="28/09/2026 08:18:54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3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9:28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204/26"/>
    <n v="1190"/>
    <s v="KG"/>
    <m/>
    <n v="1193"/>
    <n v="1190"/>
    <x v="0"/>
    <x v="0"/>
    <x v="0"/>
    <s v="1000 - Aprovação"/>
    <s v="Sim"/>
    <s v="Recepção do lote"/>
    <m/>
    <s v="0"/>
    <m/>
    <s v="N/A"/>
    <s v="27/09/2026 19:16:12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5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8:17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6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9:59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7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21:12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8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20:49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09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8:40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0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21:32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211/26"/>
    <n v="1189"/>
    <s v="KG"/>
    <m/>
    <n v="1192"/>
    <n v="1189"/>
    <x v="0"/>
    <x v="0"/>
    <x v="0"/>
    <s v="1000 - Aprovação"/>
    <s v="Sim"/>
    <s v="Recepção do lote"/>
    <m/>
    <s v="0"/>
    <m/>
    <s v="N/A"/>
    <s v="27/09/2026 19:09:12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2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19:23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3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20:11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SE WILSON FERNANDES"/>
    <x v="2"/>
    <s v="0025214/26"/>
    <n v="1190"/>
    <s v="KG"/>
    <m/>
    <n v="1193"/>
    <n v="1190"/>
    <x v="0"/>
    <x v="0"/>
    <x v="0"/>
    <s v="1000 - Aprovação"/>
    <s v="Sim"/>
    <s v="Recepção do lote"/>
    <m/>
    <s v="0"/>
    <m/>
    <s v="N/A"/>
    <s v="27/09/2026 19:09:03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5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9:52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6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47:36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7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20:05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8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8:47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19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20:34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0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20:29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1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9:39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2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8:08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3/26"/>
    <n v="1183"/>
    <s v="KG"/>
    <m/>
    <n v="1186"/>
    <n v="1183"/>
    <x v="0"/>
    <x v="0"/>
    <x v="0"/>
    <s v="1000 - Aprovação"/>
    <s v="Sim"/>
    <s v="Recepção do lote"/>
    <m/>
    <s v="0"/>
    <m/>
    <s v="N/A"/>
    <s v="28/09/2026 08:17:46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4/26"/>
    <n v="1189"/>
    <s v="KG"/>
    <m/>
    <n v="1192"/>
    <n v="1189"/>
    <x v="0"/>
    <x v="0"/>
    <x v="0"/>
    <s v="1000 - Aprovação"/>
    <s v="Sim"/>
    <s v="Recepção do lote"/>
    <m/>
    <s v="0"/>
    <m/>
    <s v="N/A"/>
    <s v="28/09/2026 08:18:00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5/26"/>
    <n v="1190"/>
    <s v="KG"/>
    <m/>
    <n v="1193"/>
    <n v="1190"/>
    <x v="0"/>
    <x v="0"/>
    <x v="0"/>
    <s v="1000 - Aprovação"/>
    <s v="Sim"/>
    <s v="Recepção do lote"/>
    <m/>
    <s v="0"/>
    <m/>
    <s v="N/A"/>
    <s v="28/09/2026 08:19:34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6/26"/>
    <n v="1188"/>
    <s v="KG"/>
    <m/>
    <n v="1191"/>
    <n v="1188"/>
    <x v="0"/>
    <x v="0"/>
    <x v="0"/>
    <s v="1000 - Aprovação"/>
    <s v="Sim"/>
    <s v="Recepção do lote"/>
    <m/>
    <s v="0"/>
    <m/>
    <s v="N/A"/>
    <s v="28/09/2026 08:19:11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7/26"/>
    <n v="1186"/>
    <s v="KG"/>
    <m/>
    <n v="1189"/>
    <n v="1186"/>
    <x v="0"/>
    <x v="0"/>
    <x v="0"/>
    <s v="1000 - Aprovação"/>
    <s v="Sim"/>
    <s v="Recepção do lote"/>
    <m/>
    <s v="0"/>
    <m/>
    <s v="N/A"/>
    <s v="28/09/2026 08:18:25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8/26"/>
    <n v="1185"/>
    <s v="KG"/>
    <m/>
    <n v="1188"/>
    <n v="1185"/>
    <x v="0"/>
    <x v="0"/>
    <x v="0"/>
    <s v="1000 - Aprovação"/>
    <s v="Sim"/>
    <s v="Recepção do lote"/>
    <m/>
    <s v="0"/>
    <m/>
    <s v="N/A"/>
    <s v="28/09/2026 08:20:43"/>
    <m/>
    <m/>
    <s v=""/>
    <s v="null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ALTAIR BATISTA PEREIRA"/>
    <x v="2"/>
    <s v="0025229/26"/>
    <n v="1196"/>
    <s v="KG"/>
    <m/>
    <n v="1199"/>
    <n v="1196"/>
    <x v="0"/>
    <x v="0"/>
    <x v="0"/>
    <s v="1000 - Aprovação"/>
    <s v="Sim"/>
    <s v="Recepção do lote"/>
    <m/>
    <s v="0"/>
    <m/>
    <s v="N/A"/>
    <s v="28/09/2026 08:19:16"/>
    <m/>
    <m/>
    <s v="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230/26"/>
    <n v="1"/>
    <s v="BAG"/>
    <m/>
    <n v="799"/>
    <n v="792"/>
    <x v="2"/>
    <x v="24"/>
    <x v="0"/>
    <s v="1000 - Aprovação"/>
    <s v="Sim"/>
    <s v="Recepção do lote"/>
    <m/>
    <s v="0"/>
    <m/>
    <s v="N/A"/>
    <s v="25/09/2026 18:45:37"/>
    <m/>
    <m/>
    <s v="Informativo de ensaque clean para PA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232/26"/>
    <n v="1"/>
    <s v="BAG"/>
    <m/>
    <n v="799"/>
    <n v="792"/>
    <x v="2"/>
    <x v="24"/>
    <x v="0"/>
    <s v="1000 - Aprovação"/>
    <s v="Sim"/>
    <s v="Recepção do lote"/>
    <m/>
    <s v="0"/>
    <m/>
    <s v="N/A"/>
    <s v="25/09/2026 18:43:30"/>
    <m/>
    <m/>
    <s v="Informativo de ensaque clean para PA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234/26"/>
    <n v="1083"/>
    <s v="KG"/>
    <m/>
    <n v="1086"/>
    <n v="1083"/>
    <x v="3"/>
    <x v="23"/>
    <x v="0"/>
    <s v="1001 - Liberado Especial Cliente"/>
    <s v="Sim"/>
    <s v="Recepção do lote"/>
    <m/>
    <s v="0"/>
    <m/>
    <s v="N/A"/>
    <s v="27/09/2026 14:35:48"/>
    <m/>
    <m/>
    <s v="Informativo de ensaque de classificação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236/26"/>
    <n v="1"/>
    <s v="BAG"/>
    <m/>
    <n v="799"/>
    <n v="792"/>
    <x v="2"/>
    <x v="24"/>
    <x v="0"/>
    <s v="1000 - Aprovação"/>
    <s v="Sim"/>
    <s v="Recepção do lote"/>
    <m/>
    <s v="0"/>
    <m/>
    <s v="N/A"/>
    <s v="25/09/2026 18:42:57"/>
    <m/>
    <m/>
    <s v="Informativo de ensaque clean para PA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38/26"/>
    <n v="1048"/>
    <s v="KG"/>
    <m/>
    <n v="1051"/>
    <n v="1048"/>
    <x v="0"/>
    <x v="0"/>
    <x v="0"/>
    <s v="1000 - Aprovação"/>
    <s v="Sim"/>
    <s v="Recepção do lote"/>
    <m/>
    <s v="0"/>
    <m/>
    <s v="N/A"/>
    <s v="26/09/2026 17:39:4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39/26"/>
    <n v="1049"/>
    <s v="KG"/>
    <m/>
    <n v="1052"/>
    <n v="1049"/>
    <x v="0"/>
    <x v="0"/>
    <x v="0"/>
    <s v="1000 - Aprovação"/>
    <s v="Sim"/>
    <s v="Recepção do lote"/>
    <m/>
    <s v="0"/>
    <m/>
    <s v="N/A"/>
    <s v="26/09/2026 17:39:3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0/26"/>
    <n v="1066"/>
    <s v="KG"/>
    <m/>
    <n v="1069"/>
    <n v="1066"/>
    <x v="0"/>
    <x v="0"/>
    <x v="0"/>
    <s v="1000 - Aprovação"/>
    <s v="Sim"/>
    <s v="Recepção do lote"/>
    <m/>
    <s v="0"/>
    <m/>
    <s v="N/A"/>
    <s v="26/09/2026 17:38:10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1/26"/>
    <n v="1069"/>
    <s v="KG"/>
    <m/>
    <n v="1072"/>
    <n v="1069"/>
    <x v="0"/>
    <x v="0"/>
    <x v="0"/>
    <s v="1000 - Aprovação"/>
    <s v="Sim"/>
    <s v="Recepção do lote"/>
    <m/>
    <s v="0"/>
    <m/>
    <s v="N/A"/>
    <s v="26/09/2026 17:39:1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2/26"/>
    <n v="1050"/>
    <s v="KG"/>
    <m/>
    <n v="1053"/>
    <n v="1050"/>
    <x v="0"/>
    <x v="0"/>
    <x v="0"/>
    <s v="1000 - Aprovação"/>
    <s v="Sim"/>
    <s v="Recepção do lote"/>
    <m/>
    <s v="0"/>
    <m/>
    <s v="N/A"/>
    <s v="26/09/2026 17:38:2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5/26"/>
    <n v="1046"/>
    <s v="KG"/>
    <m/>
    <n v="1049"/>
    <n v="1046"/>
    <x v="0"/>
    <x v="0"/>
    <x v="0"/>
    <s v="1000 - Aprovação"/>
    <s v="Sim"/>
    <s v="Recepção do lote"/>
    <m/>
    <s v="0"/>
    <m/>
    <s v="N/A"/>
    <s v="26/09/2026 18:15:2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6/26"/>
    <n v="1045"/>
    <s v="KG"/>
    <m/>
    <n v="1048"/>
    <n v="1045"/>
    <x v="0"/>
    <x v="0"/>
    <x v="0"/>
    <s v="1000 - Aprovação"/>
    <s v="Sim"/>
    <s v="Recepção do lote"/>
    <m/>
    <s v="0"/>
    <m/>
    <s v="N/A"/>
    <s v="26/09/2026 18:15:3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7/26"/>
    <n v="1038"/>
    <s v="KG"/>
    <m/>
    <n v="1041"/>
    <n v="1038"/>
    <x v="0"/>
    <x v="0"/>
    <x v="0"/>
    <s v="1000 - Aprovação"/>
    <s v="Sim"/>
    <s v="Recepção do lote"/>
    <m/>
    <s v="0"/>
    <m/>
    <s v="N/A"/>
    <s v="26/09/2026 18:16:11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8/26"/>
    <n v="1046"/>
    <s v="KG"/>
    <m/>
    <n v="1049"/>
    <n v="1046"/>
    <x v="0"/>
    <x v="0"/>
    <x v="0"/>
    <s v="1000 - Aprovação"/>
    <s v="Sim"/>
    <s v="Recepção do lote"/>
    <m/>
    <s v="0"/>
    <m/>
    <s v="N/A"/>
    <s v="26/09/2026 18:15:1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49/26"/>
    <n v="1048"/>
    <s v="KG"/>
    <m/>
    <n v="1051"/>
    <n v="1048"/>
    <x v="0"/>
    <x v="0"/>
    <x v="0"/>
    <s v="1000 - Aprovação"/>
    <s v="Sim"/>
    <s v="Recepção do lote"/>
    <m/>
    <s v="0"/>
    <m/>
    <s v="N/A"/>
    <s v="26/09/2026 17:38:51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0/26"/>
    <n v="1043"/>
    <s v="KG"/>
    <m/>
    <n v="1046"/>
    <n v="1043"/>
    <x v="0"/>
    <x v="0"/>
    <x v="0"/>
    <s v="1000 - Aprovação"/>
    <s v="Sim"/>
    <s v="Recepção do lote"/>
    <m/>
    <s v="0"/>
    <m/>
    <s v="N/A"/>
    <s v="26/09/2026 17:39:2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1/26"/>
    <n v="1049"/>
    <s v="KG"/>
    <m/>
    <n v="1052"/>
    <n v="1049"/>
    <x v="0"/>
    <x v="0"/>
    <x v="0"/>
    <s v="1000 - Aprovação"/>
    <s v="Sim"/>
    <s v="Recepção do lote"/>
    <m/>
    <s v="0"/>
    <m/>
    <s v="N/A"/>
    <s v="26/09/2026 17:39:00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2/26"/>
    <n v="1049"/>
    <s v="KG"/>
    <m/>
    <n v="1052"/>
    <n v="1049"/>
    <x v="0"/>
    <x v="0"/>
    <x v="0"/>
    <s v="1000 - Aprovação"/>
    <s v="Sim"/>
    <s v="Recepção do lote"/>
    <m/>
    <s v="0"/>
    <m/>
    <s v="N/A"/>
    <s v="26/09/2026 17:39:0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3/26"/>
    <n v="1049"/>
    <s v="KG"/>
    <m/>
    <n v="1052"/>
    <n v="1049"/>
    <x v="0"/>
    <x v="0"/>
    <x v="0"/>
    <s v="1000 - Aprovação"/>
    <s v="Sim"/>
    <s v="Recepção do lote"/>
    <m/>
    <s v="0"/>
    <m/>
    <s v="N/A"/>
    <s v="26/09/2026 17:38:3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4/26"/>
    <n v="1047"/>
    <s v="KG"/>
    <m/>
    <n v="1050"/>
    <n v="1047"/>
    <x v="0"/>
    <x v="0"/>
    <x v="0"/>
    <s v="1000 - Aprovação"/>
    <s v="Sim"/>
    <s v="Recepção do lote"/>
    <m/>
    <s v="0"/>
    <m/>
    <s v="N/A"/>
    <s v="26/09/2026 17:40:01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5/26"/>
    <n v="1068"/>
    <s v="KG"/>
    <m/>
    <n v="1071"/>
    <n v="1068"/>
    <x v="0"/>
    <x v="0"/>
    <x v="0"/>
    <s v="1000 - Aprovação"/>
    <s v="Sim"/>
    <s v="Recepção do lote"/>
    <m/>
    <s v="0"/>
    <m/>
    <s v="N/A"/>
    <s v="26/09/2026 17:40:10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6/26"/>
    <n v="1067"/>
    <s v="KG"/>
    <m/>
    <n v="1070"/>
    <n v="1067"/>
    <x v="0"/>
    <x v="0"/>
    <x v="0"/>
    <s v="1000 - Aprovação"/>
    <s v="Sim"/>
    <s v="Recepção do lote"/>
    <m/>
    <s v="0"/>
    <m/>
    <s v="N/A"/>
    <s v="26/09/2026 17:39:5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7/26"/>
    <n v="1079"/>
    <s v="KG"/>
    <m/>
    <n v="1082"/>
    <n v="1079"/>
    <x v="0"/>
    <x v="0"/>
    <x v="0"/>
    <s v="1000 - Aprovação"/>
    <s v="Sim"/>
    <s v="Recepção do lote"/>
    <m/>
    <s v="0"/>
    <m/>
    <s v="N/A"/>
    <s v="26/09/2026 17:40:1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59/26"/>
    <n v="1048"/>
    <s v="KG"/>
    <m/>
    <n v="1051"/>
    <n v="1048"/>
    <x v="0"/>
    <x v="0"/>
    <x v="0"/>
    <s v="1000 - Aprovação"/>
    <s v="Sim"/>
    <s v="Recepção do lote"/>
    <m/>
    <s v="0"/>
    <m/>
    <s v="N/A"/>
    <s v="26/09/2026 18:45:5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0/26"/>
    <n v="1045"/>
    <s v="KG"/>
    <m/>
    <n v="1048"/>
    <n v="1045"/>
    <x v="0"/>
    <x v="0"/>
    <x v="0"/>
    <s v="1000 - Aprovação"/>
    <s v="Sim"/>
    <s v="Recepção do lote"/>
    <m/>
    <s v="0"/>
    <m/>
    <s v="N/A"/>
    <s v="26/09/2026 18:46:0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1/26"/>
    <n v="1047"/>
    <s v="KG"/>
    <m/>
    <n v="1050"/>
    <n v="1047"/>
    <x v="0"/>
    <x v="0"/>
    <x v="0"/>
    <s v="1000 - Aprovação"/>
    <s v="Sim"/>
    <s v="Recepção do lote"/>
    <m/>
    <s v="0"/>
    <m/>
    <s v="N/A"/>
    <s v="26/09/2026 18:16:20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2/26"/>
    <n v="1067"/>
    <s v="KG"/>
    <m/>
    <n v="1070"/>
    <n v="1067"/>
    <x v="0"/>
    <x v="0"/>
    <x v="0"/>
    <s v="1000 - Aprovação"/>
    <s v="Sim"/>
    <s v="Recepção do lote"/>
    <m/>
    <s v="0"/>
    <m/>
    <s v="N/A"/>
    <s v="26/09/2026 18:45:3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3/26"/>
    <n v="1066"/>
    <s v="KG"/>
    <m/>
    <n v="1069"/>
    <n v="1066"/>
    <x v="0"/>
    <x v="0"/>
    <x v="0"/>
    <s v="1000 - Aprovação"/>
    <s v="Sim"/>
    <s v="Recepção do lote"/>
    <m/>
    <s v="0"/>
    <m/>
    <s v="N/A"/>
    <s v="26/09/2026 18:16:2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4/26"/>
    <n v="1066"/>
    <s v="KG"/>
    <m/>
    <n v="1069"/>
    <n v="1066"/>
    <x v="0"/>
    <x v="0"/>
    <x v="0"/>
    <s v="1000 - Aprovação"/>
    <s v="Sim"/>
    <s v="Recepção do lote"/>
    <m/>
    <s v="0"/>
    <m/>
    <s v="N/A"/>
    <s v="26/09/2026 18:46:1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5/26"/>
    <n v="1068"/>
    <s v="KG"/>
    <m/>
    <n v="1071"/>
    <n v="1068"/>
    <x v="0"/>
    <x v="0"/>
    <x v="0"/>
    <s v="1000 - Aprovação"/>
    <s v="Sim"/>
    <s v="Recepção do lote"/>
    <m/>
    <s v="0"/>
    <m/>
    <s v="N/A"/>
    <s v="26/09/2026 18:16:4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6/26"/>
    <n v="1067"/>
    <s v="KG"/>
    <m/>
    <n v="1070"/>
    <n v="1067"/>
    <x v="0"/>
    <x v="0"/>
    <x v="0"/>
    <s v="1000 - Aprovação"/>
    <s v="Sim"/>
    <s v="Recepção do lote"/>
    <m/>
    <s v="0"/>
    <m/>
    <s v="N/A"/>
    <s v="26/09/2026 18:45:4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5267/26"/>
    <n v="1065"/>
    <s v="KG"/>
    <m/>
    <n v="1068"/>
    <n v="1065"/>
    <x v="0"/>
    <x v="0"/>
    <x v="0"/>
    <s v="1000 - Aprovação"/>
    <s v="Sim"/>
    <s v="Recepção do lote"/>
    <m/>
    <s v="0"/>
    <m/>
    <s v="N/A"/>
    <s v="26/09/2026 18:16:56"/>
    <m/>
    <m/>
    <s v="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278/26"/>
    <n v="1"/>
    <s v="BAG"/>
    <m/>
    <n v="799"/>
    <n v="792"/>
    <x v="2"/>
    <x v="24"/>
    <x v="0"/>
    <s v="1000 - Aprovação"/>
    <s v="Sim"/>
    <s v="Recepção do lote"/>
    <m/>
    <s v="0"/>
    <m/>
    <s v="N/A"/>
    <s v="25/09/2026 18:43:58"/>
    <m/>
    <m/>
    <s v="Informativo de ensaque clean para PA"/>
    <s v="null"/>
    <s v=""/>
    <m/>
  </r>
  <r>
    <s v="VALOREM - PATOS"/>
    <x v="0"/>
    <s v="GRAO DESTINADO A SEMENTE -  P3845VYHR -"/>
    <x v="1"/>
    <s v="V3I6CC0371"/>
    <s v="7345816-434001"/>
    <s v="INV26/26"/>
    <s v="C2C"/>
    <s v="Informativo de ensaque de classificação"/>
    <x v="0"/>
    <s v="PREVENTIVO"/>
    <s v="GABRIELA OHANA SILVA PIMENTA"/>
    <x v="1"/>
    <s v="0025280/26"/>
    <n v="309"/>
    <s v="KG"/>
    <m/>
    <n v="312"/>
    <n v="309"/>
    <x v="3"/>
    <x v="23"/>
    <x v="0"/>
    <s v="1001 - Liberado Especial Cliente"/>
    <s v="Sim"/>
    <s v="Recepção do lote"/>
    <m/>
    <s v="0"/>
    <m/>
    <s v="N/A"/>
    <s v="27/09/2026 14:36:03"/>
    <m/>
    <m/>
    <s v="Informativo de ensaque de classificação"/>
    <s v="null"/>
    <s v=""/>
    <m/>
  </r>
  <r>
    <s v="VALOREM - PATOS"/>
    <x v="0"/>
    <s v="SEMENTE DE MILHO HIBRIDO - P3845VYHR PC1 BB -"/>
    <x v="1"/>
    <s v="05P7622515"/>
    <s v="7345816-434001"/>
    <s v="INV26/26"/>
    <s v="C1"/>
    <s v="Informativo de ensaque clean para PA"/>
    <x v="1"/>
    <s v="STANDARD + P + D + L + L"/>
    <s v="GABRIELA OHANA SILVA PIMENTA"/>
    <x v="1"/>
    <s v="0025282/26"/>
    <n v="1"/>
    <s v="BAG"/>
    <m/>
    <n v="799"/>
    <n v="792"/>
    <x v="2"/>
    <x v="24"/>
    <x v="0"/>
    <s v="1000 - Aprovação"/>
    <s v="Sim"/>
    <s v="Recepção do lote"/>
    <m/>
    <s v="0"/>
    <m/>
    <s v="N/A"/>
    <s v="25/09/2026 18:47:19"/>
    <m/>
    <m/>
    <s v="Informativo de ensaque clean para PA"/>
    <s v="null"/>
    <s v=""/>
    <m/>
  </r>
  <r>
    <s v="VALOREM - PATOS"/>
    <x v="0"/>
    <s v="SEMENTE DE MILHO HIBRIDO - P3845VYHR PC1 60S -"/>
    <x v="1"/>
    <s v="05P7643440"/>
    <s v="7345816-434001"/>
    <s v="INV26/26"/>
    <s v="C1"/>
    <s v="Informativo de ensaque clean para PA"/>
    <x v="2"/>
    <s v="STANDARD + P + D + L + L"/>
    <s v="GABRIELA OHANA SILVA PIMENTA"/>
    <x v="1"/>
    <s v="0025284/26"/>
    <n v="28"/>
    <s v="SC"/>
    <m/>
    <n v="586"/>
    <n v="554.4"/>
    <x v="2"/>
    <x v="15"/>
    <x v="0"/>
    <s v="1000 - Aprovação"/>
    <s v="Sim"/>
    <s v="Recepção do lote"/>
    <m/>
    <s v="0"/>
    <m/>
    <s v="N/A"/>
    <s v="27/09/2026 09:26:23"/>
    <m/>
    <m/>
    <s v="Informativo de ensaque clean para PA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31/26"/>
    <n v="1151"/>
    <s v="KG"/>
    <m/>
    <n v="1154"/>
    <n v="1151"/>
    <x v="3"/>
    <x v="25"/>
    <x v="0"/>
    <s v="1000 - Aprovação"/>
    <s v="Sim"/>
    <s v="Recepção do lote"/>
    <m/>
    <s v="0"/>
    <m/>
    <s v="N/A"/>
    <s v="27/09/2026 16:34:54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33/26"/>
    <n v="1150"/>
    <s v="KG"/>
    <m/>
    <n v="1153"/>
    <n v="1150"/>
    <x v="3"/>
    <x v="25"/>
    <x v="0"/>
    <s v="1000 - Aprovação"/>
    <s v="Sim"/>
    <s v="Recepção do lote"/>
    <m/>
    <s v="0"/>
    <m/>
    <s v="N/A"/>
    <s v="27/09/2026 16:34:43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35/26"/>
    <n v="1151"/>
    <s v="KG"/>
    <m/>
    <n v="1154"/>
    <n v="1151"/>
    <x v="3"/>
    <x v="25"/>
    <x v="0"/>
    <s v="1000 - Aprovação"/>
    <s v="Sim"/>
    <s v="Recepção do lote"/>
    <m/>
    <s v="0"/>
    <m/>
    <s v="N/A"/>
    <s v="27/09/2026 16:33:49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37/26"/>
    <n v="1151"/>
    <s v="KG"/>
    <m/>
    <n v="1154"/>
    <n v="1151"/>
    <x v="3"/>
    <x v="25"/>
    <x v="0"/>
    <s v="1000 - Aprovação"/>
    <s v="Sim"/>
    <s v="Recepção do lote"/>
    <m/>
    <s v="0"/>
    <m/>
    <s v="N/A"/>
    <s v="27/09/2026 16:34:04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39/26"/>
    <n v="1151"/>
    <s v="KG"/>
    <m/>
    <n v="1154"/>
    <n v="1151"/>
    <x v="3"/>
    <x v="25"/>
    <x v="0"/>
    <s v="1000 - Aprovação"/>
    <s v="Sim"/>
    <s v="Recepção do lote"/>
    <m/>
    <s v="0"/>
    <m/>
    <s v="N/A"/>
    <s v="27/09/2026 16:34:16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41/26"/>
    <n v="1151"/>
    <s v="KG"/>
    <m/>
    <n v="1154"/>
    <n v="1151"/>
    <x v="3"/>
    <x v="25"/>
    <x v="0"/>
    <s v="1000 - Aprovação"/>
    <s v="Sim"/>
    <s v="Recepção do lote"/>
    <m/>
    <s v="0"/>
    <m/>
    <s v="N/A"/>
    <s v="27/09/2026 16:34:27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43/26"/>
    <n v="1151"/>
    <s v="KG"/>
    <m/>
    <n v="1154"/>
    <n v="1151"/>
    <x v="3"/>
    <x v="25"/>
    <x v="0"/>
    <s v="1000 - Aprovação"/>
    <s v="Sim"/>
    <s v="Recepção do lote"/>
    <m/>
    <s v="0"/>
    <m/>
    <s v="N/A"/>
    <s v="27/09/2026 16:33:36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45/26"/>
    <n v="1151"/>
    <s v="KG"/>
    <m/>
    <n v="1154"/>
    <n v="1151"/>
    <x v="3"/>
    <x v="25"/>
    <x v="0"/>
    <s v="1000 - Aprovação"/>
    <s v="Sim"/>
    <s v="Recepção do lote"/>
    <m/>
    <s v="0"/>
    <m/>
    <s v="N/A"/>
    <s v="27/09/2026 16:33:21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47/26"/>
    <n v="1158"/>
    <s v="KG"/>
    <m/>
    <n v="1161"/>
    <n v="1158"/>
    <x v="3"/>
    <x v="25"/>
    <x v="0"/>
    <s v="1000 - Aprovação"/>
    <s v="Sim"/>
    <s v="Recepção do lote"/>
    <m/>
    <s v="0"/>
    <m/>
    <s v="N/A"/>
    <s v="27/09/2026 16:33:09"/>
    <m/>
    <m/>
    <s v="Informativo de ensaque de classificação"/>
    <s v="null"/>
    <s v=""/>
    <m/>
  </r>
  <r>
    <s v="VALOREM - PATOS"/>
    <x v="0"/>
    <s v="GRAO DESTINADO A SEMENTE -  P3845VYHR -"/>
    <x v="1"/>
    <s v="V3I6CC0376"/>
    <s v="7345816-434001"/>
    <s v="INV26/26"/>
    <s v="C2"/>
    <s v="Informativo de ensaque de classificação"/>
    <x v="0"/>
    <s v="PREVENTIVO"/>
    <s v="GABRIELA OHANA SILVA PIMENTA"/>
    <x v="1"/>
    <s v="0025449/26"/>
    <n v="495"/>
    <s v="KG"/>
    <m/>
    <n v="498"/>
    <n v="495"/>
    <x v="3"/>
    <x v="25"/>
    <x v="0"/>
    <s v="1000 - Aprovação"/>
    <s v="Sim"/>
    <s v="Recepção do lote"/>
    <m/>
    <s v="0"/>
    <m/>
    <s v="N/A"/>
    <s v="27/09/2026 16:32:55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07/26"/>
    <n v="1152"/>
    <s v="KG"/>
    <m/>
    <n v="1155"/>
    <n v="1152"/>
    <x v="3"/>
    <x v="26"/>
    <x v="0"/>
    <s v="1000 - Aprovação"/>
    <s v="Sim"/>
    <s v="Recepção do lote"/>
    <m/>
    <s v="0"/>
    <m/>
    <s v="N/A"/>
    <s v="28/09/2026 10:27:46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09/26"/>
    <n v="1152"/>
    <s v="KG"/>
    <m/>
    <n v="1155"/>
    <n v="1152"/>
    <x v="3"/>
    <x v="26"/>
    <x v="0"/>
    <s v="1000 - Aprovação"/>
    <s v="Sim"/>
    <s v="Recepção do lote"/>
    <m/>
    <s v="0"/>
    <m/>
    <s v="N/A"/>
    <s v="28/09/2026 10:28:25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11/26"/>
    <n v="1159"/>
    <s v="KG"/>
    <m/>
    <n v="1162"/>
    <n v="1159"/>
    <x v="3"/>
    <x v="26"/>
    <x v="0"/>
    <s v="1000 - Aprovação"/>
    <s v="Sim"/>
    <s v="Recepção do lote"/>
    <m/>
    <s v="0"/>
    <m/>
    <s v="N/A"/>
    <s v="28/09/2026 10:27:01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13/26"/>
    <n v="1158"/>
    <s v="KG"/>
    <m/>
    <n v="1161"/>
    <n v="1158"/>
    <x v="3"/>
    <x v="26"/>
    <x v="0"/>
    <s v="1000 - Aprovação"/>
    <s v="Sim"/>
    <s v="Recepção do lote"/>
    <m/>
    <s v="0"/>
    <m/>
    <s v="N/A"/>
    <s v="28/09/2026 10:35:09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15/26"/>
    <n v="1160"/>
    <s v="KG"/>
    <m/>
    <n v="1163"/>
    <n v="1160"/>
    <x v="3"/>
    <x v="26"/>
    <x v="0"/>
    <s v="1000 - Aprovação"/>
    <s v="Sim"/>
    <s v="Recepção do lote"/>
    <m/>
    <s v="0"/>
    <m/>
    <s v="N/A"/>
    <s v="28/09/2026 10:33:27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17/26"/>
    <n v="1152"/>
    <s v="KG"/>
    <m/>
    <n v="1155"/>
    <n v="1152"/>
    <x v="3"/>
    <x v="26"/>
    <x v="0"/>
    <s v="1000 - Aprovação"/>
    <s v="Sim"/>
    <s v="Recepção do lote"/>
    <m/>
    <s v="0"/>
    <m/>
    <s v="N/A"/>
    <s v="28/09/2026 10:30:02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19/26"/>
    <n v="1160"/>
    <s v="KG"/>
    <m/>
    <n v="1163"/>
    <n v="1160"/>
    <x v="3"/>
    <x v="26"/>
    <x v="0"/>
    <s v="1000 - Aprovação"/>
    <s v="Sim"/>
    <s v="Recepção do lote"/>
    <m/>
    <s v="0"/>
    <m/>
    <s v="N/A"/>
    <s v="28/09/2026 10:30:57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21/26"/>
    <n v="1160"/>
    <s v="KG"/>
    <m/>
    <n v="1163"/>
    <n v="1160"/>
    <x v="3"/>
    <x v="26"/>
    <x v="0"/>
    <s v="1000 - Aprovação"/>
    <s v="Sim"/>
    <s v="Recepção do lote"/>
    <m/>
    <s v="0"/>
    <m/>
    <s v="N/A"/>
    <s v="28/09/2026 10:38:29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23/26"/>
    <n v="1159"/>
    <s v="KG"/>
    <m/>
    <n v="1162"/>
    <n v="1159"/>
    <x v="3"/>
    <x v="26"/>
    <x v="0"/>
    <s v="1000 - Aprovação"/>
    <s v="Sim"/>
    <s v="Recepção do lote"/>
    <m/>
    <s v="0"/>
    <m/>
    <s v="N/A"/>
    <s v="28/09/2026 10:36:39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25/26"/>
    <n v="1162"/>
    <s v="KG"/>
    <m/>
    <n v="1165"/>
    <n v="1162"/>
    <x v="3"/>
    <x v="26"/>
    <x v="0"/>
    <s v="1000 - Aprovação"/>
    <s v="Sim"/>
    <s v="Recepção do lote"/>
    <m/>
    <s v="0"/>
    <m/>
    <s v="N/A"/>
    <s v="28/09/2026 10:35:50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27/26"/>
    <n v="1156"/>
    <s v="KG"/>
    <m/>
    <n v="1159"/>
    <n v="1156"/>
    <x v="3"/>
    <x v="26"/>
    <x v="0"/>
    <s v="1000 - Aprovação"/>
    <s v="Sim"/>
    <s v="Recepção do lote"/>
    <m/>
    <s v="0"/>
    <m/>
    <s v="N/A"/>
    <s v="28/09/2026 10:39:26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29/26"/>
    <n v="1160"/>
    <s v="KG"/>
    <m/>
    <n v="1163"/>
    <n v="1160"/>
    <x v="3"/>
    <x v="26"/>
    <x v="0"/>
    <s v="1000 - Aprovação"/>
    <s v="Sim"/>
    <s v="Recepção do lote"/>
    <m/>
    <s v="0"/>
    <m/>
    <s v="N/A"/>
    <s v="28/09/2026 10:32:27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31/26"/>
    <n v="1161"/>
    <s v="KG"/>
    <m/>
    <n v="1164"/>
    <n v="1161"/>
    <x v="3"/>
    <x v="26"/>
    <x v="0"/>
    <s v="1000 - Aprovação"/>
    <s v="Sim"/>
    <s v="Recepção do lote"/>
    <m/>
    <s v="0"/>
    <m/>
    <s v="N/A"/>
    <s v="28/09/2026 10:34:12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33/26"/>
    <n v="1160"/>
    <s v="KG"/>
    <m/>
    <n v="1163"/>
    <n v="1160"/>
    <x v="3"/>
    <x v="26"/>
    <x v="0"/>
    <s v="1000 - Aprovação"/>
    <s v="Sim"/>
    <s v="Recepção do lote"/>
    <m/>
    <s v="0"/>
    <m/>
    <s v="N/A"/>
    <s v="28/09/2026 10:40:12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35/26"/>
    <n v="1161"/>
    <s v="KG"/>
    <m/>
    <n v="1164"/>
    <n v="1161"/>
    <x v="3"/>
    <x v="26"/>
    <x v="0"/>
    <s v="1000 - Aprovação"/>
    <s v="Sim"/>
    <s v="Recepção do lote"/>
    <m/>
    <s v="0"/>
    <m/>
    <s v="N/A"/>
    <s v="28/09/2026 10:29:21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37/26"/>
    <n v="1161"/>
    <s v="KG"/>
    <m/>
    <n v="1164"/>
    <n v="1161"/>
    <x v="3"/>
    <x v="26"/>
    <x v="0"/>
    <s v="1000 - Aprovação"/>
    <s v="Sim"/>
    <s v="Recepção do lote"/>
    <m/>
    <s v="0"/>
    <m/>
    <s v="N/A"/>
    <s v="28/09/2026 10:31:44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39/26"/>
    <n v="1165"/>
    <s v="KG"/>
    <m/>
    <n v="1168"/>
    <n v="1165"/>
    <x v="3"/>
    <x v="26"/>
    <x v="0"/>
    <s v="1000 - Aprovação"/>
    <s v="Sim"/>
    <s v="Recepção do lote"/>
    <m/>
    <s v="0"/>
    <m/>
    <s v="N/A"/>
    <s v="28/09/2026 10:26:06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41/26"/>
    <n v="1162"/>
    <s v="KG"/>
    <m/>
    <n v="1165"/>
    <n v="1162"/>
    <x v="3"/>
    <x v="26"/>
    <x v="0"/>
    <s v="1000 - Aprovação"/>
    <s v="Sim"/>
    <s v="Recepção do lote"/>
    <m/>
    <s v="0"/>
    <m/>
    <s v="N/A"/>
    <s v="28/09/2026 10:23:02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43/26"/>
    <n v="1161"/>
    <s v="KG"/>
    <m/>
    <n v="1164"/>
    <n v="1161"/>
    <x v="3"/>
    <x v="26"/>
    <x v="0"/>
    <s v="1000 - Aprovação"/>
    <s v="Sim"/>
    <s v="Recepção do lote"/>
    <m/>
    <s v="0"/>
    <m/>
    <s v="N/A"/>
    <s v="28/09/2026 10:37:36"/>
    <m/>
    <m/>
    <s v="Informativo de ensaque de classificação"/>
    <s v="null"/>
    <s v=""/>
    <m/>
  </r>
  <r>
    <s v="VALOREM - PATOS"/>
    <x v="0"/>
    <s v="GRAO DESTINADO A SEMENTE -  P3845VYHR -"/>
    <x v="1"/>
    <s v="V3I6CC0378"/>
    <s v="7345816-434001"/>
    <s v="INV26/26"/>
    <s v="R1"/>
    <s v="Informativo de ensaque de classificação"/>
    <x v="0"/>
    <s v="PREVENTIVO"/>
    <s v="EDSON JUNIOR PEREIRA LIMA"/>
    <x v="1"/>
    <s v="0025545/26"/>
    <n v="909"/>
    <s v="KG"/>
    <m/>
    <n v="912"/>
    <n v="909"/>
    <x v="3"/>
    <x v="26"/>
    <x v="0"/>
    <s v="1000 - Aprovação"/>
    <s v="Sim"/>
    <s v="Recepção do lote"/>
    <m/>
    <s v="0"/>
    <m/>
    <s v="N/A"/>
    <s v="28/09/2026 10:25:22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47/26"/>
    <n v="1"/>
    <s v="BAG"/>
    <m/>
    <n v="710"/>
    <n v="707.6"/>
    <x v="2"/>
    <x v="27"/>
    <x v="0"/>
    <s v="1000 - Aprovação"/>
    <s v="Sim"/>
    <s v="Recepção do lote"/>
    <m/>
    <s v="0"/>
    <m/>
    <s v="N/A"/>
    <s v="28/09/2026 14:37:14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49/26"/>
    <n v="1"/>
    <s v="BAG"/>
    <m/>
    <n v="714"/>
    <n v="707.6"/>
    <x v="2"/>
    <x v="27"/>
    <x v="0"/>
    <s v="1000 - Aprovação"/>
    <s v="Sim"/>
    <s v="Recepção do lote"/>
    <m/>
    <s v="0"/>
    <m/>
    <s v="N/A"/>
    <s v="28/09/2026 14:38:24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551/26"/>
    <n v="1117"/>
    <s v="KG"/>
    <m/>
    <n v="1120"/>
    <n v="1117"/>
    <x v="3"/>
    <x v="25"/>
    <x v="0"/>
    <s v="1001 - Liberado Especial Cliente"/>
    <s v="Sim"/>
    <s v="Recepção do lote"/>
    <m/>
    <s v="0"/>
    <m/>
    <s v="N/A"/>
    <s v="28/09/2026 13:33:20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53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36:44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55/26"/>
    <n v="1"/>
    <s v="BAG"/>
    <m/>
    <n v="714"/>
    <n v="707.6"/>
    <x v="2"/>
    <x v="27"/>
    <x v="0"/>
    <s v="1000 - Aprovação"/>
    <s v="Sim"/>
    <s v="Recepção do lote"/>
    <m/>
    <s v="0"/>
    <m/>
    <s v="N/A"/>
    <s v="28/09/2026 14:36:17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57/26"/>
    <n v="1"/>
    <s v="BAG"/>
    <m/>
    <n v="714"/>
    <n v="707.6"/>
    <x v="2"/>
    <x v="27"/>
    <x v="0"/>
    <s v="1000 - Aprovação"/>
    <s v="Sim"/>
    <s v="Recepção do lote"/>
    <m/>
    <s v="0"/>
    <m/>
    <s v="N/A"/>
    <s v="28/09/2026 14:41:02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59/26"/>
    <n v="1"/>
    <s v="BAG"/>
    <m/>
    <n v="714"/>
    <n v="707.6"/>
    <x v="2"/>
    <x v="27"/>
    <x v="0"/>
    <s v="1000 - Aprovação"/>
    <s v="Sim"/>
    <s v="Recepção do lote"/>
    <m/>
    <s v="0"/>
    <m/>
    <s v="N/A"/>
    <s v="28/09/2026 14:31:21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61/26"/>
    <n v="1"/>
    <s v="BAG"/>
    <m/>
    <n v="714"/>
    <n v="707.6"/>
    <x v="2"/>
    <x v="27"/>
    <x v="0"/>
    <s v="1000 - Aprovação"/>
    <s v="Sim"/>
    <s v="Recepção do lote"/>
    <m/>
    <s v="0"/>
    <m/>
    <s v="N/A"/>
    <s v="28/09/2026 14:35:50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63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35:21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565/26"/>
    <n v="1124"/>
    <s v="KG"/>
    <m/>
    <n v="1127"/>
    <n v="1124"/>
    <x v="3"/>
    <x v="25"/>
    <x v="0"/>
    <s v="1001 - Liberado Especial Cliente"/>
    <s v="Sim"/>
    <s v="Recepção do lote"/>
    <m/>
    <s v="0"/>
    <m/>
    <s v="N/A"/>
    <s v="28/09/2026 13:31:56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67/26"/>
    <n v="1"/>
    <s v="BAG"/>
    <m/>
    <n v="713.5"/>
    <n v="707.6"/>
    <x v="2"/>
    <x v="27"/>
    <x v="0"/>
    <s v="1000 - Aprovação"/>
    <s v="Sim"/>
    <s v="Recepção do lote"/>
    <m/>
    <s v="0"/>
    <m/>
    <s v="N/A"/>
    <s v="28/09/2026 14:33:15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569/26"/>
    <n v="1115"/>
    <s v="KG"/>
    <m/>
    <n v="1118"/>
    <n v="1115"/>
    <x v="3"/>
    <x v="25"/>
    <x v="0"/>
    <s v="1001 - Liberado Especial Cliente"/>
    <s v="Sim"/>
    <s v="Recepção do lote"/>
    <m/>
    <s v="0"/>
    <m/>
    <s v="N/A"/>
    <s v="28/09/2026 13:32:36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71/26"/>
    <n v="1"/>
    <s v="BAG"/>
    <m/>
    <n v="712"/>
    <n v="707.6"/>
    <x v="2"/>
    <x v="27"/>
    <x v="0"/>
    <s v="1000 - Aprovação"/>
    <s v="Sim"/>
    <s v="Recepção do lote"/>
    <m/>
    <s v="0"/>
    <m/>
    <s v="N/A"/>
    <s v="28/09/2026 14:30:53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73/26"/>
    <n v="1"/>
    <s v="BAG"/>
    <m/>
    <n v="712.5"/>
    <n v="707.6"/>
    <x v="2"/>
    <x v="27"/>
    <x v="0"/>
    <s v="1000 - Aprovação"/>
    <s v="Sim"/>
    <s v="Recepção do lote"/>
    <m/>
    <s v="0"/>
    <m/>
    <s v="N/A"/>
    <s v="28/09/2026 14:34:20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575/26"/>
    <n v="1133"/>
    <s v="KG"/>
    <m/>
    <n v="1136"/>
    <n v="1133"/>
    <x v="3"/>
    <x v="25"/>
    <x v="0"/>
    <s v="1001 - Liberado Especial Cliente"/>
    <s v="Sim"/>
    <s v="Recepção do lote"/>
    <m/>
    <s v="0"/>
    <m/>
    <s v="N/A"/>
    <s v="28/09/2026 13:34:01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77/26"/>
    <n v="1"/>
    <s v="BAG"/>
    <m/>
    <n v="713"/>
    <n v="707.6"/>
    <x v="2"/>
    <x v="27"/>
    <x v="0"/>
    <s v="1000 - Aprovação"/>
    <s v="Sim"/>
    <s v="Recepção do lote"/>
    <m/>
    <s v="0"/>
    <m/>
    <s v="N/A"/>
    <s v="28/09/2026 14:39:23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579/26"/>
    <n v="1172"/>
    <s v="KG"/>
    <m/>
    <n v="1175"/>
    <n v="1172"/>
    <x v="3"/>
    <x v="25"/>
    <x v="0"/>
    <s v="1001 - Liberado Especial Cliente"/>
    <s v="Sim"/>
    <s v="Recepção do lote"/>
    <m/>
    <s v="0"/>
    <m/>
    <s v="N/A"/>
    <s v="28/09/2026 13:30:27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81/26"/>
    <n v="1"/>
    <s v="BAG"/>
    <m/>
    <n v="711"/>
    <n v="707.6"/>
    <x v="2"/>
    <x v="27"/>
    <x v="0"/>
    <s v="1000 - Aprovação"/>
    <s v="Sim"/>
    <s v="Recepção do lote"/>
    <m/>
    <s v="0"/>
    <m/>
    <s v="N/A"/>
    <s v="28/09/2026 14:41:36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83/26"/>
    <n v="1"/>
    <s v="BAG"/>
    <m/>
    <n v="711"/>
    <n v="707.6"/>
    <x v="2"/>
    <x v="27"/>
    <x v="0"/>
    <s v="1000 - Aprovação"/>
    <s v="Sim"/>
    <s v="Recepção do lote"/>
    <m/>
    <s v="0"/>
    <m/>
    <s v="N/A"/>
    <s v="28/09/2026 14:37:55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585/26"/>
    <n v="1137"/>
    <s v="KG"/>
    <m/>
    <n v="1140"/>
    <n v="1137"/>
    <x v="3"/>
    <x v="25"/>
    <x v="0"/>
    <s v="1001 - Liberado Especial Cliente"/>
    <s v="Sim"/>
    <s v="Recepção do lote"/>
    <m/>
    <s v="0"/>
    <m/>
    <s v="N/A"/>
    <s v="28/09/2026 13:31:20"/>
    <m/>
    <m/>
    <s v="Informativo de ensaque de classificação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587/26"/>
    <n v="1121"/>
    <s v="KG"/>
    <m/>
    <n v="1124"/>
    <n v="1121"/>
    <x v="3"/>
    <x v="25"/>
    <x v="0"/>
    <s v="1001 - Liberado Especial Cliente"/>
    <s v="Sim"/>
    <s v="Recepção do lote"/>
    <m/>
    <s v="0"/>
    <m/>
    <s v="N/A"/>
    <s v="28/09/2026 13:28:55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89/26"/>
    <n v="1"/>
    <s v="BAG"/>
    <m/>
    <n v="712"/>
    <n v="707.6"/>
    <x v="2"/>
    <x v="27"/>
    <x v="0"/>
    <s v="1000 - Aprovação"/>
    <s v="Sim"/>
    <s v="Recepção do lote"/>
    <m/>
    <s v="0"/>
    <m/>
    <s v="N/A"/>
    <s v="28/09/2026 14:34:51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91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29:21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93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29:48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95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25:32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97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28:49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599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27:06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01/26"/>
    <n v="1"/>
    <s v="BAG"/>
    <m/>
    <n v="714"/>
    <n v="707.6"/>
    <x v="2"/>
    <x v="27"/>
    <x v="0"/>
    <s v="1000 - Aprovação"/>
    <s v="Sim"/>
    <s v="Recepção do lote"/>
    <m/>
    <s v="0"/>
    <m/>
    <s v="N/A"/>
    <s v="28/09/2026 14:26:33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03/26"/>
    <n v="1"/>
    <s v="BAG"/>
    <m/>
    <n v="713"/>
    <n v="707.6"/>
    <x v="2"/>
    <x v="27"/>
    <x v="0"/>
    <s v="1000 - Aprovação"/>
    <s v="Sim"/>
    <s v="Recepção do lote"/>
    <m/>
    <s v="0"/>
    <m/>
    <s v="N/A"/>
    <s v="28/09/2026 14:30:18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605/26"/>
    <n v="964"/>
    <s v="KG"/>
    <m/>
    <n v="967"/>
    <n v="964"/>
    <x v="3"/>
    <x v="25"/>
    <x v="0"/>
    <s v="1001 - Liberado Especial Cliente"/>
    <s v="Sim"/>
    <s v="Recepção do lote"/>
    <m/>
    <s v="0"/>
    <m/>
    <s v="N/A"/>
    <s v="28/09/2026 13:29:47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07/26"/>
    <n v="1"/>
    <s v="BAG"/>
    <m/>
    <n v="709"/>
    <n v="707.6"/>
    <x v="2"/>
    <x v="27"/>
    <x v="0"/>
    <s v="1000 - Aprovação"/>
    <s v="Sim"/>
    <s v="Recepção do lote"/>
    <m/>
    <s v="0"/>
    <m/>
    <s v="N/A"/>
    <s v="28/09/2026 14:28:22"/>
    <m/>
    <m/>
    <s v="Informativo de ensaque clean para PA"/>
    <s v="null"/>
    <s v=""/>
    <m/>
  </r>
  <r>
    <s v="VALOREM - PATOS"/>
    <x v="0"/>
    <s v="GRAO DESTINADO A SEMENTE -  P3845VYHR -"/>
    <x v="1"/>
    <s v="V3I6CC0379"/>
    <s v="7345816-434001"/>
    <s v="INV26/26"/>
    <s v="BPE"/>
    <s v="Informativo de ensaque de classificação"/>
    <x v="0"/>
    <s v="PREVENTIVO"/>
    <s v="EDSON JUNIOR PEREIRA LIMA"/>
    <x v="1"/>
    <s v="0025609/26"/>
    <n v="420"/>
    <s v="KG"/>
    <m/>
    <n v="423"/>
    <n v="420"/>
    <x v="3"/>
    <x v="25"/>
    <x v="0"/>
    <s v="1001 - Liberado Especial Cliente"/>
    <s v="Sim"/>
    <s v="Recepção do lote"/>
    <m/>
    <s v="0"/>
    <m/>
    <s v="N/A"/>
    <s v="28/09/2026 13:34:40"/>
    <m/>
    <m/>
    <s v="Informativo de ensaque de classificação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11/26"/>
    <n v="1"/>
    <s v="BAG"/>
    <m/>
    <n v="710"/>
    <n v="707.6"/>
    <x v="2"/>
    <x v="27"/>
    <x v="0"/>
    <s v="1000 - Aprovação"/>
    <s v="Sim"/>
    <s v="Recepção do lote"/>
    <m/>
    <s v="0"/>
    <m/>
    <s v="N/A"/>
    <s v="28/09/2026 14:26:05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13/26"/>
    <n v="1"/>
    <s v="BAG"/>
    <m/>
    <n v="713"/>
    <n v="707.6"/>
    <x v="2"/>
    <x v="27"/>
    <x v="0"/>
    <s v="1000 - Aprovação"/>
    <s v="Sim"/>
    <s v="Recepção do lote"/>
    <m/>
    <s v="0"/>
    <m/>
    <s v="N/A"/>
    <s v="28/09/2026 14:24:23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15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27:36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17/26"/>
    <n v="1"/>
    <s v="BAG"/>
    <m/>
    <n v="712.5"/>
    <n v="707.6"/>
    <x v="2"/>
    <x v="27"/>
    <x v="0"/>
    <s v="1000 - Aprovação"/>
    <s v="Sim"/>
    <s v="Recepção do lote"/>
    <m/>
    <s v="0"/>
    <m/>
    <s v="N/A"/>
    <s v="28/09/2026 14:23:53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19/26"/>
    <n v="1"/>
    <s v="BAG"/>
    <m/>
    <n v="713"/>
    <n v="707.6"/>
    <x v="2"/>
    <x v="27"/>
    <x v="0"/>
    <s v="1000 - Aprovação"/>
    <s v="Sim"/>
    <s v="Recepção do lote"/>
    <m/>
    <s v="0"/>
    <m/>
    <s v="N/A"/>
    <s v="28/09/2026 14:24:54"/>
    <m/>
    <m/>
    <s v="Informativo de ensaque clean para PA"/>
    <s v="null"/>
    <s v=""/>
    <m/>
  </r>
  <r>
    <s v="VALOREM - PATOS"/>
    <x v="0"/>
    <s v="SEMENTE DE MILHO HIBRIDO - P3845VYHR PC2 BB -"/>
    <x v="1"/>
    <s v="05P7622532"/>
    <s v="7345816-434001"/>
    <s v="INV26/26"/>
    <s v="C2"/>
    <s v="Informativo de ensaque clean para PA"/>
    <x v="1"/>
    <s v="STANDARD + P + D + L + L"/>
    <s v="EDSON JUNIOR PEREIRA LIMA"/>
    <x v="1"/>
    <s v="0025621/26"/>
    <n v="1"/>
    <s v="BAG"/>
    <m/>
    <n v="714.5"/>
    <n v="707.6"/>
    <x v="2"/>
    <x v="27"/>
    <x v="0"/>
    <s v="1000 - Aprovação"/>
    <s v="Sim"/>
    <s v="Recepção do lote"/>
    <m/>
    <s v="0"/>
    <m/>
    <s v="N/A"/>
    <s v="28/09/2026 14:22:32"/>
    <m/>
    <m/>
    <s v="Informativo de ensaque clean para PA"/>
    <s v="null"/>
    <s v=""/>
    <m/>
  </r>
  <r>
    <s v="VALOREM - PATOS"/>
    <x v="0"/>
    <s v="SEMENTE DE MILHO HIBRIDO - P3845VYHR PC2 60S -"/>
    <x v="1"/>
    <s v="05P7643456"/>
    <s v="7345816-434001"/>
    <s v="INV26/26"/>
    <s v="C2"/>
    <s v="Informativo de ensaque clean para PA"/>
    <x v="2"/>
    <s v="STANDARD + P + D + L + L"/>
    <s v="EDSON JUNIOR PEREIRA LIMA"/>
    <x v="1"/>
    <s v="0025623/26"/>
    <n v="19"/>
    <s v="SC"/>
    <m/>
    <n v="367"/>
    <n v="336.11"/>
    <x v="2"/>
    <x v="19"/>
    <x v="0"/>
    <s v="1000 - Aprovação"/>
    <s v="Sim"/>
    <s v="Recepção do lote"/>
    <m/>
    <s v="0"/>
    <m/>
    <s v="N/A"/>
    <s v="28/09/2026 14:08:45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28/26"/>
    <n v="1"/>
    <s v="BAG"/>
    <m/>
    <n v="791"/>
    <n v="786"/>
    <x v="2"/>
    <x v="28"/>
    <x v="0"/>
    <s v="1000 - Aprovação"/>
    <s v="Sim"/>
    <s v="Recepção do lote"/>
    <m/>
    <s v="0"/>
    <m/>
    <s v="N/A"/>
    <s v="28/09/2026 17:24:30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32/26"/>
    <n v="1"/>
    <s v="BAG"/>
    <m/>
    <n v="793"/>
    <n v="786"/>
    <x v="2"/>
    <x v="28"/>
    <x v="0"/>
    <s v="1000 - Aprovação"/>
    <s v="Sim"/>
    <s v="Recepção do lote"/>
    <m/>
    <s v="0"/>
    <m/>
    <s v="N/A"/>
    <s v="28/09/2026 17:24:01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36/26"/>
    <n v="1"/>
    <s v="BAG"/>
    <m/>
    <n v="790"/>
    <n v="786"/>
    <x v="2"/>
    <x v="28"/>
    <x v="0"/>
    <s v="1000 - Aprovação"/>
    <s v="Sim"/>
    <s v="Recepção do lote"/>
    <m/>
    <s v="0"/>
    <m/>
    <s v="N/A"/>
    <s v="28/09/2026 17:23:29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38/26"/>
    <n v="1"/>
    <s v="BAG"/>
    <m/>
    <n v="792"/>
    <n v="786"/>
    <x v="2"/>
    <x v="28"/>
    <x v="0"/>
    <s v="1000 - Aprovação"/>
    <s v="Sim"/>
    <s v="Recepção do lote"/>
    <m/>
    <s v="0"/>
    <m/>
    <s v="N/A"/>
    <s v="28/09/2026 17:21:41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42/26"/>
    <n v="1"/>
    <s v="BAG"/>
    <m/>
    <n v="790"/>
    <n v="786"/>
    <x v="2"/>
    <x v="28"/>
    <x v="0"/>
    <s v="1000 - Aprovação"/>
    <s v="Sim"/>
    <s v="Recepção do lote"/>
    <m/>
    <s v="0"/>
    <m/>
    <s v="N/A"/>
    <s v="28/09/2026 17:20:59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46/26"/>
    <n v="1"/>
    <s v="BAG"/>
    <m/>
    <n v="788"/>
    <n v="786"/>
    <x v="2"/>
    <x v="28"/>
    <x v="0"/>
    <s v="1000 - Aprovação"/>
    <s v="Sim"/>
    <s v="Recepção do lote"/>
    <m/>
    <s v="0"/>
    <m/>
    <s v="N/A"/>
    <s v="28/09/2026 17:20:35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48/26"/>
    <n v="1"/>
    <s v="BAG"/>
    <m/>
    <n v="790"/>
    <n v="786"/>
    <x v="2"/>
    <x v="28"/>
    <x v="0"/>
    <s v="1000 - Aprovação"/>
    <s v="Sim"/>
    <s v="Recepção do lote"/>
    <m/>
    <s v="0"/>
    <m/>
    <s v="N/A"/>
    <s v="28/09/2026 17:26:15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52/26"/>
    <n v="1"/>
    <s v="BAG"/>
    <m/>
    <n v="792"/>
    <n v="786"/>
    <x v="2"/>
    <x v="28"/>
    <x v="0"/>
    <s v="1000 - Aprovação"/>
    <s v="Sim"/>
    <s v="Recepção do lote"/>
    <m/>
    <s v="0"/>
    <m/>
    <s v="N/A"/>
    <s v="28/09/2026 17:20:06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54/26"/>
    <n v="1"/>
    <s v="BAG"/>
    <m/>
    <n v="787"/>
    <n v="786"/>
    <x v="2"/>
    <x v="28"/>
    <x v="0"/>
    <s v="1000 - Aprovação"/>
    <s v="Sim"/>
    <s v="Recepção do lote"/>
    <m/>
    <s v="0"/>
    <m/>
    <s v="N/A"/>
    <s v="28/09/2026 17:26:48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58/26"/>
    <n v="1"/>
    <s v="BAG"/>
    <m/>
    <n v="790"/>
    <n v="786"/>
    <x v="2"/>
    <x v="28"/>
    <x v="0"/>
    <s v="1000 - Aprovação"/>
    <s v="Sim"/>
    <s v="Recepção do lote"/>
    <m/>
    <s v="0"/>
    <m/>
    <s v="N/A"/>
    <s v="28/09/2026 17:25:48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60/26"/>
    <n v="1"/>
    <s v="BAG"/>
    <m/>
    <n v="790"/>
    <n v="786"/>
    <x v="2"/>
    <x v="28"/>
    <x v="0"/>
    <s v="1000 - Aprovação"/>
    <s v="Sim"/>
    <s v="Recepção do lote"/>
    <m/>
    <s v="0"/>
    <m/>
    <s v="N/A"/>
    <s v="28/09/2026 17:27:22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64/26"/>
    <n v="1"/>
    <s v="BAG"/>
    <m/>
    <n v="791"/>
    <n v="786"/>
    <x v="2"/>
    <x v="28"/>
    <x v="0"/>
    <s v="1000 - Aprovação"/>
    <s v="Sim"/>
    <s v="Recepção do lote"/>
    <m/>
    <s v="0"/>
    <m/>
    <s v="N/A"/>
    <s v="28/09/2026 17:22:23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66/26"/>
    <n v="1"/>
    <s v="BAG"/>
    <m/>
    <n v="791"/>
    <n v="786"/>
    <x v="2"/>
    <x v="28"/>
    <x v="0"/>
    <s v="1000 - Aprovação"/>
    <s v="Sim"/>
    <s v="Recepção do lote"/>
    <m/>
    <s v="0"/>
    <m/>
    <s v="N/A"/>
    <s v="28/09/2026 17:25:19"/>
    <m/>
    <m/>
    <s v="Informativo de ensaque clean para PA"/>
    <s v="null"/>
    <s v=""/>
    <m/>
  </r>
  <r>
    <s v="VALOREM - PATOS"/>
    <x v="0"/>
    <s v="SEMENTE DE MILHO HIBRIDO - P3845VYHR R2 BB -"/>
    <x v="1"/>
    <s v="05P7622452"/>
    <s v="7345816-434001"/>
    <s v="INV26/26"/>
    <s v="R2"/>
    <s v="Informativo de ensaque clean para PA"/>
    <x v="1"/>
    <s v="STANDARD + P + D + L + L"/>
    <s v="EDSON JUNIOR PEREIRA LIMA"/>
    <x v="1"/>
    <s v="0025668/26"/>
    <n v="1"/>
    <s v="BAG"/>
    <m/>
    <n v="793"/>
    <n v="786"/>
    <x v="2"/>
    <x v="28"/>
    <x v="0"/>
    <s v="1000 - Aprovação"/>
    <s v="Sim"/>
    <s v="Recepção do lote"/>
    <m/>
    <s v="0"/>
    <m/>
    <s v="N/A"/>
    <s v="28/09/2026 17:22:49"/>
    <m/>
    <m/>
    <s v="Informativo de ensaque clean para PA"/>
    <s v="null"/>
    <s v=""/>
    <m/>
  </r>
  <r>
    <s v="VALOREM - PATOS"/>
    <x v="0"/>
    <s v="SEMENTE DE MILHO HIBRIDO - P3845VYHR R2 60S -"/>
    <x v="1"/>
    <s v="05P7626427"/>
    <s v="7345816-434001"/>
    <s v="INV26/26"/>
    <s v="R2"/>
    <s v="Informativo de ensaque clean para PA"/>
    <x v="2"/>
    <s v="STANDARD + P + D + L + L"/>
    <s v="EDSON JUNIOR PEREIRA LIMA"/>
    <x v="1"/>
    <s v="0025672/26"/>
    <n v="29"/>
    <s v="SC"/>
    <m/>
    <n v="603"/>
    <n v="569.85"/>
    <x v="2"/>
    <x v="19"/>
    <x v="0"/>
    <s v="1000 - Aprovação"/>
    <s v="Sim"/>
    <s v="Recepção do lote"/>
    <m/>
    <s v="0"/>
    <m/>
    <s v="N/A"/>
    <s v="28/09/2026 16:23:30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73/26"/>
    <n v="1"/>
    <s v="BAG"/>
    <m/>
    <n v="714"/>
    <n v="711.2"/>
    <x v="2"/>
    <x v="29"/>
    <x v="0"/>
    <s v="1000 - Aprovação"/>
    <s v="Sim"/>
    <s v="Recepção do lote"/>
    <m/>
    <s v="0"/>
    <m/>
    <s v="N/A"/>
    <s v="29/09/2026 10:06:56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75/26"/>
    <n v="1"/>
    <s v="BAG"/>
    <m/>
    <n v="715"/>
    <n v="711.2"/>
    <x v="2"/>
    <x v="29"/>
    <x v="0"/>
    <s v="1000 - Aprovação"/>
    <s v="Sim"/>
    <s v="Recepção do lote"/>
    <m/>
    <s v="0"/>
    <m/>
    <s v="N/A"/>
    <s v="29/09/2026 10:03:57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77/26"/>
    <n v="1"/>
    <s v="BAG"/>
    <m/>
    <n v="715.5"/>
    <n v="711.2"/>
    <x v="2"/>
    <x v="29"/>
    <x v="0"/>
    <s v="1000 - Aprovação"/>
    <s v="Sim"/>
    <s v="Recepção do lote"/>
    <m/>
    <s v="0"/>
    <m/>
    <s v="N/A"/>
    <s v="29/09/2026 10:05:46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79/26"/>
    <n v="1"/>
    <s v="BAG"/>
    <m/>
    <n v="716"/>
    <n v="711.2"/>
    <x v="2"/>
    <x v="29"/>
    <x v="0"/>
    <s v="1000 - Aprovação"/>
    <s v="Sim"/>
    <s v="Recepção do lote"/>
    <m/>
    <s v="0"/>
    <m/>
    <s v="N/A"/>
    <s v="29/09/2026 10:05:24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81/26"/>
    <n v="1"/>
    <s v="BAG"/>
    <m/>
    <n v="717"/>
    <n v="711.2"/>
    <x v="2"/>
    <x v="29"/>
    <x v="0"/>
    <s v="1000 - Aprovação"/>
    <s v="Sim"/>
    <s v="Recepção do lote"/>
    <m/>
    <s v="0"/>
    <m/>
    <s v="N/A"/>
    <s v="29/09/2026 10:06:38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85/26"/>
    <n v="1"/>
    <s v="BAG"/>
    <m/>
    <n v="716"/>
    <n v="711.2"/>
    <x v="2"/>
    <x v="29"/>
    <x v="0"/>
    <s v="1000 - Aprovação"/>
    <s v="Sim"/>
    <s v="Recepção do lote"/>
    <m/>
    <s v="0"/>
    <m/>
    <s v="N/A"/>
    <s v="29/09/2026 10:06:03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87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10:07:16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89/26"/>
    <n v="1"/>
    <s v="BAG"/>
    <m/>
    <n v="716"/>
    <n v="711.2"/>
    <x v="2"/>
    <x v="29"/>
    <x v="0"/>
    <s v="1000 - Aprovação"/>
    <s v="Sim"/>
    <s v="Recepção do lote"/>
    <m/>
    <s v="0"/>
    <m/>
    <s v="N/A"/>
    <s v="29/09/2026 10:08:10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91/26"/>
    <n v="1"/>
    <s v="BAG"/>
    <m/>
    <n v="713"/>
    <n v="711.2"/>
    <x v="2"/>
    <x v="29"/>
    <x v="0"/>
    <s v="1000 - Aprovação"/>
    <s v="Sim"/>
    <s v="Recepção do lote"/>
    <m/>
    <s v="0"/>
    <m/>
    <s v="N/A"/>
    <s v="29/09/2026 10:09:04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93/26"/>
    <n v="1"/>
    <s v="BAG"/>
    <m/>
    <n v="715"/>
    <n v="711.2"/>
    <x v="2"/>
    <x v="29"/>
    <x v="0"/>
    <s v="1000 - Aprovação"/>
    <s v="Sim"/>
    <s v="Recepção do lote"/>
    <m/>
    <s v="0"/>
    <m/>
    <s v="N/A"/>
    <s v="29/09/2026 10:07:53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95/26"/>
    <n v="1"/>
    <s v="BAG"/>
    <m/>
    <n v="717"/>
    <n v="711.2"/>
    <x v="2"/>
    <x v="29"/>
    <x v="0"/>
    <s v="1000 - Aprovação"/>
    <s v="Sim"/>
    <s v="Recepção do lote"/>
    <m/>
    <s v="0"/>
    <m/>
    <s v="N/A"/>
    <s v="29/09/2026 10:25:44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97/26"/>
    <n v="1"/>
    <s v="BAG"/>
    <m/>
    <n v="714"/>
    <n v="711.2"/>
    <x v="2"/>
    <x v="29"/>
    <x v="0"/>
    <s v="1000 - Aprovação"/>
    <s v="Sim"/>
    <s v="Recepção do lote"/>
    <m/>
    <s v="0"/>
    <m/>
    <s v="N/A"/>
    <s v="29/09/2026 10:04:27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699/26"/>
    <n v="1"/>
    <s v="BAG"/>
    <m/>
    <n v="715"/>
    <n v="711.2"/>
    <x v="2"/>
    <x v="29"/>
    <x v="0"/>
    <s v="1000 - Aprovação"/>
    <s v="Sim"/>
    <s v="Recepção do lote"/>
    <m/>
    <s v="0"/>
    <m/>
    <s v="N/A"/>
    <s v="29/09/2026 10:06:22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01/26"/>
    <n v="1"/>
    <s v="BAG"/>
    <m/>
    <n v="715"/>
    <n v="711.2"/>
    <x v="2"/>
    <x v="29"/>
    <x v="0"/>
    <s v="1000 - Aprovação"/>
    <s v="Sim"/>
    <s v="Recepção do lote"/>
    <m/>
    <s v="0"/>
    <m/>
    <s v="N/A"/>
    <s v="29/09/2026 10:02:59"/>
    <m/>
    <m/>
    <s v="Informativo de ensaque clean para PA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03/26"/>
    <n v="1045"/>
    <s v="KG"/>
    <m/>
    <n v="1048"/>
    <n v="1045"/>
    <x v="0"/>
    <x v="0"/>
    <x v="0"/>
    <s v="1000 - Aprovação"/>
    <s v="Sim"/>
    <s v="Recepção do lote"/>
    <m/>
    <s v="0"/>
    <m/>
    <s v="N/A"/>
    <s v="29/09/2026 11:07:0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04/26"/>
    <n v="1049"/>
    <s v="KG"/>
    <m/>
    <n v="1052"/>
    <n v="1049"/>
    <x v="0"/>
    <x v="0"/>
    <x v="0"/>
    <s v="1000 - Aprovação"/>
    <s v="Sim"/>
    <s v="Recepção do lote"/>
    <m/>
    <s v="0"/>
    <m/>
    <s v="N/A"/>
    <s v="29/09/2026 11:05:3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05/26"/>
    <n v="1069"/>
    <s v="KG"/>
    <m/>
    <n v="1072"/>
    <n v="1069"/>
    <x v="0"/>
    <x v="0"/>
    <x v="0"/>
    <s v="1000 - Aprovação"/>
    <s v="Sim"/>
    <s v="Recepção do lote"/>
    <m/>
    <s v="0"/>
    <m/>
    <s v="N/A"/>
    <s v="29/09/2026 11:06:5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06/26"/>
    <n v="197"/>
    <s v="KG"/>
    <m/>
    <n v="200"/>
    <n v="197"/>
    <x v="0"/>
    <x v="0"/>
    <x v="0"/>
    <s v="1000 - Aprovação"/>
    <s v="Sim"/>
    <s v="Recepção do lote"/>
    <m/>
    <s v="0"/>
    <m/>
    <s v="N/A"/>
    <s v="29/09/2026 11:04:1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07/26"/>
    <n v="1045"/>
    <s v="KG"/>
    <m/>
    <n v="1048"/>
    <n v="1045"/>
    <x v="0"/>
    <x v="0"/>
    <x v="0"/>
    <s v="1000 - Aprovação"/>
    <s v="Sim"/>
    <s v="Recepção do lote"/>
    <m/>
    <s v="0"/>
    <m/>
    <s v="N/A"/>
    <s v="29/09/2026 11:06:0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08/26"/>
    <n v="1049"/>
    <s v="KG"/>
    <m/>
    <n v="1052"/>
    <n v="1049"/>
    <x v="0"/>
    <x v="0"/>
    <x v="0"/>
    <s v="1000 - Aprovação"/>
    <s v="Sim"/>
    <s v="Recepção do lote"/>
    <m/>
    <s v="0"/>
    <m/>
    <s v="N/A"/>
    <s v="29/09/2026 11:03:1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09/26"/>
    <n v="1201"/>
    <s v="KG"/>
    <m/>
    <n v="1204"/>
    <n v="1201"/>
    <x v="0"/>
    <x v="0"/>
    <x v="0"/>
    <s v="1000 - Aprovação"/>
    <s v="Sim"/>
    <s v="Recepção do lote"/>
    <m/>
    <s v="0"/>
    <m/>
    <s v="N/A"/>
    <s v="29/09/2026 11:03:2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0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1:04:5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1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1:05:1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2/26"/>
    <n v="1199"/>
    <s v="KG"/>
    <m/>
    <n v="1202"/>
    <n v="1199"/>
    <x v="0"/>
    <x v="0"/>
    <x v="0"/>
    <s v="1000 - Aprovação"/>
    <s v="Sim"/>
    <s v="Recepção do lote"/>
    <m/>
    <s v="0"/>
    <m/>
    <s v="N/A"/>
    <s v="29/09/2026 11:03:3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3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1:03:0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4/26"/>
    <n v="1199"/>
    <s v="KG"/>
    <m/>
    <n v="1202"/>
    <n v="1199"/>
    <x v="0"/>
    <x v="0"/>
    <x v="0"/>
    <s v="1000 - Aprovação"/>
    <s v="Sim"/>
    <s v="Recepção do lote"/>
    <m/>
    <s v="0"/>
    <m/>
    <s v="N/A"/>
    <s v="29/09/2026 11:03:5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5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1:05:0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6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1:04:0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7/26"/>
    <n v="1199"/>
    <s v="KG"/>
    <m/>
    <n v="1202"/>
    <n v="1199"/>
    <x v="0"/>
    <x v="0"/>
    <x v="0"/>
    <s v="1000 - Aprovação"/>
    <s v="Sim"/>
    <s v="Recepção do lote"/>
    <m/>
    <s v="0"/>
    <m/>
    <s v="N/A"/>
    <s v="29/09/2026 11:02:5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8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1:00:5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19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1:06:2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0/26"/>
    <n v="1202"/>
    <s v="KG"/>
    <m/>
    <n v="1205"/>
    <n v="1202"/>
    <x v="0"/>
    <x v="0"/>
    <x v="0"/>
    <s v="1000 - Aprovação"/>
    <s v="Sim"/>
    <s v="Recepção do lote"/>
    <m/>
    <s v="0"/>
    <m/>
    <s v="N/A"/>
    <s v="29/09/2026 11:00:4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1/26"/>
    <n v="1202"/>
    <s v="KG"/>
    <m/>
    <n v="1205"/>
    <n v="1202"/>
    <x v="0"/>
    <x v="0"/>
    <x v="0"/>
    <s v="1000 - Aprovação"/>
    <s v="Sim"/>
    <s v="Recepção do lote"/>
    <m/>
    <s v="0"/>
    <m/>
    <s v="N/A"/>
    <s v="29/09/2026 11:02:0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2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1:01:4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3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1:01:5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4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1:00:0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5/26"/>
    <n v="1181"/>
    <s v="KG"/>
    <m/>
    <n v="1184"/>
    <n v="1181"/>
    <x v="0"/>
    <x v="0"/>
    <x v="0"/>
    <s v="1000 - Aprovação"/>
    <s v="Sim"/>
    <s v="Recepção do lote"/>
    <m/>
    <s v="0"/>
    <m/>
    <s v="N/A"/>
    <s v="29/09/2026 10:59:1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6/26"/>
    <n v="1195"/>
    <s v="KG"/>
    <m/>
    <n v="1198"/>
    <n v="1195"/>
    <x v="0"/>
    <x v="0"/>
    <x v="0"/>
    <s v="1000 - Aprovação"/>
    <s v="Sim"/>
    <s v="Recepção do lote"/>
    <m/>
    <s v="0"/>
    <m/>
    <s v="N/A"/>
    <s v="29/09/2026 11:04:2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7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1:05:5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8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1:03:4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29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1:02:2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0/26"/>
    <n v="1196"/>
    <s v="KG"/>
    <m/>
    <n v="1199"/>
    <n v="1196"/>
    <x v="0"/>
    <x v="0"/>
    <x v="0"/>
    <s v="1000 - Aprovação"/>
    <s v="Sim"/>
    <s v="Recepção do lote"/>
    <m/>
    <s v="0"/>
    <m/>
    <s v="N/A"/>
    <s v="29/09/2026 11:04:3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1/26"/>
    <n v="556"/>
    <s v="KG"/>
    <m/>
    <n v="559"/>
    <n v="556"/>
    <x v="0"/>
    <x v="0"/>
    <x v="0"/>
    <s v="1000 - Aprovação"/>
    <s v="Sim"/>
    <s v="Recepção do lote"/>
    <m/>
    <s v="0"/>
    <m/>
    <s v="N/A"/>
    <s v="29/09/2026 11:07:1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2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1:06:1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GUILHERME ALFENAS DE OLIVEIRA"/>
    <x v="1"/>
    <s v="0025733/26"/>
    <n v="1200"/>
    <s v="KG"/>
    <m/>
    <n v="1203"/>
    <n v="1200"/>
    <x v="0"/>
    <x v="0"/>
    <x v="1"/>
    <s v="1000 - Aprovação"/>
    <s v="Sim"/>
    <s v="Inicial"/>
    <m/>
    <s v="0"/>
    <m/>
    <s v="N/A"/>
    <s v="28/09/2026 16:02:46"/>
    <m/>
    <s v="RECEPÇÃO DE MOVIMENTAÇÃO INTERNA ENTRE UNIDADES"/>
    <s v=""/>
    <m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4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1:01:1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GUILHERME ALFENAS DE OLIVEIRA"/>
    <x v="1"/>
    <s v="0025735/26"/>
    <n v="1200"/>
    <s v="KG"/>
    <m/>
    <n v="1203"/>
    <n v="1200"/>
    <x v="0"/>
    <x v="0"/>
    <x v="1"/>
    <s v="1000 - Aprovação"/>
    <s v="Sim"/>
    <s v="Inicial"/>
    <m/>
    <s v="0"/>
    <m/>
    <s v="N/A"/>
    <s v="28/09/2026 16:02:47"/>
    <m/>
    <s v="RECEPÇÃO DE MOVIMENTAÇÃO INTERNA ENTRE UNIDADES"/>
    <s v=""/>
    <m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6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1:01:3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7/26"/>
    <n v="1202"/>
    <s v="KG"/>
    <m/>
    <n v="1205"/>
    <n v="1202"/>
    <x v="0"/>
    <x v="0"/>
    <x v="0"/>
    <s v="1000 - Aprovação"/>
    <s v="Sim"/>
    <s v="Recepção do lote"/>
    <m/>
    <s v="0"/>
    <m/>
    <s v="N/A"/>
    <s v="29/09/2026 11:07:3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8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1:05:2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39/26"/>
    <n v="1201"/>
    <s v="KG"/>
    <m/>
    <n v="1204"/>
    <n v="1201"/>
    <x v="0"/>
    <x v="0"/>
    <x v="0"/>
    <s v="1000 - Aprovação"/>
    <s v="Sim"/>
    <s v="Recepção do lote"/>
    <m/>
    <s v="0"/>
    <m/>
    <s v="N/A"/>
    <s v="29/09/2026 11:06:4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40/26"/>
    <n v="1199"/>
    <s v="KG"/>
    <m/>
    <n v="1202"/>
    <n v="1199"/>
    <x v="0"/>
    <x v="0"/>
    <x v="0"/>
    <s v="1000 - Aprovação"/>
    <s v="Sim"/>
    <s v="Recepção do lote"/>
    <m/>
    <s v="0"/>
    <m/>
    <s v="N/A"/>
    <s v="29/09/2026 11:02:3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41/26"/>
    <n v="1201"/>
    <s v="KG"/>
    <m/>
    <n v="1204"/>
    <n v="1201"/>
    <x v="0"/>
    <x v="0"/>
    <x v="0"/>
    <s v="1000 - Aprovação"/>
    <s v="Sim"/>
    <s v="Recepção do lote"/>
    <m/>
    <s v="0"/>
    <m/>
    <s v="N/A"/>
    <s v="29/09/2026 11:07:2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742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1:06:34"/>
    <m/>
    <m/>
    <s v="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43/26"/>
    <n v="1"/>
    <s v="BAG"/>
    <m/>
    <n v="716"/>
    <n v="711.2"/>
    <x v="2"/>
    <x v="29"/>
    <x v="0"/>
    <s v="1000 - Aprovação"/>
    <s v="Sim"/>
    <s v="Recepção do lote"/>
    <m/>
    <s v="0"/>
    <m/>
    <s v="N/A"/>
    <s v="29/09/2026 10:02:39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45/26"/>
    <n v="1"/>
    <s v="BAG"/>
    <m/>
    <n v="716"/>
    <n v="711.2"/>
    <x v="2"/>
    <x v="29"/>
    <x v="0"/>
    <s v="1000 - Aprovação"/>
    <s v="Sim"/>
    <s v="Recepção do lote"/>
    <m/>
    <s v="0"/>
    <m/>
    <s v="N/A"/>
    <s v="29/09/2026 10:05:04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47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10:02:00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49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10:09:36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51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10:01:43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53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10:00:46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55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09:59:43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57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10:01:03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61/26"/>
    <n v="1"/>
    <s v="BAG"/>
    <m/>
    <n v="714"/>
    <n v="711.2"/>
    <x v="2"/>
    <x v="29"/>
    <x v="0"/>
    <s v="1000 - Aprovação"/>
    <s v="Sim"/>
    <s v="Recepção do lote"/>
    <m/>
    <s v="0"/>
    <m/>
    <s v="N/A"/>
    <s v="29/09/2026 10:00:02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63/26"/>
    <n v="1"/>
    <s v="BAG"/>
    <m/>
    <n v="716"/>
    <n v="711.2"/>
    <x v="2"/>
    <x v="29"/>
    <x v="0"/>
    <s v="1000 - Aprovação"/>
    <s v="Sim"/>
    <s v="Recepção do lote"/>
    <m/>
    <s v="0"/>
    <m/>
    <s v="N/A"/>
    <s v="29/09/2026 10:00:23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65/26"/>
    <n v="1"/>
    <s v="BAG"/>
    <m/>
    <n v="718"/>
    <n v="711.2"/>
    <x v="2"/>
    <x v="29"/>
    <x v="0"/>
    <s v="1000 - Aprovação"/>
    <s v="Sim"/>
    <s v="Recepção do lote"/>
    <m/>
    <s v="0"/>
    <m/>
    <s v="N/A"/>
    <s v="29/09/2026 10:03:35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67/26"/>
    <n v="1"/>
    <s v="BAG"/>
    <m/>
    <n v="715"/>
    <n v="711.2"/>
    <x v="2"/>
    <x v="29"/>
    <x v="0"/>
    <s v="1000 - Aprovação"/>
    <s v="Sim"/>
    <s v="Recepção do lote"/>
    <m/>
    <s v="0"/>
    <m/>
    <s v="N/A"/>
    <s v="29/09/2026 10:04:45"/>
    <m/>
    <m/>
    <s v="Informativo de ensaque clean para PA"/>
    <s v="null"/>
    <s v=""/>
    <m/>
  </r>
  <r>
    <s v="VALOREM - PATOS"/>
    <x v="0"/>
    <s v="SEMENTE DE MILHO HIBRIDO - P3845VYHR PC2 BB -"/>
    <x v="1"/>
    <s v="05P7622533"/>
    <s v="7345816-434001"/>
    <s v="INV26/26"/>
    <s v="C2"/>
    <s v="Informativo de ensaque clean para PA"/>
    <x v="1"/>
    <s v="STANDARD + P + D + L + L"/>
    <s v="GABRIELA OHANA SILVA PIMENTA"/>
    <x v="1"/>
    <s v="0025769/26"/>
    <n v="1"/>
    <s v="BAG"/>
    <m/>
    <n v="715"/>
    <n v="711.2"/>
    <x v="2"/>
    <x v="29"/>
    <x v="0"/>
    <s v="1000 - Aprovação"/>
    <s v="Sim"/>
    <s v="Recepção do lote"/>
    <m/>
    <s v="0"/>
    <m/>
    <s v="N/A"/>
    <s v="29/09/2026 10:01:21"/>
    <m/>
    <m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71/26"/>
    <n v="1188"/>
    <s v="KG"/>
    <m/>
    <n v="1191"/>
    <n v="1188"/>
    <x v="0"/>
    <x v="0"/>
    <x v="0"/>
    <s v="1000 - Aprovação"/>
    <s v="Sim"/>
    <s v="Recepção do lote"/>
    <m/>
    <s v="0"/>
    <m/>
    <s v="N/A"/>
    <s v="29/09/2026 14:09:11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73/26"/>
    <n v="1105"/>
    <s v="KG"/>
    <m/>
    <n v="1108"/>
    <n v="1105"/>
    <x v="0"/>
    <x v="0"/>
    <x v="0"/>
    <s v="1000 - Aprovação"/>
    <s v="Sim"/>
    <s v="Recepção do lote"/>
    <m/>
    <s v="0"/>
    <m/>
    <s v="N/A"/>
    <s v="29/09/2026 14:09:50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75/26"/>
    <n v="1161"/>
    <s v="KG"/>
    <m/>
    <n v="1164"/>
    <n v="1161"/>
    <x v="0"/>
    <x v="0"/>
    <x v="0"/>
    <s v="1000 - Aprovação"/>
    <s v="Sim"/>
    <s v="Recepção do lote"/>
    <m/>
    <s v="0"/>
    <m/>
    <s v="N/A"/>
    <s v="29/09/2026 14:08:33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77/26"/>
    <n v="1103"/>
    <s v="KG"/>
    <m/>
    <n v="1106"/>
    <n v="1103"/>
    <x v="0"/>
    <x v="0"/>
    <x v="0"/>
    <s v="1000 - Aprovação"/>
    <s v="Sim"/>
    <s v="Recepção do lote"/>
    <m/>
    <s v="0"/>
    <m/>
    <s v="N/A"/>
    <s v="29/09/2026 14:11:38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79/26"/>
    <n v="1104"/>
    <s v="KG"/>
    <m/>
    <n v="1107"/>
    <n v="1104"/>
    <x v="0"/>
    <x v="0"/>
    <x v="0"/>
    <s v="1000 - Aprovação"/>
    <s v="Sim"/>
    <s v="Recepção do lote"/>
    <m/>
    <s v="0"/>
    <m/>
    <s v="N/A"/>
    <s v="29/09/2026 14:12:12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81/26"/>
    <n v="1113"/>
    <s v="KG"/>
    <m/>
    <n v="1116"/>
    <n v="1113"/>
    <x v="0"/>
    <x v="0"/>
    <x v="0"/>
    <s v="1000 - Aprovação"/>
    <s v="Sim"/>
    <s v="Recepção do lote"/>
    <m/>
    <s v="0"/>
    <m/>
    <s v="N/A"/>
    <s v="29/09/2026 14:10:26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83/26"/>
    <n v="1103"/>
    <s v="KG"/>
    <m/>
    <n v="1106"/>
    <n v="1103"/>
    <x v="0"/>
    <x v="0"/>
    <x v="0"/>
    <s v="1000 - Aprovação"/>
    <s v="Sim"/>
    <s v="Recepção do lote"/>
    <m/>
    <s v="0"/>
    <m/>
    <s v="N/A"/>
    <s v="29/09/2026 14:11:02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85/26"/>
    <n v="1151"/>
    <s v="KG"/>
    <m/>
    <n v="1154"/>
    <n v="1151"/>
    <x v="0"/>
    <x v="0"/>
    <x v="0"/>
    <s v="1000 - Aprovação"/>
    <s v="Sim"/>
    <s v="Recepção do lote"/>
    <m/>
    <s v="0"/>
    <m/>
    <s v="N/A"/>
    <s v="29/09/2026 14:15:11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87/26"/>
    <n v="1151"/>
    <s v="KG"/>
    <m/>
    <n v="1154"/>
    <n v="1151"/>
    <x v="0"/>
    <x v="0"/>
    <x v="0"/>
    <s v="1000 - Aprovação"/>
    <s v="Sim"/>
    <s v="Recepção do lote"/>
    <m/>
    <s v="0"/>
    <m/>
    <s v="N/A"/>
    <s v="29/09/2026 14:15:48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89/26"/>
    <n v="1150"/>
    <s v="KG"/>
    <m/>
    <n v="1153"/>
    <n v="1150"/>
    <x v="0"/>
    <x v="0"/>
    <x v="0"/>
    <s v="1000 - Aprovação"/>
    <s v="Sim"/>
    <s v="Recepção do lote"/>
    <m/>
    <s v="0"/>
    <m/>
    <s v="N/A"/>
    <s v="29/09/2026 14:12:47"/>
    <m/>
    <m/>
    <s v="Informativo de ensaque de classificação"/>
    <s v="null"/>
    <s v=""/>
    <m/>
  </r>
  <r>
    <s v="VALOREM - PATOS"/>
    <x v="0"/>
    <s v="SEMENTE DE MILHO HIBRIDO - P3845VYHR PC2 60S -"/>
    <x v="1"/>
    <s v="05P7643458"/>
    <s v="7345816-434001"/>
    <s v="INV26/26"/>
    <s v="C2"/>
    <s v="Informativo de ensaque clean para PA"/>
    <x v="2"/>
    <s v="STANDARD + P + D + L + L"/>
    <s v="GABRIELA OHANA SILVA PIMENTA"/>
    <x v="1"/>
    <s v="0025791/26"/>
    <n v="3"/>
    <s v="SC"/>
    <m/>
    <n v="87"/>
    <n v="53.34"/>
    <x v="2"/>
    <x v="19"/>
    <x v="0"/>
    <s v="1000 - Aprovação"/>
    <s v="Sim"/>
    <s v="Recepção do lote"/>
    <m/>
    <s v="0"/>
    <m/>
    <s v="N/A"/>
    <s v="29/09/2026 10:42:40"/>
    <m/>
    <m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92/26"/>
    <n v="1127"/>
    <s v="KG"/>
    <m/>
    <n v="1130"/>
    <n v="1127"/>
    <x v="0"/>
    <x v="0"/>
    <x v="0"/>
    <s v="1000 - Aprovação"/>
    <s v="Sim"/>
    <s v="Recepção do lote"/>
    <m/>
    <s v="0"/>
    <m/>
    <s v="N/A"/>
    <s v="29/09/2026 14:14:29"/>
    <m/>
    <m/>
    <s v="Informativo de ensaque de classificação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794/26"/>
    <n v="1"/>
    <s v="BAG"/>
    <m/>
    <n v="785"/>
    <n v="780.4"/>
    <x v="2"/>
    <x v="28"/>
    <x v="0"/>
    <s v="1000 - Aprovação"/>
    <s v="Sim"/>
    <s v="Alocação física"/>
    <m/>
    <s v="0"/>
    <m/>
    <s v="N/A"/>
    <s v="29/09/2026 13:30:37"/>
    <m/>
    <s v=""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796/26"/>
    <n v="1152"/>
    <s v="KG"/>
    <m/>
    <n v="1155"/>
    <n v="1152"/>
    <x v="0"/>
    <x v="0"/>
    <x v="0"/>
    <s v="1000 - Aprovação"/>
    <s v="Sim"/>
    <s v="Recepção do lote"/>
    <m/>
    <s v="0"/>
    <m/>
    <s v="N/A"/>
    <s v="29/09/2026 14:17:21"/>
    <m/>
    <m/>
    <s v="Informativo de ensaque de classificação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798/26"/>
    <n v="1"/>
    <s v="BAG"/>
    <m/>
    <n v="787"/>
    <n v="780.4"/>
    <x v="2"/>
    <x v="28"/>
    <x v="0"/>
    <s v="1000 - Aprovação"/>
    <s v="Sim"/>
    <s v="Alocação física"/>
    <m/>
    <s v="0"/>
    <m/>
    <s v="N/A"/>
    <s v="29/09/2026 13:30:33"/>
    <m/>
    <s v=""/>
    <s v="Informativo de ensaque clean para PA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00/26"/>
    <n v="1"/>
    <s v="BAG"/>
    <m/>
    <n v="787"/>
    <n v="780.4"/>
    <x v="2"/>
    <x v="28"/>
    <x v="0"/>
    <s v="1000 - Aprovação"/>
    <s v="Sim"/>
    <s v="Alocação física"/>
    <m/>
    <s v="0"/>
    <m/>
    <s v="N/A"/>
    <s v="29/09/2026 13:30:46"/>
    <m/>
    <s v=""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802/26"/>
    <n v="1151"/>
    <s v="KG"/>
    <m/>
    <n v="1154"/>
    <n v="1151"/>
    <x v="0"/>
    <x v="0"/>
    <x v="0"/>
    <s v="1000 - Aprovação"/>
    <s v="Sim"/>
    <s v="Recepção do lote"/>
    <m/>
    <s v="0"/>
    <m/>
    <s v="N/A"/>
    <s v="29/09/2026 14:17:52"/>
    <m/>
    <m/>
    <s v="Informativo de ensaque de classificação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04/26"/>
    <n v="1"/>
    <s v="BAG"/>
    <m/>
    <n v="786"/>
    <n v="780.4"/>
    <x v="2"/>
    <x v="28"/>
    <x v="0"/>
    <s v="1000 - Aprovação"/>
    <s v="Sim"/>
    <s v="Alocação física"/>
    <m/>
    <s v="0"/>
    <m/>
    <s v="N/A"/>
    <s v="29/09/2026 13:30:29"/>
    <m/>
    <s v=""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806/26"/>
    <n v="1151"/>
    <s v="KG"/>
    <m/>
    <n v="1154"/>
    <n v="1151"/>
    <x v="0"/>
    <x v="0"/>
    <x v="0"/>
    <s v="1000 - Aprovação"/>
    <s v="Sim"/>
    <s v="Recepção do lote"/>
    <m/>
    <s v="0"/>
    <m/>
    <s v="N/A"/>
    <s v="29/09/2026 14:20:38"/>
    <m/>
    <m/>
    <s v="Informativo de ensaque de classificação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08/26"/>
    <n v="1"/>
    <s v="BAG"/>
    <m/>
    <n v="787"/>
    <n v="780.4"/>
    <x v="2"/>
    <x v="28"/>
    <x v="0"/>
    <s v="1000 - Aprovação"/>
    <s v="Sim"/>
    <s v="Alocação física"/>
    <m/>
    <s v="0"/>
    <m/>
    <s v="N/A"/>
    <s v="29/09/2026 13:30:25"/>
    <m/>
    <s v=""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810/26"/>
    <n v="1126"/>
    <s v="KG"/>
    <m/>
    <n v="1129"/>
    <n v="1126"/>
    <x v="0"/>
    <x v="0"/>
    <x v="0"/>
    <s v="1000 - Aprovação"/>
    <s v="Sim"/>
    <s v="Recepção do lote"/>
    <m/>
    <s v="0"/>
    <m/>
    <s v="N/A"/>
    <s v="29/09/2026 14:21:11"/>
    <m/>
    <m/>
    <s v="Informativo de ensaque de classificação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812/26"/>
    <n v="1156"/>
    <s v="KG"/>
    <m/>
    <n v="1159"/>
    <n v="1156"/>
    <x v="0"/>
    <x v="0"/>
    <x v="0"/>
    <s v="1000 - Aprovação"/>
    <s v="Sim"/>
    <s v="Recepção do lote"/>
    <m/>
    <s v="0"/>
    <m/>
    <s v="N/A"/>
    <s v="29/09/2026 14:22:08"/>
    <m/>
    <m/>
    <s v="Informativo de ensaque de classificação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14/26"/>
    <n v="1"/>
    <s v="BAG"/>
    <m/>
    <n v="788"/>
    <n v="780.4"/>
    <x v="2"/>
    <x v="28"/>
    <x v="0"/>
    <s v="1000 - Aprovação"/>
    <s v="Sim"/>
    <s v="Alocação física"/>
    <m/>
    <s v="0"/>
    <m/>
    <s v="N/A"/>
    <s v="29/09/2026 13:30:49"/>
    <m/>
    <s v=""/>
    <s v="Informativo de ensaque clean para PA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16/26"/>
    <n v="1"/>
    <s v="BAG"/>
    <m/>
    <n v="787"/>
    <n v="780.4"/>
    <x v="2"/>
    <x v="28"/>
    <x v="0"/>
    <s v="1000 - Aprovação"/>
    <s v="Sim"/>
    <s v="Alocação física"/>
    <m/>
    <s v="0"/>
    <m/>
    <s v="N/A"/>
    <s v="29/09/2026 13:30:42"/>
    <m/>
    <s v=""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818/26"/>
    <n v="1134"/>
    <s v="KG"/>
    <m/>
    <n v="1137"/>
    <n v="1134"/>
    <x v="0"/>
    <x v="0"/>
    <x v="0"/>
    <s v="1000 - Aprovação"/>
    <s v="Sim"/>
    <s v="Recepção do lote"/>
    <m/>
    <s v="0"/>
    <m/>
    <s v="N/A"/>
    <s v="29/09/2026 14:18:45"/>
    <m/>
    <m/>
    <s v="Informativo de ensaque de classificação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20/26"/>
    <n v="1"/>
    <s v="BAG"/>
    <m/>
    <n v="784"/>
    <n v="780.4"/>
    <x v="2"/>
    <x v="28"/>
    <x v="0"/>
    <s v="1000 - Aprovação"/>
    <s v="Sim"/>
    <s v="Alocação física"/>
    <m/>
    <s v="0"/>
    <m/>
    <s v="N/A"/>
    <s v="29/09/2026 13:30:54"/>
    <m/>
    <s v=""/>
    <s v="Informativo de ensaque clean para PA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22/26"/>
    <n v="1"/>
    <s v="BAG"/>
    <m/>
    <n v="785"/>
    <n v="780.4"/>
    <x v="2"/>
    <x v="28"/>
    <x v="0"/>
    <s v="1000 - Aprovação"/>
    <s v="Sim"/>
    <s v="Alocação física"/>
    <m/>
    <s v="0"/>
    <m/>
    <s v="N/A"/>
    <s v="29/09/2026 13:30:58"/>
    <m/>
    <s v=""/>
    <s v="Informativo de ensaque clean para PA"/>
    <s v="null"/>
    <s v=""/>
    <m/>
  </r>
  <r>
    <s v="VALOREM - PATOS"/>
    <x v="0"/>
    <s v="GRAO DESTINADO A SEMENTE -  P3845VYHR -"/>
    <x v="1"/>
    <s v="V3I6CC0381"/>
    <s v="7345816-434001"/>
    <s v="INV26/26"/>
    <s v="C2"/>
    <s v="Informativo de ensaque de classificação"/>
    <x v="0"/>
    <s v="PREVENTIVO"/>
    <s v="GABRIELA OHANA SILVA PIMENTA"/>
    <x v="1"/>
    <s v="0025824/26"/>
    <n v="1033"/>
    <s v="KG"/>
    <m/>
    <n v="1036"/>
    <n v="1033"/>
    <x v="0"/>
    <x v="0"/>
    <x v="0"/>
    <s v="1000 - Aprovação"/>
    <s v="Sim"/>
    <s v="Recepção do lote"/>
    <m/>
    <s v="0"/>
    <m/>
    <s v="N/A"/>
    <s v="29/09/2026 14:20:01"/>
    <m/>
    <m/>
    <s v="Informativo de ensaque de classificação"/>
    <s v="null"/>
    <s v=""/>
    <m/>
  </r>
  <r>
    <s v="VALOREM - PATOS"/>
    <x v="0"/>
    <s v="SEMENTE DE MILHO HIBRIDO - P3845VYHR R2 BB -"/>
    <x v="1"/>
    <s v="05P7622453"/>
    <s v="7345816-434001"/>
    <s v="INV26/26"/>
    <s v="R2"/>
    <s v="Informativo de ensaque clean para PA"/>
    <x v="1"/>
    <s v="STANDARD + P + D + L + L"/>
    <s v="GABRIELA OHANA SILVA PIMENTA"/>
    <x v="1"/>
    <s v="0025826/26"/>
    <n v="1"/>
    <s v="BAG"/>
    <m/>
    <n v="783"/>
    <n v="780.4"/>
    <x v="2"/>
    <x v="28"/>
    <x v="0"/>
    <s v="1000 - Aprovação"/>
    <s v="Sim"/>
    <s v="Alocação física"/>
    <m/>
    <s v="0"/>
    <m/>
    <s v="N/A"/>
    <s v="29/09/2026 13:31:01"/>
    <m/>
    <s v=""/>
    <s v="Informativo de ensaque clean para PA"/>
    <s v="null"/>
    <s v=""/>
    <m/>
  </r>
  <r>
    <s v="VALOREM - PATOS"/>
    <x v="0"/>
    <s v="SEMENTE DE MILHO HIBRIDO - P3845VYHR R2 60S -"/>
    <x v="1"/>
    <s v="05P7626428"/>
    <s v="7345816-434001"/>
    <s v="INV26/26"/>
    <s v="R2"/>
    <s v="Informativo de ensaque clean para PA"/>
    <x v="2"/>
    <s v="STANDARD + P + D + L + L"/>
    <s v="GABRIELA OHANA SILVA PIMENTA"/>
    <x v="1"/>
    <s v="0025828/26"/>
    <n v="8"/>
    <s v="SC"/>
    <m/>
    <n v="185"/>
    <n v="156.08000000000001"/>
    <x v="2"/>
    <x v="19"/>
    <x v="0"/>
    <s v="1000 - Aprovação"/>
    <s v="Sim"/>
    <s v="Recepção do lote"/>
    <m/>
    <s v="0"/>
    <m/>
    <s v="N/A"/>
    <s v="29/09/2026 16:29:38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31/26"/>
    <n v="1"/>
    <s v="BAG"/>
    <m/>
    <n v="802"/>
    <n v="794.8"/>
    <x v="2"/>
    <x v="22"/>
    <x v="0"/>
    <s v="1000 - Aprovação"/>
    <s v="Sim"/>
    <s v="Recepção do lote"/>
    <m/>
    <s v="0"/>
    <m/>
    <s v="N/A"/>
    <s v="29/09/2026 16:02:47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35/26"/>
    <n v="1"/>
    <s v="BAG"/>
    <m/>
    <n v="799"/>
    <n v="794.8"/>
    <x v="2"/>
    <x v="22"/>
    <x v="0"/>
    <s v="1000 - Aprovação"/>
    <s v="Sim"/>
    <s v="Recepção do lote"/>
    <m/>
    <s v="0"/>
    <m/>
    <s v="N/A"/>
    <s v="29/09/2026 16:01:17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37/26"/>
    <n v="1"/>
    <s v="BAG"/>
    <m/>
    <n v="799"/>
    <n v="794.8"/>
    <x v="2"/>
    <x v="22"/>
    <x v="0"/>
    <s v="1000 - Aprovação"/>
    <s v="Sim"/>
    <s v="Recepção do lote"/>
    <m/>
    <s v="0"/>
    <m/>
    <s v="N/A"/>
    <s v="29/09/2026 16:23:02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41/26"/>
    <n v="1"/>
    <s v="BAG"/>
    <m/>
    <n v="799"/>
    <n v="794.8"/>
    <x v="2"/>
    <x v="22"/>
    <x v="0"/>
    <s v="1000 - Aprovação"/>
    <s v="Sim"/>
    <s v="Recepção do lote"/>
    <m/>
    <s v="0"/>
    <m/>
    <s v="N/A"/>
    <s v="29/09/2026 16:21:45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45/26"/>
    <n v="1"/>
    <s v="BAG"/>
    <m/>
    <n v="802"/>
    <n v="794.8"/>
    <x v="2"/>
    <x v="22"/>
    <x v="0"/>
    <s v="1000 - Aprovação"/>
    <s v="Sim"/>
    <s v="Recepção do lote"/>
    <m/>
    <s v="0"/>
    <m/>
    <s v="N/A"/>
    <s v="29/09/2026 16:02:05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47/26"/>
    <n v="1"/>
    <s v="BAG"/>
    <m/>
    <n v="802"/>
    <n v="794.8"/>
    <x v="2"/>
    <x v="22"/>
    <x v="0"/>
    <s v="1000 - Aprovação"/>
    <s v="Sim"/>
    <s v="Recepção do lote"/>
    <m/>
    <s v="0"/>
    <m/>
    <s v="N/A"/>
    <s v="29/09/2026 16:23:54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51/26"/>
    <n v="1"/>
    <s v="BAG"/>
    <m/>
    <n v="802"/>
    <n v="794.8"/>
    <x v="2"/>
    <x v="22"/>
    <x v="0"/>
    <s v="1000 - Aprovação"/>
    <s v="Sim"/>
    <s v="Recepção do lote"/>
    <m/>
    <s v="0"/>
    <m/>
    <s v="N/A"/>
    <s v="29/09/2026 16:09:08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53/26"/>
    <n v="1"/>
    <s v="BAG"/>
    <m/>
    <n v="802"/>
    <n v="794.8"/>
    <x v="2"/>
    <x v="22"/>
    <x v="0"/>
    <s v="1000 - Aprovação"/>
    <s v="Sim"/>
    <s v="Recepção do lote"/>
    <m/>
    <s v="0"/>
    <m/>
    <s v="N/A"/>
    <s v="29/09/2026 16:11:03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57/26"/>
    <n v="1"/>
    <s v="BAG"/>
    <m/>
    <n v="799"/>
    <n v="794.8"/>
    <x v="2"/>
    <x v="22"/>
    <x v="0"/>
    <s v="1000 - Aprovação"/>
    <s v="Sim"/>
    <s v="Recepção do lote"/>
    <m/>
    <s v="0"/>
    <m/>
    <s v="N/A"/>
    <s v="29/09/2026 16:10:07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59/26"/>
    <n v="1"/>
    <s v="BAG"/>
    <m/>
    <n v="800"/>
    <n v="794.8"/>
    <x v="2"/>
    <x v="22"/>
    <x v="0"/>
    <s v="1000 - Aprovação"/>
    <s v="Sim"/>
    <s v="Recepção do lote"/>
    <m/>
    <s v="0"/>
    <m/>
    <s v="N/A"/>
    <s v="29/09/2026 16:20:55"/>
    <m/>
    <m/>
    <s v="Informativo de ensaque clean para PA"/>
    <s v="null"/>
    <s v=""/>
    <m/>
  </r>
  <r>
    <s v="VALOREM - PATOS"/>
    <x v="0"/>
    <s v="SEMENTE DE MILHO HIBRIDO - P3845VYHR PC1 BB -"/>
    <x v="1"/>
    <s v="05P7622518"/>
    <s v="7345816-434001"/>
    <s v="INV26/26"/>
    <s v="C1"/>
    <s v="Informativo de ensaque clean para PA"/>
    <x v="1"/>
    <s v="STANDARD + P + D + L + L"/>
    <s v="GABRIELA OHANA SILVA PIMENTA"/>
    <x v="1"/>
    <s v="0025861/26"/>
    <n v="1"/>
    <s v="BAG"/>
    <m/>
    <n v="799"/>
    <n v="794.8"/>
    <x v="2"/>
    <x v="22"/>
    <x v="0"/>
    <s v="1000 - Aprovação"/>
    <s v="Sim"/>
    <s v="Recepção do lote"/>
    <m/>
    <s v="0"/>
    <m/>
    <s v="N/A"/>
    <s v="29/09/2026 16:18:37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67/26"/>
    <n v="1"/>
    <s v="BAG"/>
    <m/>
    <n v="797"/>
    <n v="794.8"/>
    <x v="2"/>
    <x v="30"/>
    <x v="0"/>
    <s v="1000 - Aprovação"/>
    <s v="Sim"/>
    <s v="Recepção do lote"/>
    <m/>
    <s v="0"/>
    <m/>
    <s v="N/A"/>
    <s v="30/09/2026 09:49:06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69/26"/>
    <n v="1"/>
    <s v="BAG"/>
    <m/>
    <n v="797"/>
    <n v="794.8"/>
    <x v="2"/>
    <x v="30"/>
    <x v="0"/>
    <s v="1000 - Aprovação"/>
    <s v="Sim"/>
    <s v="Recepção do lote"/>
    <m/>
    <s v="0"/>
    <m/>
    <s v="N/A"/>
    <s v="30/09/2026 09:51:18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73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51:50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77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52:22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79/26"/>
    <n v="1"/>
    <s v="BAG"/>
    <m/>
    <n v="802"/>
    <n v="794.8"/>
    <x v="2"/>
    <x v="30"/>
    <x v="0"/>
    <s v="1000 - Aprovação"/>
    <s v="Sim"/>
    <s v="Recepção do lote"/>
    <m/>
    <s v="0"/>
    <m/>
    <s v="N/A"/>
    <s v="30/09/2026 09:48:32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83/26"/>
    <n v="1"/>
    <s v="BAG"/>
    <m/>
    <n v="800"/>
    <n v="794.8"/>
    <x v="2"/>
    <x v="30"/>
    <x v="0"/>
    <s v="1000 - Aprovação"/>
    <s v="Sim"/>
    <s v="Recepção do lote"/>
    <m/>
    <s v="0"/>
    <m/>
    <s v="N/A"/>
    <s v="30/09/2026 09:48:01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85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41:13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89/26"/>
    <n v="1"/>
    <s v="BAG"/>
    <m/>
    <n v="800"/>
    <n v="794.8"/>
    <x v="2"/>
    <x v="30"/>
    <x v="0"/>
    <s v="1000 - Aprovação"/>
    <s v="Sim"/>
    <s v="Recepção do lote"/>
    <m/>
    <s v="0"/>
    <m/>
    <s v="N/A"/>
    <s v="30/09/2026 09:47:31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91/26"/>
    <n v="1"/>
    <s v="BAG"/>
    <m/>
    <n v="797"/>
    <n v="794.8"/>
    <x v="2"/>
    <x v="30"/>
    <x v="0"/>
    <s v="1000 - Aprovação"/>
    <s v="Sim"/>
    <s v="Recepção do lote"/>
    <m/>
    <s v="0"/>
    <m/>
    <s v="N/A"/>
    <s v="30/09/2026 09:41:59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93/26"/>
    <n v="1"/>
    <s v="BAG"/>
    <m/>
    <n v="799"/>
    <n v="794.8"/>
    <x v="2"/>
    <x v="30"/>
    <x v="0"/>
    <s v="1000 - Aprovação"/>
    <s v="Sim"/>
    <s v="Recepção do lote"/>
    <m/>
    <s v="0"/>
    <m/>
    <s v="N/A"/>
    <s v="30/09/2026 09:40:35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95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42:45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97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21:06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899/26"/>
    <n v="1"/>
    <s v="BAG"/>
    <m/>
    <n v="800"/>
    <n v="794.8"/>
    <x v="2"/>
    <x v="30"/>
    <x v="0"/>
    <s v="1000 - Aprovação"/>
    <s v="Sim"/>
    <s v="Recepção do lote"/>
    <m/>
    <s v="0"/>
    <m/>
    <s v="N/A"/>
    <s v="30/09/2026 09:27:17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01/26"/>
    <n v="1120"/>
    <s v="KG"/>
    <m/>
    <n v="1123"/>
    <n v="1120"/>
    <x v="0"/>
    <x v="0"/>
    <x v="0"/>
    <s v="1000 - Aprovação"/>
    <s v="Sim"/>
    <s v="Recepção do lote"/>
    <m/>
    <s v="0"/>
    <m/>
    <s v="N/A"/>
    <s v="29/09/2026 18:31:25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03/26"/>
    <n v="1121"/>
    <s v="KG"/>
    <m/>
    <n v="1124"/>
    <n v="1121"/>
    <x v="0"/>
    <x v="0"/>
    <x v="0"/>
    <s v="1000 - Aprovação"/>
    <s v="Sim"/>
    <s v="Recepção do lote"/>
    <m/>
    <s v="0"/>
    <m/>
    <s v="N/A"/>
    <s v="29/09/2026 18:31:16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05/26"/>
    <n v="1122"/>
    <s v="KG"/>
    <m/>
    <n v="1125"/>
    <n v="1122"/>
    <x v="0"/>
    <x v="0"/>
    <x v="0"/>
    <s v="1000 - Aprovação"/>
    <s v="Sim"/>
    <s v="Recepção do lote"/>
    <m/>
    <s v="0"/>
    <m/>
    <s v="N/A"/>
    <s v="29/09/2026 18:31:07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07/26"/>
    <n v="1121"/>
    <s v="KG"/>
    <m/>
    <n v="1124"/>
    <n v="1121"/>
    <x v="0"/>
    <x v="0"/>
    <x v="0"/>
    <s v="1000 - Aprovação"/>
    <s v="Sim"/>
    <s v="Recepção do lote"/>
    <m/>
    <s v="0"/>
    <m/>
    <s v="N/A"/>
    <s v="29/09/2026 18:27:44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09/26"/>
    <n v="1121"/>
    <s v="KG"/>
    <m/>
    <n v="1124"/>
    <n v="1121"/>
    <x v="0"/>
    <x v="0"/>
    <x v="0"/>
    <s v="1000 - Aprovação"/>
    <s v="Sim"/>
    <s v="Recepção do lote"/>
    <m/>
    <s v="0"/>
    <m/>
    <s v="N/A"/>
    <s v="29/09/2026 18:27:56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11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25:41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13/26"/>
    <n v="1120"/>
    <s v="KG"/>
    <m/>
    <n v="1123"/>
    <n v="1120"/>
    <x v="0"/>
    <x v="0"/>
    <x v="0"/>
    <s v="1000 - Aprovação"/>
    <s v="Sim"/>
    <s v="Recepção do lote"/>
    <m/>
    <s v="0"/>
    <m/>
    <s v="N/A"/>
    <s v="29/09/2026 18:27:35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15/26"/>
    <n v="1"/>
    <s v="BAG"/>
    <m/>
    <n v="802"/>
    <n v="794.8"/>
    <x v="2"/>
    <x v="30"/>
    <x v="0"/>
    <s v="1000 - Aprovação"/>
    <s v="Sim"/>
    <s v="Recepção do lote"/>
    <m/>
    <s v="0"/>
    <m/>
    <s v="N/A"/>
    <s v="30/09/2026 09:20:32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17/26"/>
    <n v="1120"/>
    <s v="KG"/>
    <m/>
    <n v="1123"/>
    <n v="1120"/>
    <x v="0"/>
    <x v="0"/>
    <x v="0"/>
    <s v="1000 - Aprovação"/>
    <s v="Sim"/>
    <s v="Recepção do lote"/>
    <m/>
    <s v="0"/>
    <m/>
    <s v="N/A"/>
    <s v="29/09/2026 18:27:27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19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25:15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21/26"/>
    <n v="1120"/>
    <s v="KG"/>
    <m/>
    <n v="1123"/>
    <n v="1120"/>
    <x v="0"/>
    <x v="0"/>
    <x v="0"/>
    <s v="1000 - Aprovação"/>
    <s v="Sim"/>
    <s v="Recepção do lote"/>
    <m/>
    <s v="0"/>
    <m/>
    <s v="N/A"/>
    <s v="29/09/2026 18:27:16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23/26"/>
    <n v="1"/>
    <s v="BAG"/>
    <m/>
    <n v="795"/>
    <n v="794.8"/>
    <x v="2"/>
    <x v="30"/>
    <x v="0"/>
    <s v="1000 - Aprovação"/>
    <s v="Sim"/>
    <s v="Recepção do lote"/>
    <m/>
    <s v="0"/>
    <m/>
    <s v="N/A"/>
    <s v="30/09/2026 09:19:56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25/26"/>
    <n v="1122"/>
    <s v="KG"/>
    <m/>
    <n v="1125"/>
    <n v="1122"/>
    <x v="0"/>
    <x v="0"/>
    <x v="0"/>
    <s v="1000 - Aprovação"/>
    <s v="Sim"/>
    <s v="Recepção do lote"/>
    <m/>
    <s v="0"/>
    <m/>
    <s v="N/A"/>
    <s v="29/09/2026 18:26:06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27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50:46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29/26"/>
    <n v="1121"/>
    <s v="KG"/>
    <m/>
    <n v="1124"/>
    <n v="1121"/>
    <x v="0"/>
    <x v="0"/>
    <x v="0"/>
    <s v="1000 - Aprovação"/>
    <s v="Sim"/>
    <s v="Recepção do lote"/>
    <m/>
    <s v="0"/>
    <m/>
    <s v="N/A"/>
    <s v="29/09/2026 18:25:53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31/26"/>
    <n v="1"/>
    <s v="BAG"/>
    <m/>
    <n v="795"/>
    <n v="794.8"/>
    <x v="2"/>
    <x v="30"/>
    <x v="0"/>
    <s v="1000 - Aprovação"/>
    <s v="Sim"/>
    <s v="Recepção do lote"/>
    <m/>
    <s v="0"/>
    <m/>
    <s v="N/A"/>
    <s v="30/09/2026 09:53:02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33/26"/>
    <n v="1119"/>
    <s v="KG"/>
    <m/>
    <n v="1122"/>
    <n v="1119"/>
    <x v="0"/>
    <x v="0"/>
    <x v="0"/>
    <s v="1000 - Aprovação"/>
    <s v="Sim"/>
    <s v="Recepção do lote"/>
    <m/>
    <s v="0"/>
    <m/>
    <s v="N/A"/>
    <s v="29/09/2026 18:25:37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35/26"/>
    <n v="1"/>
    <s v="BAG"/>
    <m/>
    <n v="799"/>
    <n v="794.8"/>
    <x v="2"/>
    <x v="30"/>
    <x v="0"/>
    <s v="1000 - Aprovação"/>
    <s v="Sim"/>
    <s v="Recepção do lote"/>
    <m/>
    <s v="0"/>
    <m/>
    <s v="N/A"/>
    <s v="30/09/2026 09:50:15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37/26"/>
    <n v="1119"/>
    <s v="KG"/>
    <m/>
    <n v="1122"/>
    <n v="1119"/>
    <x v="0"/>
    <x v="0"/>
    <x v="0"/>
    <s v="1000 - Aprovação"/>
    <s v="Sim"/>
    <s v="Recepção do lote"/>
    <m/>
    <s v="0"/>
    <m/>
    <s v="N/A"/>
    <s v="29/09/2026 18:23:11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39/26"/>
    <n v="1120"/>
    <s v="KG"/>
    <m/>
    <n v="1123"/>
    <n v="1120"/>
    <x v="0"/>
    <x v="0"/>
    <x v="0"/>
    <s v="1000 - Aprovação"/>
    <s v="Sim"/>
    <s v="Recepção do lote"/>
    <m/>
    <s v="0"/>
    <m/>
    <s v="N/A"/>
    <s v="29/09/2026 18:24:14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41/26"/>
    <n v="1"/>
    <s v="BAG"/>
    <m/>
    <n v="799"/>
    <n v="794.8"/>
    <x v="2"/>
    <x v="30"/>
    <x v="0"/>
    <s v="1000 - Aprovação"/>
    <s v="Sim"/>
    <s v="Recepção do lote"/>
    <m/>
    <s v="0"/>
    <m/>
    <s v="N/A"/>
    <s v="30/09/2026 09:07:56"/>
    <m/>
    <m/>
    <s v="Informativo de ensaque clean para PA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43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1:0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44/26"/>
    <n v="1198"/>
    <s v="KG"/>
    <m/>
    <n v="1201"/>
    <n v="1198"/>
    <x v="0"/>
    <x v="0"/>
    <x v="0"/>
    <s v="1000 - Aprovação"/>
    <s v="Sim"/>
    <s v="Recepção do lote"/>
    <m/>
    <s v="0"/>
    <m/>
    <s v="N/A"/>
    <s v="29/09/2026 16:51:4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45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0:4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46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4:2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47/26"/>
    <n v="1193"/>
    <s v="KG"/>
    <m/>
    <n v="1196"/>
    <n v="1193"/>
    <x v="0"/>
    <x v="0"/>
    <x v="0"/>
    <s v="1000 - Aprovação"/>
    <s v="Sim"/>
    <s v="Recepção do lote"/>
    <m/>
    <s v="0"/>
    <m/>
    <s v="N/A"/>
    <s v="29/09/2026 16:56:0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48/26"/>
    <n v="1193"/>
    <s v="KG"/>
    <m/>
    <n v="1196"/>
    <n v="1193"/>
    <x v="0"/>
    <x v="0"/>
    <x v="0"/>
    <s v="1000 - Aprovação"/>
    <s v="Sim"/>
    <s v="Recepção do lote"/>
    <m/>
    <s v="0"/>
    <m/>
    <s v="N/A"/>
    <s v="29/09/2026 16:54:3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49/26"/>
    <n v="1194"/>
    <s v="KG"/>
    <m/>
    <n v="1197"/>
    <n v="1194"/>
    <x v="0"/>
    <x v="0"/>
    <x v="0"/>
    <s v="1000 - Aprovação"/>
    <s v="Sim"/>
    <s v="Recepção do lote"/>
    <m/>
    <s v="0"/>
    <m/>
    <s v="N/A"/>
    <s v="29/09/2026 16:53:2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0/26"/>
    <n v="1197"/>
    <s v="KG"/>
    <m/>
    <n v="1201"/>
    <n v="1197"/>
    <x v="0"/>
    <x v="0"/>
    <x v="0"/>
    <s v="1000 - Aprovação"/>
    <s v="Sim"/>
    <s v="Recepção do lote"/>
    <m/>
    <s v="0"/>
    <m/>
    <s v="N/A"/>
    <s v="29/09/2026 16:56:2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1/26"/>
    <n v="1179"/>
    <s v="KG"/>
    <m/>
    <n v="1182"/>
    <n v="1179"/>
    <x v="0"/>
    <x v="0"/>
    <x v="0"/>
    <s v="1000 - Aprovação"/>
    <s v="Sim"/>
    <s v="Recepção do lote"/>
    <m/>
    <s v="0"/>
    <m/>
    <s v="N/A"/>
    <s v="29/09/2026 16:54:0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2/26"/>
    <n v="1203"/>
    <s v="KG"/>
    <m/>
    <n v="1206"/>
    <n v="1203"/>
    <x v="0"/>
    <x v="0"/>
    <x v="0"/>
    <s v="1000 - Aprovação"/>
    <s v="Sim"/>
    <s v="Recepção do lote"/>
    <m/>
    <s v="0"/>
    <m/>
    <s v="N/A"/>
    <s v="29/09/2026 16:52:2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3/26"/>
    <n v="1189"/>
    <s v="KG"/>
    <m/>
    <n v="1192"/>
    <n v="1189"/>
    <x v="0"/>
    <x v="0"/>
    <x v="0"/>
    <s v="1000 - Aprovação"/>
    <s v="Sim"/>
    <s v="Recepção do lote"/>
    <m/>
    <s v="0"/>
    <m/>
    <s v="N/A"/>
    <s v="29/09/2026 16:53:3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4/26"/>
    <n v="1189"/>
    <s v="KG"/>
    <m/>
    <n v="1192"/>
    <n v="1189"/>
    <x v="0"/>
    <x v="0"/>
    <x v="0"/>
    <s v="1000 - Aprovação"/>
    <s v="Sim"/>
    <s v="Recepção do lote"/>
    <m/>
    <s v="0"/>
    <m/>
    <s v="N/A"/>
    <s v="29/09/2026 16:50:3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5/26"/>
    <n v="1189"/>
    <s v="KG"/>
    <m/>
    <n v="1192"/>
    <n v="1189"/>
    <x v="0"/>
    <x v="0"/>
    <x v="0"/>
    <s v="1000 - Aprovação"/>
    <s v="Sim"/>
    <s v="Recepção do lote"/>
    <m/>
    <s v="0"/>
    <m/>
    <s v="N/A"/>
    <s v="29/09/2026 16:52:54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6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5:0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7/26"/>
    <n v="1203"/>
    <s v="KG"/>
    <m/>
    <n v="1206"/>
    <n v="1203"/>
    <x v="0"/>
    <x v="0"/>
    <x v="0"/>
    <s v="1000 - Aprovação"/>
    <s v="Sim"/>
    <s v="Recepção do lote"/>
    <m/>
    <s v="0"/>
    <m/>
    <s v="N/A"/>
    <s v="29/09/2026 16:55:2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8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2:4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59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5:1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0/26"/>
    <n v="1199"/>
    <s v="KG"/>
    <m/>
    <n v="1202"/>
    <n v="1199"/>
    <x v="0"/>
    <x v="0"/>
    <x v="0"/>
    <s v="1000 - Aprovação"/>
    <s v="Sim"/>
    <s v="Recepção do lote"/>
    <m/>
    <s v="0"/>
    <m/>
    <s v="N/A"/>
    <s v="29/09/2026 16:54:4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1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4:5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2/26"/>
    <n v="1201"/>
    <s v="KG"/>
    <m/>
    <n v="1204"/>
    <n v="1201"/>
    <x v="0"/>
    <x v="0"/>
    <x v="0"/>
    <s v="1000 - Aprovação"/>
    <s v="Sim"/>
    <s v="Recepção do lote"/>
    <m/>
    <s v="0"/>
    <m/>
    <s v="N/A"/>
    <s v="29/09/2026 16:50:5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3/26"/>
    <n v="1203"/>
    <s v="KG"/>
    <m/>
    <n v="1205"/>
    <n v="1203"/>
    <x v="0"/>
    <x v="0"/>
    <x v="0"/>
    <s v="1000 - Aprovação"/>
    <s v="Sim"/>
    <s v="Recepção do lote"/>
    <m/>
    <s v="0"/>
    <m/>
    <s v="N/A"/>
    <s v="29/09/2026 16:55:5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4/26"/>
    <n v="1204"/>
    <s v="KG"/>
    <m/>
    <n v="1207"/>
    <n v="1204"/>
    <x v="0"/>
    <x v="0"/>
    <x v="0"/>
    <s v="1000 - Aprovação"/>
    <s v="Sim"/>
    <s v="Recepção do lote"/>
    <m/>
    <s v="0"/>
    <m/>
    <s v="N/A"/>
    <s v="29/09/2026 16:53:5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5/26"/>
    <n v="1184"/>
    <s v="KG"/>
    <m/>
    <n v="1187"/>
    <n v="1184"/>
    <x v="0"/>
    <x v="0"/>
    <x v="0"/>
    <s v="1000 - Aprovação"/>
    <s v="Sim"/>
    <s v="Recepção do lote"/>
    <m/>
    <s v="0"/>
    <m/>
    <s v="N/A"/>
    <s v="29/09/2026 16:51:17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6/26"/>
    <n v="1204"/>
    <s v="KG"/>
    <m/>
    <n v="1207"/>
    <n v="1204"/>
    <x v="0"/>
    <x v="0"/>
    <x v="0"/>
    <s v="1000 - Aprovação"/>
    <s v="Sim"/>
    <s v="Recepção do lote"/>
    <m/>
    <s v="0"/>
    <m/>
    <s v="N/A"/>
    <s v="29/09/2026 16:55:4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7/26"/>
    <n v="1204"/>
    <s v="KG"/>
    <m/>
    <n v="1207"/>
    <n v="1204"/>
    <x v="0"/>
    <x v="0"/>
    <x v="0"/>
    <s v="1000 - Aprovação"/>
    <s v="Sim"/>
    <s v="Recepção do lote"/>
    <m/>
    <s v="0"/>
    <m/>
    <s v="N/A"/>
    <s v="29/09/2026 16:55:4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8/26"/>
    <n v="1202"/>
    <s v="KG"/>
    <m/>
    <n v="1205"/>
    <n v="1202"/>
    <x v="0"/>
    <x v="0"/>
    <x v="0"/>
    <s v="1000 - Aprovação"/>
    <s v="Sim"/>
    <s v="Recepção do lote"/>
    <m/>
    <s v="0"/>
    <m/>
    <s v="N/A"/>
    <s v="29/09/2026 16:55:33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69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3:4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0/26"/>
    <n v="1153"/>
    <s v="KG"/>
    <m/>
    <n v="1156"/>
    <n v="1153"/>
    <x v="0"/>
    <x v="0"/>
    <x v="0"/>
    <s v="1000 - Aprovação"/>
    <s v="Sim"/>
    <s v="Recepção do lote"/>
    <m/>
    <s v="0"/>
    <m/>
    <s v="N/A"/>
    <s v="29/09/2026 16:53:0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1/26"/>
    <n v="1200"/>
    <s v="KG"/>
    <m/>
    <n v="1203"/>
    <n v="1200"/>
    <x v="0"/>
    <x v="0"/>
    <x v="0"/>
    <s v="1000 - Aprovação"/>
    <s v="Sim"/>
    <s v="Recepção do lote"/>
    <m/>
    <s v="0"/>
    <m/>
    <s v="N/A"/>
    <s v="29/09/2026 16:53:1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2/26"/>
    <n v="1183"/>
    <s v="KG"/>
    <m/>
    <n v="1186"/>
    <n v="1183"/>
    <x v="0"/>
    <x v="0"/>
    <x v="0"/>
    <s v="1000 - Aprovação"/>
    <s v="Sim"/>
    <s v="Recepção do lote"/>
    <m/>
    <s v="0"/>
    <m/>
    <s v="N/A"/>
    <s v="29/09/2026 16:51:30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3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6:56:5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4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6:52:02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5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6:56:4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6/26"/>
    <n v="1197"/>
    <s v="KG"/>
    <m/>
    <n v="1200"/>
    <n v="1197"/>
    <x v="0"/>
    <x v="0"/>
    <x v="0"/>
    <s v="1000 - Aprovação"/>
    <s v="Sim"/>
    <s v="Recepção do lote"/>
    <m/>
    <s v="0"/>
    <m/>
    <s v="N/A"/>
    <s v="29/09/2026 16:54:1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7/26"/>
    <n v="1199"/>
    <s v="KG"/>
    <m/>
    <n v="1202"/>
    <n v="1199"/>
    <x v="0"/>
    <x v="0"/>
    <x v="0"/>
    <s v="1000 - Aprovação"/>
    <s v="Sim"/>
    <s v="Recepção do lote"/>
    <m/>
    <s v="0"/>
    <m/>
    <s v="N/A"/>
    <s v="29/09/2026 16:56:1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8/26"/>
    <n v="1202"/>
    <s v="KG"/>
    <m/>
    <n v="1205"/>
    <n v="1202"/>
    <x v="0"/>
    <x v="0"/>
    <x v="0"/>
    <s v="1000 - Aprovação"/>
    <s v="Sim"/>
    <s v="Recepção do lote"/>
    <m/>
    <s v="0"/>
    <m/>
    <s v="N/A"/>
    <s v="29/09/2026 16:51:39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79/26"/>
    <n v="1206"/>
    <s v="KG"/>
    <m/>
    <n v="1209"/>
    <n v="1206"/>
    <x v="0"/>
    <x v="0"/>
    <x v="0"/>
    <s v="1000 - Aprovação"/>
    <s v="Sim"/>
    <s v="Recepção do lote"/>
    <m/>
    <s v="0"/>
    <m/>
    <s v="N/A"/>
    <s v="29/09/2026 16:56:40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80/26"/>
    <n v="1216"/>
    <s v="KG"/>
    <m/>
    <n v="1219"/>
    <n v="1216"/>
    <x v="0"/>
    <x v="0"/>
    <x v="0"/>
    <s v="1000 - Aprovação"/>
    <s v="Sim"/>
    <s v="Recepção do lote"/>
    <m/>
    <s v="0"/>
    <m/>
    <s v="N/A"/>
    <s v="29/09/2026 16:52:18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SE WILSON FERNANDES"/>
    <x v="2"/>
    <s v="0025981/26"/>
    <n v="1192"/>
    <s v="KG"/>
    <m/>
    <n v="1195"/>
    <n v="1192"/>
    <x v="0"/>
    <x v="0"/>
    <x v="0"/>
    <s v="1000 - Aprovação"/>
    <s v="Sim"/>
    <s v="Recepção do lote"/>
    <m/>
    <s v="0"/>
    <m/>
    <s v="N/A"/>
    <s v="29/09/2026 16:56:32"/>
    <m/>
    <m/>
    <s v="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82/26"/>
    <n v="1125"/>
    <s v="KG"/>
    <m/>
    <n v="1128"/>
    <n v="1125"/>
    <x v="0"/>
    <x v="0"/>
    <x v="0"/>
    <s v="1000 - Aprovação"/>
    <s v="Sim"/>
    <s v="Recepção do lote"/>
    <m/>
    <s v="0"/>
    <m/>
    <s v="N/A"/>
    <s v="29/09/2026 18:24:27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84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07:06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86/26"/>
    <n v="1114"/>
    <s v="KG"/>
    <m/>
    <n v="1117"/>
    <n v="1114"/>
    <x v="0"/>
    <x v="0"/>
    <x v="0"/>
    <s v="1000 - Aprovação"/>
    <s v="Sim"/>
    <s v="Recepção do lote"/>
    <m/>
    <s v="0"/>
    <m/>
    <s v="N/A"/>
    <s v="29/09/2026 18:24:39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88/26"/>
    <n v="1"/>
    <s v="BAG"/>
    <m/>
    <n v="801"/>
    <n v="794.8"/>
    <x v="2"/>
    <x v="30"/>
    <x v="0"/>
    <s v="1000 - Aprovação"/>
    <s v="Sim"/>
    <s v="Recepção do lote"/>
    <m/>
    <s v="0"/>
    <m/>
    <s v="N/A"/>
    <s v="30/09/2026 09:06:23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90/26"/>
    <n v="1117"/>
    <s v="KG"/>
    <m/>
    <n v="1120"/>
    <n v="1117"/>
    <x v="0"/>
    <x v="0"/>
    <x v="0"/>
    <s v="1000 - Aprovação"/>
    <s v="Sim"/>
    <s v="Recepção do lote"/>
    <m/>
    <s v="0"/>
    <m/>
    <s v="N/A"/>
    <s v="29/09/2026 18:24:51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92/26"/>
    <n v="1"/>
    <s v="BAG"/>
    <m/>
    <n v="802"/>
    <n v="794.8"/>
    <x v="2"/>
    <x v="30"/>
    <x v="0"/>
    <s v="1000 - Aprovação"/>
    <s v="Sim"/>
    <s v="Recepção do lote"/>
    <m/>
    <s v="0"/>
    <m/>
    <s v="N/A"/>
    <s v="30/09/2026 09:29:23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94/26"/>
    <n v="1116"/>
    <s v="KG"/>
    <m/>
    <n v="1119"/>
    <n v="1116"/>
    <x v="0"/>
    <x v="0"/>
    <x v="0"/>
    <s v="1000 - Aprovação"/>
    <s v="Sim"/>
    <s v="Recepção do lote"/>
    <m/>
    <s v="0"/>
    <m/>
    <s v="N/A"/>
    <s v="29/09/2026 18:24:59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5996/26"/>
    <n v="1121"/>
    <s v="KG"/>
    <m/>
    <n v="1124"/>
    <n v="1121"/>
    <x v="0"/>
    <x v="0"/>
    <x v="0"/>
    <s v="1000 - Aprovação"/>
    <s v="Sim"/>
    <s v="Recepção do lote"/>
    <m/>
    <s v="0"/>
    <m/>
    <s v="N/A"/>
    <s v="29/09/2026 18:25:08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5998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43:18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00/26"/>
    <n v="1120"/>
    <s v="KG"/>
    <m/>
    <n v="1123"/>
    <n v="1120"/>
    <x v="0"/>
    <x v="0"/>
    <x v="0"/>
    <s v="1000 - Aprovação"/>
    <s v="Sim"/>
    <s v="Recepção do lote"/>
    <m/>
    <s v="0"/>
    <m/>
    <s v="N/A"/>
    <s v="29/09/2026 18:25:18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02/26"/>
    <n v="1117"/>
    <s v="KG"/>
    <m/>
    <n v="1120"/>
    <n v="1117"/>
    <x v="0"/>
    <x v="0"/>
    <x v="0"/>
    <s v="1000 - Aprovação"/>
    <s v="Sim"/>
    <s v="Recepção do lote"/>
    <m/>
    <s v="0"/>
    <m/>
    <s v="N/A"/>
    <s v="29/09/2026 18:28:08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04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28:47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06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32:52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08/26"/>
    <n v="1117"/>
    <s v="KG"/>
    <m/>
    <n v="1120"/>
    <n v="1117"/>
    <x v="0"/>
    <x v="0"/>
    <x v="0"/>
    <s v="1000 - Aprovação"/>
    <s v="Sim"/>
    <s v="Recepção do lote"/>
    <m/>
    <s v="0"/>
    <m/>
    <s v="N/A"/>
    <s v="29/09/2026 18:30:51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10/26"/>
    <n v="1117"/>
    <s v="KG"/>
    <m/>
    <n v="1120"/>
    <n v="1117"/>
    <x v="0"/>
    <x v="0"/>
    <x v="0"/>
    <s v="1000 - Aprovação"/>
    <s v="Sim"/>
    <s v="Recepção do lote"/>
    <m/>
    <s v="0"/>
    <m/>
    <s v="N/A"/>
    <s v="29/09/2026 18:30:42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12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28:17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14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30:25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16/26"/>
    <n v="1"/>
    <s v="BAG"/>
    <m/>
    <n v="798"/>
    <n v="794.8"/>
    <x v="2"/>
    <x v="30"/>
    <x v="0"/>
    <s v="1000 - Aprovação"/>
    <s v="Sim"/>
    <s v="Recepção do lote"/>
    <m/>
    <s v="0"/>
    <m/>
    <s v="N/A"/>
    <s v="30/09/2026 09:29:54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18/26"/>
    <n v="1123"/>
    <s v="KG"/>
    <m/>
    <n v="1126"/>
    <n v="1123"/>
    <x v="0"/>
    <x v="0"/>
    <x v="0"/>
    <s v="1000 - Aprovação"/>
    <s v="Sim"/>
    <s v="Recepção do lote"/>
    <m/>
    <s v="0"/>
    <m/>
    <s v="N/A"/>
    <s v="29/09/2026 18:30:32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20/26"/>
    <n v="1121"/>
    <s v="KG"/>
    <m/>
    <n v="1124"/>
    <n v="1121"/>
    <x v="0"/>
    <x v="0"/>
    <x v="0"/>
    <s v="1000 - Aprovação"/>
    <s v="Sim"/>
    <s v="Recepção do lote"/>
    <m/>
    <s v="0"/>
    <m/>
    <s v="N/A"/>
    <s v="29/09/2026 18:30:23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22/26"/>
    <n v="1120"/>
    <s v="KG"/>
    <m/>
    <n v="1123"/>
    <n v="1120"/>
    <x v="0"/>
    <x v="0"/>
    <x v="0"/>
    <s v="1000 - Aprovação"/>
    <s v="Sim"/>
    <s v="Recepção do lote"/>
    <m/>
    <s v="0"/>
    <m/>
    <s v="N/A"/>
    <s v="29/09/2026 18:30:15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24/26"/>
    <n v="1"/>
    <s v="BAG"/>
    <m/>
    <n v="797"/>
    <n v="794.8"/>
    <x v="2"/>
    <x v="30"/>
    <x v="0"/>
    <s v="1000 - Aprovação"/>
    <s v="Sim"/>
    <s v="Recepção do lote"/>
    <m/>
    <s v="0"/>
    <m/>
    <s v="N/A"/>
    <s v="30/09/2026 09:27:50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26/26"/>
    <n v="1128"/>
    <s v="KG"/>
    <m/>
    <n v="1131"/>
    <n v="1128"/>
    <x v="0"/>
    <x v="0"/>
    <x v="0"/>
    <s v="1000 - Aprovação"/>
    <s v="Sim"/>
    <s v="Recepção do lote"/>
    <m/>
    <s v="0"/>
    <m/>
    <s v="N/A"/>
    <s v="29/09/2026 18:30:06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28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03:25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30/26"/>
    <n v="1121"/>
    <s v="KG"/>
    <m/>
    <n v="1124"/>
    <n v="1121"/>
    <x v="0"/>
    <x v="0"/>
    <x v="0"/>
    <s v="1000 - Aprovação"/>
    <s v="Sim"/>
    <s v="Recepção do lote"/>
    <m/>
    <s v="0"/>
    <m/>
    <s v="N/A"/>
    <s v="29/09/2026 18:29:52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32/26"/>
    <n v="1"/>
    <s v="BAG"/>
    <m/>
    <n v="801"/>
    <n v="794.8"/>
    <x v="2"/>
    <x v="30"/>
    <x v="0"/>
    <s v="1000 - Aprovação"/>
    <s v="Sim"/>
    <s v="Recepção do lote"/>
    <m/>
    <s v="0"/>
    <m/>
    <s v="N/A"/>
    <s v="30/09/2026 09:04:00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34/26"/>
    <n v="1117"/>
    <s v="KG"/>
    <m/>
    <n v="1120"/>
    <n v="1117"/>
    <x v="0"/>
    <x v="0"/>
    <x v="0"/>
    <s v="1000 - Aprovação"/>
    <s v="Sim"/>
    <s v="Recepção do lote"/>
    <m/>
    <s v="0"/>
    <m/>
    <s v="N/A"/>
    <s v="29/09/2026 18:29:29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36/26"/>
    <n v="1"/>
    <s v="BAG"/>
    <m/>
    <n v="795"/>
    <n v="794.8"/>
    <x v="2"/>
    <x v="30"/>
    <x v="0"/>
    <s v="1000 - Aprovação"/>
    <s v="Sim"/>
    <s v="Recepção do lote"/>
    <m/>
    <s v="0"/>
    <m/>
    <s v="N/A"/>
    <s v="30/09/2026 09:00:52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38/26"/>
    <n v="1117"/>
    <s v="KG"/>
    <m/>
    <n v="1120"/>
    <n v="1117"/>
    <x v="0"/>
    <x v="0"/>
    <x v="0"/>
    <s v="1000 - Aprovação"/>
    <s v="Sim"/>
    <s v="Recepção do lote"/>
    <m/>
    <s v="0"/>
    <m/>
    <s v="N/A"/>
    <s v="29/09/2026 18:29:21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40/26"/>
    <n v="1"/>
    <s v="BAG"/>
    <m/>
    <n v="795"/>
    <n v="794.8"/>
    <x v="2"/>
    <x v="30"/>
    <x v="0"/>
    <s v="1000 - Aprovação"/>
    <s v="Sim"/>
    <s v="Recepção do lote"/>
    <m/>
    <s v="0"/>
    <m/>
    <s v="N/A"/>
    <s v="30/09/2026 09:05:55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42/26"/>
    <n v="1"/>
    <s v="BAG"/>
    <m/>
    <n v="795"/>
    <n v="794.8"/>
    <x v="2"/>
    <x v="30"/>
    <x v="0"/>
    <s v="1000 - Aprovação"/>
    <s v="Sim"/>
    <s v="Recepção do lote"/>
    <m/>
    <s v="0"/>
    <m/>
    <s v="N/A"/>
    <s v="30/09/2026 09:01:23"/>
    <m/>
    <m/>
    <s v="Informativo de ensaque clean para PA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44/26"/>
    <n v="1"/>
    <s v="BAG"/>
    <m/>
    <n v="795"/>
    <n v="794.8"/>
    <x v="2"/>
    <x v="30"/>
    <x v="0"/>
    <s v="1000 - Aprovação"/>
    <s v="Sim"/>
    <s v="Recepção do lote"/>
    <m/>
    <s v="0"/>
    <m/>
    <s v="N/A"/>
    <s v="30/09/2026 09:05:12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46/26"/>
    <n v="1117"/>
    <s v="KG"/>
    <m/>
    <n v="1120"/>
    <n v="1117"/>
    <x v="0"/>
    <x v="0"/>
    <x v="0"/>
    <s v="1000 - Aprovação"/>
    <s v="Sim"/>
    <s v="Recepção do lote"/>
    <m/>
    <s v="0"/>
    <m/>
    <s v="N/A"/>
    <s v="29/09/2026 18:29:07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48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02:51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50/26"/>
    <n v="1116"/>
    <s v="KG"/>
    <m/>
    <n v="1119"/>
    <n v="1116"/>
    <x v="0"/>
    <x v="0"/>
    <x v="0"/>
    <s v="1000 - Aprovação"/>
    <s v="Sim"/>
    <s v="Recepção do lote"/>
    <m/>
    <s v="0"/>
    <m/>
    <s v="N/A"/>
    <s v="29/09/2026 18:28:54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52/26"/>
    <n v="1"/>
    <s v="BAG"/>
    <m/>
    <n v="796"/>
    <n v="794.8"/>
    <x v="2"/>
    <x v="30"/>
    <x v="0"/>
    <s v="1000 - Aprovação"/>
    <s v="Sim"/>
    <s v="Recepção do lote"/>
    <m/>
    <s v="0"/>
    <m/>
    <s v="N/A"/>
    <s v="30/09/2026 09:02:23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54/26"/>
    <n v="1119"/>
    <s v="KG"/>
    <m/>
    <n v="1122"/>
    <n v="1119"/>
    <x v="0"/>
    <x v="0"/>
    <x v="0"/>
    <s v="1000 - Aprovação"/>
    <s v="Sim"/>
    <s v="Recepção do lote"/>
    <m/>
    <s v="0"/>
    <m/>
    <s v="N/A"/>
    <s v="29/09/2026 18:28:42"/>
    <m/>
    <m/>
    <s v="Informativo de ensaque de classificação"/>
    <s v="null"/>
    <s v=""/>
    <m/>
  </r>
  <r>
    <s v="VALOREM - PATOS"/>
    <x v="0"/>
    <s v="SEMENTE DE MILHO HIBRIDO - P3845VYHR PC1 BB -"/>
    <x v="1"/>
    <s v="05P7622516"/>
    <s v="7345816-434001"/>
    <s v="INV26/26"/>
    <s v="C1"/>
    <s v="Informativo de ensaque clean para PA"/>
    <x v="1"/>
    <s v="STANDARD + P + D + L + L"/>
    <s v="EDSON JUNIOR PEREIRA LIMA"/>
    <x v="1"/>
    <s v="0026056/26"/>
    <n v="1"/>
    <s v="BAG"/>
    <m/>
    <n v="801"/>
    <n v="794.8"/>
    <x v="2"/>
    <x v="30"/>
    <x v="0"/>
    <s v="1000 - Aprovação"/>
    <s v="Sim"/>
    <s v="Recepção do lote"/>
    <m/>
    <s v="0"/>
    <m/>
    <s v="N/A"/>
    <s v="30/09/2026 09:04:42"/>
    <m/>
    <m/>
    <s v="Informativo de ensaque clean para PA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58/26"/>
    <n v="1083"/>
    <s v="KG"/>
    <m/>
    <n v="1086"/>
    <n v="1083"/>
    <x v="0"/>
    <x v="0"/>
    <x v="0"/>
    <s v="1000 - Aprovação"/>
    <s v="Sim"/>
    <s v="Recepção do lote"/>
    <m/>
    <s v="0"/>
    <m/>
    <s v="N/A"/>
    <s v="29/09/2026 18:28:35"/>
    <m/>
    <m/>
    <s v="Informativo de ensaque de classificação"/>
    <s v="null"/>
    <s v=""/>
    <m/>
  </r>
  <r>
    <s v="VALOREM - PATOS"/>
    <x v="0"/>
    <s v="GRAO DESTINADO A SEMENTE -  P3845VYHR -"/>
    <x v="1"/>
    <s v="V3I6CC0383"/>
    <s v="7345816-434001"/>
    <s v="INV26/26"/>
    <s v="C1"/>
    <s v="Informativo de ensaque de classificação"/>
    <x v="0"/>
    <s v="PREVENTIVO"/>
    <s v="GABRIELA OHANA SILVA PIMENTA"/>
    <x v="1"/>
    <s v="0026060/26"/>
    <n v="1042"/>
    <s v="KG"/>
    <m/>
    <n v="1045"/>
    <n v="1042"/>
    <x v="0"/>
    <x v="0"/>
    <x v="0"/>
    <s v="1000 - Aprovação"/>
    <s v="Sim"/>
    <s v="Recepção do lote"/>
    <m/>
    <s v="0"/>
    <m/>
    <s v="N/A"/>
    <s v="29/09/2026 18:29:40"/>
    <m/>
    <m/>
    <s v="Informativo de ensaque de classificação"/>
    <s v="null"/>
    <s v=""/>
    <m/>
  </r>
  <r>
    <s v="VALOREM - PATOS"/>
    <x v="0"/>
    <s v="SEMENTE DE MILHO HIBRIDO - P3845VYHR PC1 60S -"/>
    <x v="1"/>
    <s v="05P7643441"/>
    <s v="7345816-434001"/>
    <s v="INV26/26"/>
    <s v="C1"/>
    <s v="Informativo de ensaque clean para PA"/>
    <x v="2"/>
    <s v="STANDARD + P + D + L + L"/>
    <s v="EDSON JUNIOR PEREIRA LIMA"/>
    <x v="1"/>
    <s v="0026062/26"/>
    <n v="16"/>
    <s v="SC"/>
    <m/>
    <n v="347"/>
    <n v="317.92"/>
    <x v="2"/>
    <x v="19"/>
    <x v="0"/>
    <s v="1000 - Aprovação"/>
    <s v="Sim"/>
    <s v="Recepção do lote"/>
    <m/>
    <s v="0"/>
    <m/>
    <s v="N/A"/>
    <s v="30/09/2026 08:54:38"/>
    <m/>
    <m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63/26"/>
    <n v="1122"/>
    <s v="KG"/>
    <m/>
    <n v="1125"/>
    <n v="1122"/>
    <x v="3"/>
    <x v="31"/>
    <x v="0"/>
    <s v="1000 - Aprovação"/>
    <s v="Sim"/>
    <s v="Recepção do lote"/>
    <m/>
    <s v="0"/>
    <m/>
    <s v="N/A"/>
    <s v="30/09/2026 10:41:04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65/26"/>
    <n v="1"/>
    <s v="BAG"/>
    <m/>
    <n v="806"/>
    <n v="798.4"/>
    <x v="2"/>
    <x v="32"/>
    <x v="0"/>
    <s v="1000 - Aprovação"/>
    <s v="Sim"/>
    <s v="Alocação física"/>
    <m/>
    <s v="0"/>
    <m/>
    <s v="N/A"/>
    <s v="30/09/2026 16:36:29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67/26"/>
    <n v="1179"/>
    <s v="KG"/>
    <m/>
    <n v="1182"/>
    <n v="1179"/>
    <x v="3"/>
    <x v="33"/>
    <x v="0"/>
    <s v="1000 - Aprovação"/>
    <s v="Sim"/>
    <s v="Recepção do lote"/>
    <m/>
    <s v="0"/>
    <m/>
    <s v="N/A"/>
    <s v="30/09/2026 10:52:30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69/26"/>
    <n v="1149"/>
    <s v="KG"/>
    <m/>
    <n v="1152"/>
    <n v="1149"/>
    <x v="3"/>
    <x v="33"/>
    <x v="0"/>
    <s v="1000 - Aprovação"/>
    <s v="Sim"/>
    <s v="Recepção do lote"/>
    <m/>
    <s v="0"/>
    <m/>
    <s v="N/A"/>
    <s v="30/09/2026 10:54:02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71/26"/>
    <n v="1"/>
    <s v="BAG"/>
    <m/>
    <n v="802"/>
    <n v="798.4"/>
    <x v="2"/>
    <x v="32"/>
    <x v="0"/>
    <s v="1000 - Aprovação"/>
    <s v="Sim"/>
    <s v="Alocação física"/>
    <m/>
    <s v="0"/>
    <m/>
    <s v="N/A"/>
    <s v="30/09/2026 16:36:32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73/26"/>
    <n v="1153"/>
    <s v="KG"/>
    <m/>
    <n v="1156"/>
    <n v="1153"/>
    <x v="3"/>
    <x v="33"/>
    <x v="0"/>
    <s v="1000 - Aprovação"/>
    <s v="Sim"/>
    <s v="Recepção do lote"/>
    <m/>
    <s v="0"/>
    <m/>
    <s v="N/A"/>
    <s v="30/09/2026 10:53:16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75/26"/>
    <n v="1"/>
    <s v="BAG"/>
    <m/>
    <n v="801"/>
    <n v="798.4"/>
    <x v="2"/>
    <x v="32"/>
    <x v="0"/>
    <s v="1000 - Aprovação"/>
    <s v="Sim"/>
    <s v="Alocação física"/>
    <m/>
    <s v="0"/>
    <m/>
    <s v="N/A"/>
    <s v="30/09/2026 16:36:42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77/26"/>
    <n v="1151"/>
    <s v="KG"/>
    <m/>
    <n v="1154"/>
    <n v="1151"/>
    <x v="3"/>
    <x v="33"/>
    <x v="0"/>
    <s v="1000 - Aprovação"/>
    <s v="Sim"/>
    <s v="Recepção do lote"/>
    <m/>
    <s v="0"/>
    <m/>
    <s v="N/A"/>
    <s v="30/09/2026 10:54:48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79/26"/>
    <n v="1152"/>
    <s v="KG"/>
    <m/>
    <n v="1155"/>
    <n v="1152"/>
    <x v="3"/>
    <x v="31"/>
    <x v="0"/>
    <s v="1000 - Aprovação"/>
    <s v="Sim"/>
    <s v="Recepção do lote"/>
    <m/>
    <s v="0"/>
    <m/>
    <s v="N/A"/>
    <s v="30/09/2026 10:33:55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81/26"/>
    <n v="1"/>
    <s v="BAG"/>
    <m/>
    <n v="801"/>
    <n v="798.4"/>
    <x v="2"/>
    <x v="32"/>
    <x v="0"/>
    <s v="1000 - Aprovação"/>
    <s v="Sim"/>
    <s v="Alocação física"/>
    <m/>
    <s v="0"/>
    <m/>
    <s v="N/A"/>
    <s v="30/09/2026 16:36:16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83/26"/>
    <n v="1152"/>
    <s v="KG"/>
    <m/>
    <n v="1155"/>
    <n v="1152"/>
    <x v="3"/>
    <x v="31"/>
    <x v="0"/>
    <s v="1000 - Aprovação"/>
    <s v="Sim"/>
    <s v="Recepção do lote"/>
    <m/>
    <s v="0"/>
    <m/>
    <s v="N/A"/>
    <s v="30/09/2026 10:47:14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85/26"/>
    <n v="1"/>
    <s v="BAG"/>
    <m/>
    <n v="802"/>
    <n v="798.4"/>
    <x v="2"/>
    <x v="32"/>
    <x v="0"/>
    <s v="1000 - Aprovação"/>
    <s v="Sim"/>
    <s v="Alocação física"/>
    <m/>
    <s v="0"/>
    <m/>
    <s v="N/A"/>
    <s v="30/09/2026 16:36:21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87/26"/>
    <n v="1128"/>
    <s v="KG"/>
    <m/>
    <n v="1131"/>
    <n v="1128"/>
    <x v="3"/>
    <x v="31"/>
    <x v="0"/>
    <s v="1000 - Aprovação"/>
    <s v="Sim"/>
    <s v="Recepção do lote"/>
    <m/>
    <s v="0"/>
    <m/>
    <s v="N/A"/>
    <s v="30/09/2026 10:34:53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89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6:45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91/26"/>
    <n v="1159"/>
    <s v="KG"/>
    <m/>
    <n v="1162"/>
    <n v="1159"/>
    <x v="3"/>
    <x v="31"/>
    <x v="0"/>
    <s v="1000 - Aprovação"/>
    <s v="Sim"/>
    <s v="Recepção do lote"/>
    <m/>
    <s v="0"/>
    <m/>
    <s v="N/A"/>
    <s v="30/09/2026 10:37:06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093/26"/>
    <n v="1139"/>
    <s v="KG"/>
    <m/>
    <n v="1142"/>
    <n v="1139"/>
    <x v="3"/>
    <x v="31"/>
    <x v="0"/>
    <s v="1000 - Aprovação"/>
    <s v="Sim"/>
    <s v="Recepção do lote"/>
    <m/>
    <s v="0"/>
    <m/>
    <s v="N/A"/>
    <s v="30/09/2026 11:01:56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95/26"/>
    <n v="1"/>
    <s v="BAG"/>
    <m/>
    <n v="798.5"/>
    <n v="798.4"/>
    <x v="2"/>
    <x v="32"/>
    <x v="0"/>
    <s v="1000 - Aprovação"/>
    <s v="Sim"/>
    <s v="Alocação física"/>
    <m/>
    <s v="0"/>
    <m/>
    <s v="N/A"/>
    <s v="30/09/2026 16:36:39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97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6:26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099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6:24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01/26"/>
    <n v="1"/>
    <s v="BAG"/>
    <m/>
    <n v="801"/>
    <n v="798.4"/>
    <x v="2"/>
    <x v="32"/>
    <x v="0"/>
    <s v="1000 - Aprovação"/>
    <s v="Sim"/>
    <s v="Alocação física"/>
    <m/>
    <s v="0"/>
    <m/>
    <s v="N/A"/>
    <s v="30/09/2026 16:36:18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03/26"/>
    <n v="1154"/>
    <s v="KG"/>
    <m/>
    <n v="1157"/>
    <n v="1154"/>
    <x v="3"/>
    <x v="31"/>
    <x v="0"/>
    <s v="1000 - Aprovação"/>
    <s v="Sim"/>
    <s v="Recepção do lote"/>
    <m/>
    <s v="0"/>
    <m/>
    <s v="N/A"/>
    <s v="30/09/2026 11:04:27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05/26"/>
    <n v="1"/>
    <s v="BAG"/>
    <m/>
    <n v="800"/>
    <n v="798.4"/>
    <x v="2"/>
    <x v="32"/>
    <x v="0"/>
    <s v="1000 - Aprovação"/>
    <s v="Sim"/>
    <s v="Alocação física"/>
    <m/>
    <s v="0"/>
    <m/>
    <s v="N/A"/>
    <s v="30/09/2026 16:36:36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07/26"/>
    <n v="1"/>
    <s v="BAG"/>
    <m/>
    <n v="801"/>
    <n v="798.4"/>
    <x v="2"/>
    <x v="32"/>
    <x v="0"/>
    <s v="1000 - Aprovação"/>
    <s v="Sim"/>
    <s v="Alocação física"/>
    <m/>
    <s v="0"/>
    <m/>
    <s v="N/A"/>
    <s v="30/09/2026 16:36:34"/>
    <m/>
    <s v=""/>
    <s v="Informativo de ensaque clean para PA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09/26"/>
    <n v="1158"/>
    <s v="KG"/>
    <m/>
    <n v="1161"/>
    <n v="1158"/>
    <x v="3"/>
    <x v="31"/>
    <x v="0"/>
    <s v="1000 - Aprovação"/>
    <s v="Sim"/>
    <s v="Recepção do lote"/>
    <m/>
    <s v="0"/>
    <m/>
    <s v="N/A"/>
    <s v="30/09/2026 11:37:49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11/26"/>
    <n v="1152"/>
    <s v="KG"/>
    <m/>
    <n v="1155"/>
    <n v="1152"/>
    <x v="3"/>
    <x v="31"/>
    <x v="0"/>
    <s v="1000 - Aprovação"/>
    <s v="Sim"/>
    <s v="Recepção do lote"/>
    <m/>
    <s v="0"/>
    <m/>
    <s v="N/A"/>
    <s v="30/09/2026 11:03:07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13/26"/>
    <n v="1161"/>
    <s v="KG"/>
    <m/>
    <n v="1164"/>
    <n v="1161"/>
    <x v="3"/>
    <x v="31"/>
    <x v="0"/>
    <s v="1000 - Aprovação"/>
    <s v="Sim"/>
    <s v="Recepção do lote"/>
    <m/>
    <s v="0"/>
    <m/>
    <s v="N/A"/>
    <s v="30/09/2026 11:39:57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15/26"/>
    <n v="1166"/>
    <s v="KG"/>
    <m/>
    <n v="1169"/>
    <n v="1166"/>
    <x v="3"/>
    <x v="31"/>
    <x v="0"/>
    <s v="1000 - Aprovação"/>
    <s v="Sim"/>
    <s v="Recepção do lote"/>
    <m/>
    <s v="0"/>
    <m/>
    <s v="N/A"/>
    <s v="30/09/2026 10:38:58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17/26"/>
    <n v="1161"/>
    <s v="KG"/>
    <m/>
    <n v="1164"/>
    <n v="1161"/>
    <x v="3"/>
    <x v="31"/>
    <x v="0"/>
    <s v="1000 - Aprovação"/>
    <s v="Sim"/>
    <s v="Recepção do lote"/>
    <m/>
    <s v="0"/>
    <m/>
    <s v="N/A"/>
    <s v="30/09/2026 10:41:47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19/26"/>
    <n v="1150"/>
    <s v="KG"/>
    <m/>
    <n v="1153"/>
    <n v="1150"/>
    <x v="3"/>
    <x v="31"/>
    <x v="0"/>
    <s v="1000 - Aprovação"/>
    <s v="Sim"/>
    <s v="Recepção do lote"/>
    <m/>
    <s v="0"/>
    <m/>
    <s v="N/A"/>
    <s v="30/09/2026 10:40:24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21/26"/>
    <n v="1153"/>
    <s v="KG"/>
    <m/>
    <n v="1156"/>
    <n v="1153"/>
    <x v="3"/>
    <x v="31"/>
    <x v="0"/>
    <s v="1000 - Aprovação"/>
    <s v="Sim"/>
    <s v="Recepção do lote"/>
    <m/>
    <s v="0"/>
    <m/>
    <s v="N/A"/>
    <s v="30/09/2026 10:50:20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23/26"/>
    <n v="1158"/>
    <s v="KG"/>
    <m/>
    <n v="1161"/>
    <n v="1158"/>
    <x v="3"/>
    <x v="31"/>
    <x v="0"/>
    <s v="1000 - Aprovação"/>
    <s v="Sim"/>
    <s v="Recepção do lote"/>
    <m/>
    <s v="0"/>
    <m/>
    <s v="N/A"/>
    <s v="30/09/2026 10:39:40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25/26"/>
    <n v="1167"/>
    <s v="KG"/>
    <m/>
    <n v="1170"/>
    <n v="1167"/>
    <x v="3"/>
    <x v="33"/>
    <x v="0"/>
    <s v="1000 - Aprovação"/>
    <s v="Sim"/>
    <s v="Recepção do lote"/>
    <m/>
    <s v="0"/>
    <m/>
    <s v="N/A"/>
    <s v="30/09/2026 10:51:36"/>
    <m/>
    <m/>
    <s v="Informativo de ensaque de classificação"/>
    <s v="null"/>
    <s v=""/>
    <m/>
  </r>
  <r>
    <s v="VALOREM - PATOS"/>
    <x v="0"/>
    <s v="GRAO DESTINADO A SEMENTE -  P3845VYHR -"/>
    <x v="1"/>
    <s v="V3I6CC0384"/>
    <s v="7345816-434001"/>
    <s v="INV26/26"/>
    <s v="C1"/>
    <s v="Informativo de ensaque de classificação"/>
    <x v="0"/>
    <s v="PREVENTIVO"/>
    <s v="EDSON JUNIOR PEREIRA LIMA"/>
    <x v="1"/>
    <s v="0026127/26"/>
    <n v="566"/>
    <s v="KG"/>
    <m/>
    <n v="569"/>
    <n v="566"/>
    <x v="3"/>
    <x v="33"/>
    <x v="0"/>
    <s v="1000 - Aprovação"/>
    <s v="Sim"/>
    <s v="Recepção do lote"/>
    <m/>
    <s v="0"/>
    <m/>
    <s v="N/A"/>
    <s v="30/09/2026 10:55:41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29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6:11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31/26"/>
    <n v="1125"/>
    <s v="KG"/>
    <m/>
    <n v="1128"/>
    <n v="1125"/>
    <x v="3"/>
    <x v="23"/>
    <x v="0"/>
    <s v="1000 - Aprovação"/>
    <s v="Sim"/>
    <s v="Recepção do lote"/>
    <m/>
    <s v="0"/>
    <m/>
    <s v="N/A"/>
    <s v="30/09/2026 16:33:29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33/26"/>
    <n v="1"/>
    <s v="BAG"/>
    <m/>
    <n v="802"/>
    <n v="798.4"/>
    <x v="2"/>
    <x v="32"/>
    <x v="0"/>
    <s v="1000 - Aprovação"/>
    <s v="Sim"/>
    <s v="Alocação física"/>
    <m/>
    <s v="0"/>
    <m/>
    <s v="N/A"/>
    <s v="30/09/2026 16:36:03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35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7:02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37/26"/>
    <n v="1189"/>
    <s v="KG"/>
    <m/>
    <n v="1192"/>
    <n v="1189"/>
    <x v="3"/>
    <x v="23"/>
    <x v="0"/>
    <s v="1000 - Aprovação"/>
    <s v="Sim"/>
    <s v="Recepção do lote"/>
    <m/>
    <s v="0"/>
    <m/>
    <s v="N/A"/>
    <s v="30/09/2026 16:34:54"/>
    <m/>
    <m/>
    <s v="Informativo de ensaque de classificação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6139/26"/>
    <n v="1199"/>
    <s v="KG"/>
    <m/>
    <n v="1202"/>
    <n v="1199"/>
    <x v="0"/>
    <x v="0"/>
    <x v="0"/>
    <s v="1000 - Aprovação"/>
    <s v="Sim"/>
    <s v="Recepção do lote"/>
    <m/>
    <s v="0"/>
    <m/>
    <s v="N/A"/>
    <s v="30/09/2026 10:57:56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6140/26"/>
    <n v="1200"/>
    <s v="KG"/>
    <m/>
    <n v="1203"/>
    <n v="1200"/>
    <x v="0"/>
    <x v="0"/>
    <x v="0"/>
    <s v="1000 - Aprovação"/>
    <s v="Sim"/>
    <s v="Recepção do lote"/>
    <m/>
    <s v="0"/>
    <m/>
    <s v="N/A"/>
    <s v="30/09/2026 10:58:05"/>
    <m/>
    <m/>
    <s v="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ALTAIR BATISTA PEREIRA"/>
    <x v="2"/>
    <s v="0026141/26"/>
    <n v="1198"/>
    <s v="KG"/>
    <m/>
    <n v="1201"/>
    <n v="1198"/>
    <x v="0"/>
    <x v="0"/>
    <x v="0"/>
    <s v="1000 - Aprovação"/>
    <s v="Sim"/>
    <s v="Recepção do lote"/>
    <m/>
    <s v="0"/>
    <m/>
    <s v="N/A"/>
    <s v="30/09/2026 10:57:48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45/26"/>
    <n v="1177"/>
    <s v="KG"/>
    <m/>
    <n v="1180"/>
    <n v="1177"/>
    <x v="0"/>
    <x v="0"/>
    <x v="0"/>
    <s v="1000 - Aprovação"/>
    <s v="Sim"/>
    <s v="Recepção do lote"/>
    <m/>
    <s v="0"/>
    <m/>
    <s v="N/A"/>
    <s v="30/09/2026 09:02:31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46/26"/>
    <n v="1192"/>
    <s v="KG"/>
    <m/>
    <n v="1195"/>
    <n v="1192"/>
    <x v="0"/>
    <x v="0"/>
    <x v="0"/>
    <s v="1000 - Aprovação"/>
    <s v="Sim"/>
    <s v="Recepção do lote"/>
    <m/>
    <s v="0"/>
    <m/>
    <s v="N/A"/>
    <s v="30/09/2026 14:34:32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47/26"/>
    <n v="1196"/>
    <s v="KG"/>
    <m/>
    <n v="1199"/>
    <n v="1196"/>
    <x v="0"/>
    <x v="0"/>
    <x v="0"/>
    <s v="1000 - Aprovação"/>
    <s v="Sim"/>
    <s v="Recepção do lote"/>
    <m/>
    <s v="0"/>
    <m/>
    <s v="N/A"/>
    <s v="30/09/2026 09:01:49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48/26"/>
    <n v="1205"/>
    <s v="KG"/>
    <m/>
    <n v="1208"/>
    <n v="1205"/>
    <x v="0"/>
    <x v="0"/>
    <x v="0"/>
    <s v="1000 - Aprovação"/>
    <s v="Sim"/>
    <s v="Recepção do lote"/>
    <m/>
    <s v="0"/>
    <m/>
    <s v="N/A"/>
    <s v="30/09/2026 09:01:41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49/26"/>
    <n v="1190"/>
    <s v="KG"/>
    <m/>
    <n v="1193"/>
    <n v="1190"/>
    <x v="0"/>
    <x v="0"/>
    <x v="0"/>
    <s v="1000 - Aprovação"/>
    <s v="Sim"/>
    <s v="Recepção do lote"/>
    <m/>
    <s v="0"/>
    <m/>
    <s v="N/A"/>
    <s v="30/09/2026 14:34:40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0/26"/>
    <n v="1189"/>
    <s v="KG"/>
    <m/>
    <n v="1192"/>
    <n v="1189"/>
    <x v="0"/>
    <x v="0"/>
    <x v="0"/>
    <s v="1000 - Aprovação"/>
    <s v="Sim"/>
    <s v="Recepção do lote"/>
    <m/>
    <s v="0"/>
    <m/>
    <s v="N/A"/>
    <s v="30/09/2026 14:33:27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1/26"/>
    <n v="1191"/>
    <s v="KG"/>
    <m/>
    <n v="1194"/>
    <n v="1191"/>
    <x v="0"/>
    <x v="0"/>
    <x v="0"/>
    <s v="1000 - Aprovação"/>
    <s v="Sim"/>
    <s v="Recepção do lote"/>
    <m/>
    <s v="0"/>
    <m/>
    <s v="N/A"/>
    <s v="30/09/2026 09:02:21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2/26"/>
    <n v="1192"/>
    <s v="KG"/>
    <m/>
    <n v="1195"/>
    <n v="1192"/>
    <x v="0"/>
    <x v="0"/>
    <x v="0"/>
    <s v="1000 - Aprovação"/>
    <s v="Sim"/>
    <s v="Recepção do lote"/>
    <m/>
    <s v="0"/>
    <m/>
    <s v="N/A"/>
    <s v="30/09/2026 09:02:13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3/26"/>
    <n v="1198"/>
    <s v="KG"/>
    <m/>
    <n v="1201"/>
    <n v="1198"/>
    <x v="0"/>
    <x v="0"/>
    <x v="0"/>
    <s v="1000 - Aprovação"/>
    <s v="Sim"/>
    <s v="Recepção do lote"/>
    <m/>
    <s v="0"/>
    <m/>
    <s v="N/A"/>
    <s v="30/09/2026 14:34:56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4/26"/>
    <n v="1212"/>
    <s v="KG"/>
    <m/>
    <n v="1215"/>
    <n v="1212"/>
    <x v="0"/>
    <x v="0"/>
    <x v="0"/>
    <s v="1000 - Aprovação"/>
    <s v="Sim"/>
    <s v="Recepção do lote"/>
    <m/>
    <s v="0"/>
    <m/>
    <s v="N/A"/>
    <s v="30/09/2026 09:02:05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5/26"/>
    <n v="1201"/>
    <s v="KG"/>
    <m/>
    <n v="1204"/>
    <n v="1201"/>
    <x v="0"/>
    <x v="0"/>
    <x v="0"/>
    <s v="1000 - Aprovação"/>
    <s v="Sim"/>
    <s v="Recepção do lote"/>
    <m/>
    <s v="0"/>
    <m/>
    <s v="N/A"/>
    <s v="30/09/2026 14:33:36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6/26"/>
    <n v="1181"/>
    <s v="KG"/>
    <m/>
    <n v="1184"/>
    <n v="1181"/>
    <x v="0"/>
    <x v="0"/>
    <x v="0"/>
    <s v="1000 - Aprovação"/>
    <s v="Sim"/>
    <s v="Recepção do lote"/>
    <m/>
    <s v="0"/>
    <m/>
    <s v="N/A"/>
    <s v="30/09/2026 14:33:15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7/26"/>
    <n v="1193"/>
    <s v="KG"/>
    <m/>
    <n v="1196"/>
    <n v="1193"/>
    <x v="0"/>
    <x v="0"/>
    <x v="0"/>
    <s v="1000 - Aprovação"/>
    <s v="Sim"/>
    <s v="Recepção do lote"/>
    <m/>
    <s v="0"/>
    <m/>
    <s v="N/A"/>
    <s v="30/09/2026 14:34:48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8/26"/>
    <n v="1201"/>
    <s v="KG"/>
    <m/>
    <n v="1204"/>
    <n v="1201"/>
    <x v="0"/>
    <x v="0"/>
    <x v="0"/>
    <s v="1000 - Aprovação"/>
    <s v="Sim"/>
    <s v="Recepção do lote"/>
    <m/>
    <s v="0"/>
    <m/>
    <s v="N/A"/>
    <s v="30/09/2026 14:33:54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59/26"/>
    <n v="1187"/>
    <s v="KG"/>
    <m/>
    <n v="1190"/>
    <n v="1187"/>
    <x v="0"/>
    <x v="0"/>
    <x v="0"/>
    <s v="1000 - Aprovação"/>
    <s v="Sim"/>
    <s v="Recepção do lote"/>
    <m/>
    <s v="0"/>
    <m/>
    <s v="N/A"/>
    <s v="30/09/2026 14:35:37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0/26"/>
    <n v="1186"/>
    <s v="KG"/>
    <m/>
    <n v="1189"/>
    <n v="1186"/>
    <x v="0"/>
    <x v="0"/>
    <x v="0"/>
    <s v="1000 - Aprovação"/>
    <s v="Sim"/>
    <s v="Recepção do lote"/>
    <m/>
    <s v="0"/>
    <m/>
    <s v="N/A"/>
    <s v="30/09/2026 14:35:22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1/26"/>
    <n v="1188"/>
    <s v="KG"/>
    <m/>
    <n v="1191"/>
    <n v="1188"/>
    <x v="0"/>
    <x v="0"/>
    <x v="0"/>
    <s v="1000 - Aprovação"/>
    <s v="Sim"/>
    <s v="Recepção do lote"/>
    <m/>
    <s v="0"/>
    <m/>
    <s v="N/A"/>
    <s v="30/09/2026 09:01:57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2/26"/>
    <n v="1203"/>
    <s v="KG"/>
    <m/>
    <n v="1206"/>
    <n v="1203"/>
    <x v="0"/>
    <x v="0"/>
    <x v="0"/>
    <s v="1000 - Aprovação"/>
    <s v="Sim"/>
    <s v="Recepção do lote"/>
    <m/>
    <s v="0"/>
    <m/>
    <s v="N/A"/>
    <s v="30/09/2026 14:33:45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3/26"/>
    <n v="1189"/>
    <s v="KG"/>
    <m/>
    <n v="1192"/>
    <n v="1189"/>
    <x v="0"/>
    <x v="0"/>
    <x v="0"/>
    <s v="1000 - Aprovação"/>
    <s v="Sim"/>
    <s v="Recepção do lote"/>
    <m/>
    <s v="0"/>
    <m/>
    <s v="N/A"/>
    <s v="30/09/2026 14:34:12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4/26"/>
    <n v="1190"/>
    <s v="KG"/>
    <m/>
    <n v="1193"/>
    <n v="1190"/>
    <x v="0"/>
    <x v="0"/>
    <x v="0"/>
    <s v="1000 - Aprovação"/>
    <s v="Sim"/>
    <s v="Recepção do lote"/>
    <m/>
    <s v="0"/>
    <m/>
    <s v="N/A"/>
    <s v="30/09/2026 09:03:21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5/26"/>
    <n v="1190"/>
    <s v="KG"/>
    <m/>
    <n v="1193"/>
    <n v="1190"/>
    <x v="0"/>
    <x v="0"/>
    <x v="0"/>
    <s v="1000 - Aprovação"/>
    <s v="Sim"/>
    <s v="Recepção do lote"/>
    <m/>
    <s v="0"/>
    <m/>
    <s v="N/A"/>
    <s v="30/09/2026 09:03:12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6/26"/>
    <n v="1191"/>
    <s v="KG"/>
    <m/>
    <n v="1194"/>
    <n v="1191"/>
    <x v="0"/>
    <x v="0"/>
    <x v="0"/>
    <s v="1000 - Aprovação"/>
    <s v="Sim"/>
    <s v="Recepção do lote"/>
    <m/>
    <s v="0"/>
    <m/>
    <s v="N/A"/>
    <s v="30/09/2026 14:35:06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7/26"/>
    <n v="1189"/>
    <s v="KG"/>
    <m/>
    <n v="1192"/>
    <n v="1189"/>
    <x v="0"/>
    <x v="0"/>
    <x v="0"/>
    <s v="1000 - Aprovação"/>
    <s v="Sim"/>
    <s v="Recepção do lote"/>
    <m/>
    <s v="0"/>
    <m/>
    <s v="N/A"/>
    <s v="30/09/2026 09:03:04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8/26"/>
    <n v="1190"/>
    <s v="KG"/>
    <m/>
    <n v="1193"/>
    <n v="1190"/>
    <x v="0"/>
    <x v="0"/>
    <x v="0"/>
    <s v="1000 - Aprovação"/>
    <s v="Sim"/>
    <s v="Recepção do lote"/>
    <m/>
    <s v="0"/>
    <m/>
    <s v="N/A"/>
    <s v="30/09/2026 14:35:14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69/26"/>
    <n v="1190"/>
    <s v="KG"/>
    <m/>
    <n v="1193"/>
    <n v="1190"/>
    <x v="0"/>
    <x v="0"/>
    <x v="0"/>
    <s v="1000 - Aprovação"/>
    <s v="Sim"/>
    <s v="Recepção do lote"/>
    <m/>
    <s v="0"/>
    <m/>
    <s v="N/A"/>
    <s v="30/09/2026 09:03:39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0/26"/>
    <n v="1190"/>
    <s v="KG"/>
    <m/>
    <n v="1193"/>
    <n v="1190"/>
    <x v="0"/>
    <x v="0"/>
    <x v="0"/>
    <s v="1000 - Aprovação"/>
    <s v="Sim"/>
    <s v="Recepção do lote"/>
    <m/>
    <s v="0"/>
    <m/>
    <s v="N/A"/>
    <s v="30/09/2026 09:03:30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1/26"/>
    <n v="1187"/>
    <s v="KG"/>
    <m/>
    <n v="1190"/>
    <n v="1187"/>
    <x v="0"/>
    <x v="0"/>
    <x v="0"/>
    <s v="1000 - Aprovação"/>
    <s v="Sim"/>
    <s v="Recepção do lote"/>
    <m/>
    <s v="0"/>
    <m/>
    <s v="N/A"/>
    <s v="30/09/2026 09:02:58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2/26"/>
    <n v="1185"/>
    <s v="KG"/>
    <m/>
    <n v="1188"/>
    <n v="1185"/>
    <x v="0"/>
    <x v="0"/>
    <x v="0"/>
    <s v="1000 - Aprovação"/>
    <s v="Sim"/>
    <s v="Recepção do lote"/>
    <m/>
    <s v="0"/>
    <m/>
    <s v="N/A"/>
    <s v="30/09/2026 09:02:49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3/26"/>
    <n v="1178"/>
    <s v="KG"/>
    <m/>
    <n v="1181"/>
    <n v="1178"/>
    <x v="0"/>
    <x v="0"/>
    <x v="0"/>
    <s v="1000 - Aprovação"/>
    <s v="Sim"/>
    <s v="Recepção do lote"/>
    <m/>
    <s v="0"/>
    <m/>
    <s v="N/A"/>
    <s v="30/09/2026 09:02:39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4/26"/>
    <n v="1195"/>
    <s v="KG"/>
    <m/>
    <n v="1198"/>
    <n v="1195"/>
    <x v="0"/>
    <x v="0"/>
    <x v="0"/>
    <s v="1000 - Aprovação"/>
    <s v="Sim"/>
    <s v="Recepção do lote"/>
    <m/>
    <s v="0"/>
    <m/>
    <s v="N/A"/>
    <s v="30/09/2026 14:35:31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5/26"/>
    <n v="1198"/>
    <s v="KG"/>
    <m/>
    <n v="1201"/>
    <n v="1198"/>
    <x v="0"/>
    <x v="0"/>
    <x v="0"/>
    <s v="1000 - Aprovação"/>
    <s v="Sim"/>
    <s v="Recepção do lote"/>
    <m/>
    <s v="0"/>
    <m/>
    <s v="N/A"/>
    <s v="30/09/2026 09:01:16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6/26"/>
    <n v="1184"/>
    <s v="KG"/>
    <m/>
    <n v="1187"/>
    <n v="1184"/>
    <x v="0"/>
    <x v="0"/>
    <x v="0"/>
    <s v="1000 - Aprovação"/>
    <s v="Sim"/>
    <s v="Recepção do lote"/>
    <m/>
    <s v="0"/>
    <m/>
    <s v="N/A"/>
    <s v="30/09/2026 09:01:07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7/26"/>
    <n v="1178"/>
    <s v="KG"/>
    <m/>
    <n v="1181"/>
    <n v="1178"/>
    <x v="0"/>
    <x v="0"/>
    <x v="0"/>
    <s v="1000 - Aprovação"/>
    <s v="Sim"/>
    <s v="Recepção do lote"/>
    <m/>
    <s v="0"/>
    <m/>
    <s v="N/A"/>
    <s v="30/09/2026 14:34:22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8/26"/>
    <n v="1181"/>
    <s v="KG"/>
    <m/>
    <n v="1184"/>
    <n v="1181"/>
    <x v="0"/>
    <x v="0"/>
    <x v="0"/>
    <s v="1000 - Aprovação"/>
    <s v="Sim"/>
    <s v="Recepção do lote"/>
    <m/>
    <s v="0"/>
    <m/>
    <s v="N/A"/>
    <s v="30/09/2026 14:34:03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79/26"/>
    <n v="1205"/>
    <s v="KG"/>
    <m/>
    <n v="1208"/>
    <n v="1205"/>
    <x v="0"/>
    <x v="0"/>
    <x v="0"/>
    <s v="1000 - Aprovação"/>
    <s v="Sim"/>
    <s v="Recepção do lote"/>
    <m/>
    <s v="0"/>
    <m/>
    <s v="N/A"/>
    <s v="30/09/2026 09:01:33"/>
    <m/>
    <m/>
    <s v="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ALTAIR BATISTA PEREIRA"/>
    <x v="2"/>
    <s v="0026180/26"/>
    <n v="1202"/>
    <s v="KG"/>
    <m/>
    <n v="1205"/>
    <n v="1202"/>
    <x v="0"/>
    <x v="0"/>
    <x v="0"/>
    <s v="1000 - Aprovação"/>
    <s v="Sim"/>
    <s v="Recepção do lote"/>
    <m/>
    <s v="0"/>
    <m/>
    <s v="N/A"/>
    <s v="30/09/2026 09:01:24"/>
    <m/>
    <m/>
    <s v="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81/26"/>
    <n v="1"/>
    <s v="BAG"/>
    <m/>
    <n v="805"/>
    <n v="798.4"/>
    <x v="2"/>
    <x v="32"/>
    <x v="0"/>
    <s v="1000 - Aprovação"/>
    <s v="Sim"/>
    <s v="Alocação física"/>
    <m/>
    <s v="0"/>
    <m/>
    <s v="N/A"/>
    <s v="30/09/2026 16:36:53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83/26"/>
    <n v="1143"/>
    <s v="KG"/>
    <m/>
    <n v="1146"/>
    <n v="1143"/>
    <x v="3"/>
    <x v="23"/>
    <x v="0"/>
    <s v="1000 - Aprovação"/>
    <s v="Sim"/>
    <s v="Recepção do lote"/>
    <m/>
    <s v="0"/>
    <m/>
    <s v="N/A"/>
    <s v="30/09/2026 16:32:52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85/26"/>
    <n v="1"/>
    <s v="BAG"/>
    <m/>
    <n v="806"/>
    <n v="798.4"/>
    <x v="2"/>
    <x v="32"/>
    <x v="0"/>
    <s v="1000 - Aprovação"/>
    <s v="Sim"/>
    <s v="Alocação física"/>
    <m/>
    <s v="0"/>
    <m/>
    <s v="N/A"/>
    <s v="30/09/2026 16:37:05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87/26"/>
    <n v="1108"/>
    <s v="KG"/>
    <m/>
    <n v="1111"/>
    <n v="1108"/>
    <x v="3"/>
    <x v="23"/>
    <x v="0"/>
    <s v="1000 - Aprovação"/>
    <s v="Sim"/>
    <s v="Recepção do lote"/>
    <m/>
    <s v="0"/>
    <m/>
    <s v="N/A"/>
    <s v="30/09/2026 16:29:15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89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6:57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91/26"/>
    <n v="1126"/>
    <s v="KG"/>
    <m/>
    <n v="1129"/>
    <n v="1126"/>
    <x v="3"/>
    <x v="23"/>
    <x v="0"/>
    <s v="1000 - Aprovação"/>
    <s v="Sim"/>
    <s v="Recepção do lote"/>
    <m/>
    <s v="0"/>
    <m/>
    <s v="N/A"/>
    <s v="30/09/2026 16:34:14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193/26"/>
    <n v="1"/>
    <s v="BAG"/>
    <m/>
    <n v="805"/>
    <n v="798.4"/>
    <x v="2"/>
    <x v="32"/>
    <x v="0"/>
    <s v="1000 - Aprovação"/>
    <s v="Sim"/>
    <s v="Alocação física"/>
    <m/>
    <s v="0"/>
    <m/>
    <s v="N/A"/>
    <s v="30/09/2026 16:37:08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95/26"/>
    <n v="1111"/>
    <s v="KG"/>
    <m/>
    <n v="1114"/>
    <n v="1111"/>
    <x v="3"/>
    <x v="23"/>
    <x v="0"/>
    <s v="1000 - Aprovação"/>
    <s v="Sim"/>
    <s v="Recepção do lote"/>
    <m/>
    <s v="0"/>
    <m/>
    <s v="N/A"/>
    <s v="30/09/2026 16:31:25"/>
    <m/>
    <m/>
    <s v="Informativo de ensaque de classificação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97/26"/>
    <n v="1179"/>
    <s v="KG"/>
    <m/>
    <n v="1182"/>
    <n v="1179"/>
    <x v="3"/>
    <x v="23"/>
    <x v="0"/>
    <s v="1000 - Aprovação"/>
    <s v="Sim"/>
    <s v="Recepção do lote"/>
    <m/>
    <s v="0"/>
    <m/>
    <s v="N/A"/>
    <s v="30/09/2026 16:29:59"/>
    <m/>
    <m/>
    <s v="Informativo de ensaque de classificação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199/26"/>
    <n v="1142"/>
    <s v="KG"/>
    <m/>
    <n v="1145"/>
    <n v="1142"/>
    <x v="3"/>
    <x v="23"/>
    <x v="0"/>
    <s v="1000 - Aprovação"/>
    <s v="Sim"/>
    <s v="Recepção do lote"/>
    <m/>
    <s v="0"/>
    <m/>
    <s v="N/A"/>
    <s v="30/09/2026 16:30:38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01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6:59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203/26"/>
    <n v="1127"/>
    <s v="KG"/>
    <m/>
    <n v="1130"/>
    <n v="1127"/>
    <x v="3"/>
    <x v="23"/>
    <x v="0"/>
    <s v="1000 - Aprovação"/>
    <s v="Sim"/>
    <s v="Recepção do lote"/>
    <m/>
    <s v="0"/>
    <m/>
    <s v="N/A"/>
    <s v="30/09/2026 16:32:03"/>
    <m/>
    <m/>
    <s v="Informativo de ensaque de classificação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205/26"/>
    <n v="1155"/>
    <s v="KG"/>
    <m/>
    <n v="1158"/>
    <n v="1155"/>
    <x v="3"/>
    <x v="23"/>
    <x v="0"/>
    <s v="1000 - Aprovação"/>
    <s v="Sim"/>
    <s v="Recepção do lote"/>
    <m/>
    <s v="0"/>
    <m/>
    <s v="N/A"/>
    <s v="30/09/2026 16:37:27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07/26"/>
    <n v="1"/>
    <s v="BAG"/>
    <m/>
    <n v="805"/>
    <n v="798.4"/>
    <x v="2"/>
    <x v="32"/>
    <x v="0"/>
    <s v="1000 - Aprovação"/>
    <s v="Sim"/>
    <s v="Alocação física"/>
    <m/>
    <s v="0"/>
    <m/>
    <s v="N/A"/>
    <s v="30/09/2026 16:37:10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209/26"/>
    <n v="1124"/>
    <s v="KG"/>
    <m/>
    <n v="1127"/>
    <n v="1124"/>
    <x v="3"/>
    <x v="23"/>
    <x v="0"/>
    <s v="1000 - Aprovação"/>
    <s v="Sim"/>
    <s v="Recepção do lote"/>
    <m/>
    <s v="0"/>
    <m/>
    <s v="N/A"/>
    <s v="30/09/2026 16:36:47"/>
    <m/>
    <m/>
    <s v="Informativo de ensaque de classificação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211/26"/>
    <n v="1157"/>
    <s v="KG"/>
    <m/>
    <n v="1160"/>
    <n v="1157"/>
    <x v="3"/>
    <x v="23"/>
    <x v="0"/>
    <s v="1000 - Aprovação"/>
    <s v="Sim"/>
    <s v="Recepção do lote"/>
    <m/>
    <s v="0"/>
    <m/>
    <s v="N/A"/>
    <s v="30/09/2026 16:38:11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13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6:50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15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6:47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217/26"/>
    <n v="1107"/>
    <s v="KG"/>
    <m/>
    <n v="1110"/>
    <n v="1107"/>
    <x v="3"/>
    <x v="23"/>
    <x v="0"/>
    <s v="1000 - Aprovação"/>
    <s v="Sim"/>
    <s v="Recepção do lote"/>
    <m/>
    <s v="0"/>
    <m/>
    <s v="N/A"/>
    <s v="30/09/2026 16:38:47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19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6:06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21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6:08"/>
    <m/>
    <s v=""/>
    <s v="Informativo de ensaque clean para PA"/>
    <s v="null"/>
    <s v=""/>
    <m/>
  </r>
  <r>
    <s v="VALOREM - PATOS"/>
    <x v="0"/>
    <s v="GRAO DESTINADO A SEMENTE -  P3845VYHR -"/>
    <x v="1"/>
    <s v="V3I6CC0385"/>
    <s v="7345816-434001"/>
    <s v="INV26/26"/>
    <s v="C2"/>
    <s v="Informativo de ensaque de classificação"/>
    <x v="0"/>
    <s v="PREVENTIVO"/>
    <s v="EDSON JUNIOR PEREIRA LIMA"/>
    <x v="1"/>
    <s v="0026223/26"/>
    <n v="628"/>
    <s v="KG"/>
    <m/>
    <n v="631"/>
    <n v="628"/>
    <x v="3"/>
    <x v="23"/>
    <x v="0"/>
    <s v="1000 - Aprovação"/>
    <s v="Sim"/>
    <s v="Recepção do lote"/>
    <m/>
    <s v="0"/>
    <m/>
    <s v="N/A"/>
    <s v="30/09/2026 16:35:36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25/26"/>
    <n v="1"/>
    <s v="BAG"/>
    <m/>
    <n v="805"/>
    <n v="798.4"/>
    <x v="2"/>
    <x v="32"/>
    <x v="0"/>
    <s v="1000 - Aprovação"/>
    <s v="Sim"/>
    <s v="Alocação física"/>
    <m/>
    <s v="0"/>
    <m/>
    <s v="N/A"/>
    <s v="30/09/2026 16:36:13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27/26"/>
    <n v="1"/>
    <s v="BAG"/>
    <m/>
    <n v="801"/>
    <n v="798.4"/>
    <x v="2"/>
    <x v="32"/>
    <x v="0"/>
    <s v="1000 - Aprovação"/>
    <s v="Sim"/>
    <s v="Alocação física"/>
    <m/>
    <s v="0"/>
    <m/>
    <s v="N/A"/>
    <s v="30/09/2026 16:37:47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29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7:37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31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7:44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33/26"/>
    <n v="1"/>
    <s v="BAG"/>
    <m/>
    <n v="802"/>
    <n v="798.4"/>
    <x v="2"/>
    <x v="32"/>
    <x v="0"/>
    <s v="1000 - Aprovação"/>
    <s v="Sim"/>
    <s v="Alocação física"/>
    <m/>
    <s v="0"/>
    <m/>
    <s v="N/A"/>
    <s v="30/09/2026 16:37:34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35/26"/>
    <n v="1133"/>
    <s v="KG"/>
    <m/>
    <n v="1136"/>
    <n v="1133"/>
    <x v="3"/>
    <x v="25"/>
    <x v="0"/>
    <s v="1000 - Aprovação"/>
    <s v="Sim"/>
    <s v="Recepção do lote"/>
    <m/>
    <s v="0"/>
    <m/>
    <s v="N/A"/>
    <s v="30/09/2026 16:24:47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37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7:42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39/26"/>
    <n v="1151"/>
    <s v="KG"/>
    <m/>
    <n v="1154"/>
    <n v="1151"/>
    <x v="3"/>
    <x v="25"/>
    <x v="0"/>
    <s v="1000 - Aprovação"/>
    <s v="Sim"/>
    <s v="Recepção do lote"/>
    <m/>
    <s v="0"/>
    <m/>
    <s v="N/A"/>
    <s v="30/09/2026 16:26:09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41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7:32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43/26"/>
    <n v="1116"/>
    <s v="KG"/>
    <m/>
    <n v="1119"/>
    <n v="1116"/>
    <x v="3"/>
    <x v="25"/>
    <x v="0"/>
    <s v="1000 - Aprovação"/>
    <s v="Sim"/>
    <s v="Recepção do lote"/>
    <m/>
    <s v="0"/>
    <m/>
    <s v="N/A"/>
    <s v="30/09/2026 16:24:03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45/26"/>
    <n v="1"/>
    <s v="BAG"/>
    <m/>
    <n v="805"/>
    <n v="798.4"/>
    <x v="2"/>
    <x v="32"/>
    <x v="0"/>
    <s v="1000 - Aprovação"/>
    <s v="Sim"/>
    <s v="Alocação física"/>
    <m/>
    <s v="0"/>
    <m/>
    <s v="N/A"/>
    <s v="30/09/2026 16:37:39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47/26"/>
    <n v="1106"/>
    <s v="KG"/>
    <m/>
    <n v="1109"/>
    <n v="1106"/>
    <x v="3"/>
    <x v="25"/>
    <x v="0"/>
    <s v="1000 - Aprovação"/>
    <s v="Sim"/>
    <s v="Recepção do lote"/>
    <m/>
    <s v="0"/>
    <m/>
    <s v="N/A"/>
    <s v="30/09/2026 16:25:26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49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7:26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51/26"/>
    <n v="1"/>
    <s v="BAG"/>
    <m/>
    <n v="803"/>
    <n v="798.4"/>
    <x v="2"/>
    <x v="32"/>
    <x v="0"/>
    <s v="1000 - Aprovação"/>
    <s v="Sim"/>
    <s v="Alocação física"/>
    <m/>
    <s v="0"/>
    <m/>
    <s v="N/A"/>
    <s v="30/09/2026 16:37:18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53/26"/>
    <n v="1"/>
    <s v="BAG"/>
    <m/>
    <n v="802"/>
    <n v="798.4"/>
    <x v="2"/>
    <x v="32"/>
    <x v="0"/>
    <s v="1000 - Aprovação"/>
    <s v="Sim"/>
    <s v="Alocação física"/>
    <m/>
    <s v="0"/>
    <m/>
    <s v="N/A"/>
    <s v="30/09/2026 16:37:16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55/26"/>
    <n v="1132"/>
    <s v="KG"/>
    <m/>
    <n v="1135"/>
    <n v="1132"/>
    <x v="3"/>
    <x v="25"/>
    <x v="0"/>
    <s v="1000 - Aprovação"/>
    <s v="Sim"/>
    <s v="Recepção do lote"/>
    <m/>
    <s v="0"/>
    <m/>
    <s v="N/A"/>
    <s v="30/09/2026 16:19:27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57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7:29"/>
    <m/>
    <s v=""/>
    <s v="Informativo de ensaque clean para PA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59/26"/>
    <n v="1"/>
    <s v="BAG"/>
    <m/>
    <n v="801"/>
    <n v="798.4"/>
    <x v="2"/>
    <x v="32"/>
    <x v="0"/>
    <s v="1000 - Aprovação"/>
    <s v="Sim"/>
    <s v="Alocação física"/>
    <m/>
    <s v="0"/>
    <m/>
    <s v="N/A"/>
    <s v="30/09/2026 16:37:23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61/26"/>
    <n v="1136"/>
    <s v="KG"/>
    <m/>
    <n v="1139"/>
    <n v="1136"/>
    <x v="3"/>
    <x v="25"/>
    <x v="0"/>
    <s v="1000 - Aprovação"/>
    <s v="Sim"/>
    <s v="Recepção do lote"/>
    <m/>
    <s v="0"/>
    <m/>
    <s v="N/A"/>
    <s v="30/09/2026 16:20:24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63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7:13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65/26"/>
    <n v="1161"/>
    <s v="KG"/>
    <m/>
    <n v="1164"/>
    <n v="1161"/>
    <x v="3"/>
    <x v="25"/>
    <x v="0"/>
    <s v="1000 - Aprovação"/>
    <s v="Sim"/>
    <s v="Recepção do lote"/>
    <m/>
    <s v="0"/>
    <m/>
    <s v="N/A"/>
    <s v="30/09/2026 16:22:03"/>
    <m/>
    <m/>
    <s v="Informativo de ensaque de classificação"/>
    <s v="null"/>
    <s v=""/>
    <m/>
  </r>
  <r>
    <s v="VALOREM - PATOS"/>
    <x v="0"/>
    <s v="SEMENTE DE MILHO HIBRIDO - P3845VYHR PC1 BB -"/>
    <x v="1"/>
    <s v="05P7622517"/>
    <s v="7345816-434001"/>
    <s v="INV26/26"/>
    <s v="C1"/>
    <s v="Informativo de ensaque clean para PA"/>
    <x v="1"/>
    <s v="STANDARD + P + D + L + L"/>
    <s v="GUILHERME ALFENAS DE OLIVEIRA"/>
    <x v="1"/>
    <s v="0026267/26"/>
    <n v="1"/>
    <s v="BAG"/>
    <m/>
    <n v="804"/>
    <n v="798.4"/>
    <x v="2"/>
    <x v="32"/>
    <x v="0"/>
    <s v="1000 - Aprovação"/>
    <s v="Sim"/>
    <s v="Alocação física"/>
    <m/>
    <s v="0"/>
    <m/>
    <s v="N/A"/>
    <s v="30/09/2026 16:37:21"/>
    <m/>
    <s v=""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69/26"/>
    <n v="1107"/>
    <s v="KG"/>
    <m/>
    <n v="1110"/>
    <n v="1107"/>
    <x v="3"/>
    <x v="25"/>
    <x v="0"/>
    <s v="1000 - Aprovação"/>
    <s v="Sim"/>
    <s v="Recepção do lote"/>
    <m/>
    <s v="0"/>
    <m/>
    <s v="N/A"/>
    <s v="30/09/2026 16:22:50"/>
    <m/>
    <m/>
    <s v="Informativo de ensaque de classificação"/>
    <s v="null"/>
    <s v=""/>
    <m/>
  </r>
  <r>
    <s v="VALOREM - PATOS"/>
    <x v="0"/>
    <s v="SEMENTE DE MILHO HIBRIDO - P3845VYHR PC1 60S -"/>
    <x v="1"/>
    <s v="05P7643448"/>
    <s v="7345816-434001"/>
    <s v="INV26/26"/>
    <s v="C1"/>
    <s v="Informativo de ensaque clean para PA"/>
    <x v="2"/>
    <s v="STANDARD + P + D + L + L"/>
    <s v="EDSON JUNIOR PEREIRA LIMA"/>
    <x v="1"/>
    <s v="0026271/26"/>
    <n v="26"/>
    <s v="SC"/>
    <m/>
    <n v="551"/>
    <n v="518.96"/>
    <x v="2"/>
    <x v="19"/>
    <x v="0"/>
    <s v="Análise Setor de Qualidade"/>
    <s v="Não"/>
    <s v="Recepção do lote"/>
    <m/>
    <s v="0"/>
    <m/>
    <s v="N/A"/>
    <s v="30/09/2026 14:35:48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272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25:47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273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08:03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274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09:25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275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08:58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276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07:32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277/26"/>
    <n v="1"/>
    <s v="BAG"/>
    <m/>
    <n v="624"/>
    <n v="622.4"/>
    <x v="2"/>
    <x v="34"/>
    <x v="0"/>
    <s v="1000 - Aprovação"/>
    <s v="Sim"/>
    <s v="Recepção do lote"/>
    <m/>
    <s v="0"/>
    <m/>
    <s v="N/A"/>
    <s v="30/09/2026 17:08:32"/>
    <m/>
    <m/>
    <s v="Informativo de ensaque clean para PA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78/26"/>
    <n v="970"/>
    <s v="KG"/>
    <m/>
    <n v="973"/>
    <n v="970"/>
    <x v="3"/>
    <x v="25"/>
    <x v="0"/>
    <s v="1000 - Aprovação"/>
    <s v="Sim"/>
    <s v="Recepção do lote"/>
    <m/>
    <s v="0"/>
    <m/>
    <s v="N/A"/>
    <s v="30/09/2026 16:42:06"/>
    <m/>
    <m/>
    <s v="Informativo de ensaque de classificação"/>
    <s v="null"/>
    <s v=""/>
    <m/>
  </r>
  <r>
    <s v="VALOREM - PATOS"/>
    <x v="0"/>
    <s v="GRAO DESTINADO A SEMENTE -  P3845VYHR -"/>
    <x v="1"/>
    <s v="V3I6CC0386"/>
    <s v="7345816-434001"/>
    <s v="INV26/26"/>
    <s v="R2C"/>
    <s v="Informativo de ensaque de classificação"/>
    <x v="0"/>
    <s v="PREVENTIVO"/>
    <s v="EDSON JUNIOR PEREIRA LIMA"/>
    <x v="1"/>
    <s v="0026280/26"/>
    <n v="322"/>
    <s v="KG"/>
    <m/>
    <n v="325"/>
    <n v="322"/>
    <x v="3"/>
    <x v="25"/>
    <x v="0"/>
    <s v="1000 - Aprovação"/>
    <s v="Sim"/>
    <s v="Recepção do lote"/>
    <m/>
    <s v="0"/>
    <m/>
    <s v="N/A"/>
    <s v="30/09/2026 16:42:47"/>
    <m/>
    <m/>
    <s v="Informativo de ensaque de classificação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282/26"/>
    <n v="1"/>
    <s v="BAG"/>
    <m/>
    <n v="627"/>
    <n v="622.4"/>
    <x v="2"/>
    <x v="34"/>
    <x v="0"/>
    <s v="1000 - Aprovação"/>
    <s v="Sim"/>
    <s v="Recepção do lote"/>
    <m/>
    <s v="0"/>
    <m/>
    <s v="N/A"/>
    <s v="30/09/2026 17:26:26"/>
    <m/>
    <m/>
    <s v="Informativo de ensaque clean para PA"/>
    <s v="null"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83/26"/>
    <n v="756"/>
    <s v="KG"/>
    <m/>
    <n v="759"/>
    <n v="756"/>
    <x v="0"/>
    <x v="0"/>
    <x v="1"/>
    <s v="1000 - Aprovação"/>
    <s v="Sim"/>
    <s v="Inicial"/>
    <m/>
    <s v="0"/>
    <m/>
    <s v="N/A"/>
    <s v="30/09/2026 13:07:27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84/26"/>
    <n v="1172"/>
    <s v="KG"/>
    <m/>
    <n v="1175"/>
    <n v="1172"/>
    <x v="0"/>
    <x v="0"/>
    <x v="1"/>
    <s v="1000 - Aprovação"/>
    <s v="Sim"/>
    <s v="Inicial"/>
    <m/>
    <s v="0"/>
    <m/>
    <s v="N/A"/>
    <s v="30/09/2026 13:07:27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85/26"/>
    <n v="1193"/>
    <s v="KG"/>
    <m/>
    <n v="1196"/>
    <n v="1193"/>
    <x v="0"/>
    <x v="0"/>
    <x v="1"/>
    <s v="1000 - Aprovação"/>
    <s v="Sim"/>
    <s v="Inicial"/>
    <m/>
    <s v="0"/>
    <m/>
    <s v="N/A"/>
    <s v="30/09/2026 13:07:28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86/26"/>
    <n v="1189"/>
    <s v="KG"/>
    <m/>
    <n v="1191"/>
    <n v="1189"/>
    <x v="0"/>
    <x v="0"/>
    <x v="1"/>
    <s v="1000 - Aprovação"/>
    <s v="Sim"/>
    <s v="Inicial"/>
    <m/>
    <s v="0"/>
    <m/>
    <s v="N/A"/>
    <s v="30/09/2026 13:07:28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87/26"/>
    <n v="1183"/>
    <s v="KG"/>
    <m/>
    <n v="1186"/>
    <n v="1183"/>
    <x v="0"/>
    <x v="0"/>
    <x v="1"/>
    <s v="1000 - Aprovação"/>
    <s v="Sim"/>
    <s v="Inicial"/>
    <m/>
    <s v="0"/>
    <m/>
    <s v="N/A"/>
    <s v="30/09/2026 13:07:28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88/26"/>
    <n v="1187"/>
    <s v="KG"/>
    <m/>
    <n v="1190"/>
    <n v="1187"/>
    <x v="0"/>
    <x v="0"/>
    <x v="1"/>
    <s v="1000 - Aprovação"/>
    <s v="Sim"/>
    <s v="Inicial"/>
    <m/>
    <s v="0"/>
    <m/>
    <s v="N/A"/>
    <s v="30/09/2026 13:07:29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89/26"/>
    <n v="1197"/>
    <s v="KG"/>
    <m/>
    <n v="1200"/>
    <n v="1197"/>
    <x v="0"/>
    <x v="0"/>
    <x v="1"/>
    <s v="1000 - Aprovação"/>
    <s v="Sim"/>
    <s v="Inicial"/>
    <m/>
    <s v="0"/>
    <m/>
    <s v="N/A"/>
    <s v="30/09/2026 13:07:29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0/26"/>
    <n v="1189"/>
    <s v="KG"/>
    <m/>
    <n v="1192"/>
    <n v="1189"/>
    <x v="0"/>
    <x v="0"/>
    <x v="1"/>
    <s v="1000 - Aprovação"/>
    <s v="Sim"/>
    <s v="Inicial"/>
    <m/>
    <s v="0"/>
    <m/>
    <s v="N/A"/>
    <s v="30/09/2026 13:07:29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1/26"/>
    <n v="1189"/>
    <s v="KG"/>
    <m/>
    <n v="1192"/>
    <n v="1189"/>
    <x v="0"/>
    <x v="0"/>
    <x v="1"/>
    <s v="1000 - Aprovação"/>
    <s v="Sim"/>
    <s v="Inicial"/>
    <m/>
    <s v="0"/>
    <m/>
    <s v="N/A"/>
    <s v="30/09/2026 13:07:30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2/26"/>
    <n v="1178"/>
    <s v="KG"/>
    <m/>
    <n v="1181"/>
    <n v="1178"/>
    <x v="0"/>
    <x v="0"/>
    <x v="1"/>
    <s v="1000 - Aprovação"/>
    <s v="Sim"/>
    <s v="Inicial"/>
    <m/>
    <s v="0"/>
    <m/>
    <s v="N/A"/>
    <s v="30/09/2026 13:07:30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3/26"/>
    <n v="1203"/>
    <s v="KG"/>
    <m/>
    <n v="1206"/>
    <n v="1203"/>
    <x v="0"/>
    <x v="0"/>
    <x v="1"/>
    <s v="1000 - Aprovação"/>
    <s v="Sim"/>
    <s v="Inicial"/>
    <m/>
    <s v="0"/>
    <m/>
    <s v="N/A"/>
    <s v="30/09/2026 13:07:30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4/26"/>
    <n v="1216"/>
    <s v="KG"/>
    <m/>
    <n v="1219"/>
    <n v="1216"/>
    <x v="0"/>
    <x v="0"/>
    <x v="1"/>
    <s v="1000 - Aprovação"/>
    <s v="Sim"/>
    <s v="Inicial"/>
    <m/>
    <s v="0"/>
    <m/>
    <s v="N/A"/>
    <s v="30/09/2026 13:07:31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5/26"/>
    <n v="1189"/>
    <s v="KG"/>
    <m/>
    <n v="1192"/>
    <n v="1189"/>
    <x v="0"/>
    <x v="0"/>
    <x v="1"/>
    <s v="1000 - Aprovação"/>
    <s v="Sim"/>
    <s v="Inicial"/>
    <m/>
    <s v="0"/>
    <m/>
    <s v="N/A"/>
    <s v="30/09/2026 13:07:31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6/26"/>
    <n v="1190"/>
    <s v="KG"/>
    <m/>
    <n v="1193"/>
    <n v="1190"/>
    <x v="0"/>
    <x v="0"/>
    <x v="1"/>
    <s v="1000 - Aprovação"/>
    <s v="Sim"/>
    <s v="Inicial"/>
    <m/>
    <s v="0"/>
    <m/>
    <s v="N/A"/>
    <s v="30/09/2026 13:07:31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7/26"/>
    <n v="1200"/>
    <s v="KG"/>
    <m/>
    <n v="1203"/>
    <n v="1200"/>
    <x v="0"/>
    <x v="0"/>
    <x v="1"/>
    <s v="1000 - Aprovação"/>
    <s v="Sim"/>
    <s v="Inicial"/>
    <m/>
    <s v="0"/>
    <m/>
    <s v="N/A"/>
    <s v="30/09/2026 13:07:32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8/26"/>
    <n v="1190"/>
    <s v="KG"/>
    <m/>
    <n v="1193"/>
    <n v="1190"/>
    <x v="0"/>
    <x v="0"/>
    <x v="1"/>
    <s v="1000 - Aprovação"/>
    <s v="Sim"/>
    <s v="Inicial"/>
    <m/>
    <s v="0"/>
    <m/>
    <s v="N/A"/>
    <s v="30/09/2026 13:07:32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299/26"/>
    <n v="1188"/>
    <s v="KG"/>
    <m/>
    <n v="1191"/>
    <n v="1188"/>
    <x v="0"/>
    <x v="0"/>
    <x v="1"/>
    <s v="1000 - Aprovação"/>
    <s v="Sim"/>
    <s v="Inicial"/>
    <m/>
    <s v="0"/>
    <m/>
    <s v="N/A"/>
    <s v="30/09/2026 13:07:33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0/26"/>
    <n v="1186"/>
    <s v="KG"/>
    <m/>
    <n v="1189"/>
    <n v="1186"/>
    <x v="0"/>
    <x v="0"/>
    <x v="1"/>
    <s v="1000 - Aprovação"/>
    <s v="Sim"/>
    <s v="Inicial"/>
    <m/>
    <s v="0"/>
    <m/>
    <s v="N/A"/>
    <s v="30/09/2026 13:07:33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1/26"/>
    <n v="1190"/>
    <s v="KG"/>
    <m/>
    <n v="1193"/>
    <n v="1190"/>
    <x v="0"/>
    <x v="0"/>
    <x v="1"/>
    <s v="1000 - Aprovação"/>
    <s v="Sim"/>
    <s v="Inicial"/>
    <m/>
    <s v="0"/>
    <m/>
    <s v="N/A"/>
    <s v="30/09/2026 13:07:33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2/26"/>
    <n v="1191"/>
    <s v="KG"/>
    <m/>
    <n v="1194"/>
    <n v="1191"/>
    <x v="0"/>
    <x v="0"/>
    <x v="1"/>
    <s v="1000 - Aprovação"/>
    <s v="Sim"/>
    <s v="Inicial"/>
    <m/>
    <s v="0"/>
    <m/>
    <s v="N/A"/>
    <s v="30/09/2026 13:07:34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3/26"/>
    <n v="1193"/>
    <s v="KG"/>
    <m/>
    <n v="1196"/>
    <n v="1193"/>
    <x v="0"/>
    <x v="0"/>
    <x v="1"/>
    <s v="1000 - Aprovação"/>
    <s v="Sim"/>
    <s v="Inicial"/>
    <m/>
    <s v="0"/>
    <m/>
    <s v="N/A"/>
    <s v="30/09/2026 13:07:34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4/26"/>
    <n v="1195"/>
    <s v="KG"/>
    <m/>
    <n v="1198"/>
    <n v="1195"/>
    <x v="0"/>
    <x v="0"/>
    <x v="1"/>
    <s v="1000 - Aprovação"/>
    <s v="Sim"/>
    <s v="Inicial"/>
    <m/>
    <s v="0"/>
    <m/>
    <s v="N/A"/>
    <s v="30/09/2026 13:07:34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5/26"/>
    <n v="1195"/>
    <s v="KG"/>
    <m/>
    <n v="1198"/>
    <n v="1195"/>
    <x v="0"/>
    <x v="0"/>
    <x v="1"/>
    <s v="1000 - Aprovação"/>
    <s v="Sim"/>
    <s v="Inicial"/>
    <m/>
    <s v="0"/>
    <m/>
    <s v="N/A"/>
    <s v="30/09/2026 13:07:35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6/26"/>
    <n v="1200"/>
    <s v="KG"/>
    <m/>
    <n v="1203"/>
    <n v="1200"/>
    <x v="0"/>
    <x v="0"/>
    <x v="1"/>
    <s v="1000 - Aprovação"/>
    <s v="Sim"/>
    <s v="Inicial"/>
    <m/>
    <s v="0"/>
    <m/>
    <s v="N/A"/>
    <s v="30/09/2026 13:07:35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7/26"/>
    <n v="1184"/>
    <s v="KG"/>
    <m/>
    <n v="1187"/>
    <n v="1184"/>
    <x v="0"/>
    <x v="0"/>
    <x v="1"/>
    <s v="1000 - Aprovação"/>
    <s v="Sim"/>
    <s v="Inicial"/>
    <m/>
    <s v="0"/>
    <m/>
    <s v="N/A"/>
    <s v="30/09/2026 13:07:35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8/26"/>
    <n v="1188"/>
    <s v="KG"/>
    <m/>
    <n v="1191"/>
    <n v="1188"/>
    <x v="0"/>
    <x v="0"/>
    <x v="1"/>
    <s v="1000 - Aprovação"/>
    <s v="Sim"/>
    <s v="Inicial"/>
    <m/>
    <s v="0"/>
    <m/>
    <s v="N/A"/>
    <s v="30/09/2026 13:07:36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09/26"/>
    <n v="1188"/>
    <s v="KG"/>
    <m/>
    <n v="1191"/>
    <n v="1188"/>
    <x v="0"/>
    <x v="0"/>
    <x v="1"/>
    <s v="1000 - Aprovação"/>
    <s v="Sim"/>
    <s v="Inicial"/>
    <m/>
    <s v="0"/>
    <m/>
    <s v="N/A"/>
    <s v="30/09/2026 13:07:36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0/26"/>
    <n v="1186"/>
    <s v="KG"/>
    <m/>
    <n v="1189"/>
    <n v="1186"/>
    <x v="0"/>
    <x v="0"/>
    <x v="1"/>
    <s v="1000 - Aprovação"/>
    <s v="Sim"/>
    <s v="Inicial"/>
    <m/>
    <s v="0"/>
    <m/>
    <s v="N/A"/>
    <s v="30/09/2026 13:07:37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1/26"/>
    <n v="1184"/>
    <s v="KG"/>
    <m/>
    <n v="1187"/>
    <n v="1184"/>
    <x v="0"/>
    <x v="0"/>
    <x v="1"/>
    <s v="1000 - Aprovação"/>
    <s v="Sim"/>
    <s v="Inicial"/>
    <m/>
    <s v="0"/>
    <m/>
    <s v="N/A"/>
    <s v="30/09/2026 13:07:37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2/26"/>
    <n v="1177"/>
    <s v="KG"/>
    <m/>
    <n v="1190"/>
    <n v="1177"/>
    <x v="0"/>
    <x v="0"/>
    <x v="1"/>
    <s v="1000 - Aprovação"/>
    <s v="Sim"/>
    <s v="Inicial"/>
    <m/>
    <s v="0"/>
    <m/>
    <s v="N/A"/>
    <s v="30/09/2026 13:07:37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3/26"/>
    <n v="1199"/>
    <s v="KG"/>
    <m/>
    <n v="1202"/>
    <n v="1199"/>
    <x v="0"/>
    <x v="0"/>
    <x v="1"/>
    <s v="1000 - Aprovação"/>
    <s v="Sim"/>
    <s v="Inicial"/>
    <m/>
    <s v="0"/>
    <m/>
    <s v="N/A"/>
    <s v="30/09/2026 13:07:38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4/26"/>
    <n v="1181"/>
    <s v="KG"/>
    <m/>
    <n v="1184"/>
    <n v="1181"/>
    <x v="0"/>
    <x v="0"/>
    <x v="1"/>
    <s v="1000 - Aprovação"/>
    <s v="Sim"/>
    <s v="Inicial"/>
    <m/>
    <s v="0"/>
    <m/>
    <s v="N/A"/>
    <s v="30/09/2026 13:07:38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5/26"/>
    <n v="1193"/>
    <s v="KG"/>
    <m/>
    <n v="1196"/>
    <n v="1193"/>
    <x v="0"/>
    <x v="0"/>
    <x v="1"/>
    <s v="1000 - Aprovação"/>
    <s v="Sim"/>
    <s v="Inicial"/>
    <m/>
    <s v="0"/>
    <m/>
    <s v="N/A"/>
    <s v="30/09/2026 13:07:39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6/26"/>
    <n v="1192"/>
    <s v="KG"/>
    <m/>
    <n v="1195"/>
    <n v="1192"/>
    <x v="0"/>
    <x v="0"/>
    <x v="1"/>
    <s v="1000 - Aprovação"/>
    <s v="Sim"/>
    <s v="Inicial"/>
    <m/>
    <s v="0"/>
    <m/>
    <s v="N/A"/>
    <s v="30/09/2026 13:07:39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7/26"/>
    <n v="1195"/>
    <s v="KG"/>
    <m/>
    <n v="1198"/>
    <n v="1195"/>
    <x v="0"/>
    <x v="0"/>
    <x v="1"/>
    <s v="1000 - Aprovação"/>
    <s v="Sim"/>
    <s v="Inicial"/>
    <m/>
    <s v="0"/>
    <m/>
    <s v="N/A"/>
    <s v="30/09/2026 13:07:39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8/26"/>
    <n v="1187"/>
    <s v="KG"/>
    <m/>
    <n v="1190"/>
    <n v="1187"/>
    <x v="0"/>
    <x v="0"/>
    <x v="1"/>
    <s v="1000 - Aprovação"/>
    <s v="Sim"/>
    <s v="Inicial"/>
    <m/>
    <s v="0"/>
    <m/>
    <s v="N/A"/>
    <s v="30/09/2026 13:07:40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19/26"/>
    <n v="1184"/>
    <s v="KG"/>
    <m/>
    <n v="1187"/>
    <n v="1184"/>
    <x v="0"/>
    <x v="0"/>
    <x v="1"/>
    <s v="1000 - Aprovação"/>
    <s v="Sim"/>
    <s v="Inicial"/>
    <m/>
    <s v="0"/>
    <m/>
    <s v="N/A"/>
    <s v="30/09/2026 13:07:40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20/26"/>
    <n v="1188"/>
    <s v="KG"/>
    <m/>
    <n v="1191"/>
    <n v="1188"/>
    <x v="0"/>
    <x v="0"/>
    <x v="1"/>
    <s v="1000 - Aprovação"/>
    <s v="Sim"/>
    <s v="Inicial"/>
    <m/>
    <s v="0"/>
    <m/>
    <s v="N/A"/>
    <s v="30/09/2026 13:07:40"/>
    <m/>
    <s v="RECEPÇÃO DE MOVIMENTAÇÃO INTERNA ENTRE UNIDADES"/>
    <s v=""/>
    <m/>
    <s v=""/>
    <m/>
  </r>
  <r>
    <s v="VALOREM - PATOS"/>
    <x v="0"/>
    <s v="GRAO DESTINADO SEMENTE - P3845VYHR -"/>
    <x v="1"/>
    <s v="V1I6BC0076"/>
    <s v="7392695-321004"/>
    <s v="INV26/26"/>
    <s v=""/>
    <s v="Transferência Interna"/>
    <x v="3"/>
    <s v="PREVENTIVO"/>
    <s v="GUILHERME ALFENAS DE OLIVEIRA"/>
    <x v="1"/>
    <s v="0026321/26"/>
    <n v="1197"/>
    <s v="KG"/>
    <m/>
    <n v="1200"/>
    <n v="1197"/>
    <x v="0"/>
    <x v="0"/>
    <x v="1"/>
    <s v="1000 - Aprovação"/>
    <s v="Sim"/>
    <s v="Inicial"/>
    <m/>
    <s v="0"/>
    <m/>
    <s v="N/A"/>
    <s v="30/09/2026 13:07:41"/>
    <m/>
    <s v="RECEPÇÃO DE MOVIMENTAÇÃO INTERNA ENTRE UNIDADES"/>
    <s v=""/>
    <m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22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04:04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24/26"/>
    <n v="1"/>
    <s v="BAG"/>
    <m/>
    <n v="625"/>
    <n v="622.4"/>
    <x v="2"/>
    <x v="34"/>
    <x v="0"/>
    <s v="1000 - Aprovação"/>
    <s v="Sim"/>
    <s v="Recepção do lote"/>
    <m/>
    <s v="0"/>
    <m/>
    <s v="N/A"/>
    <s v="30/09/2026 17:02:44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26/26"/>
    <n v="1"/>
    <s v="BAG"/>
    <m/>
    <n v="625"/>
    <n v="622.4"/>
    <x v="2"/>
    <x v="34"/>
    <x v="0"/>
    <s v="1000 - Aprovação"/>
    <s v="Sim"/>
    <s v="Recepção do lote"/>
    <m/>
    <s v="0"/>
    <m/>
    <s v="N/A"/>
    <s v="30/09/2026 17:03:11"/>
    <m/>
    <m/>
    <s v="Informativo de ensaque clean para PA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28/26"/>
    <n v="1167"/>
    <s v="KG"/>
    <m/>
    <n v="1170"/>
    <n v="1167"/>
    <x v="0"/>
    <x v="0"/>
    <x v="1"/>
    <s v="1000 - Aprovação"/>
    <s v="Sim"/>
    <s v="Inicial"/>
    <m/>
    <s v="0"/>
    <m/>
    <s v="N/A"/>
    <s v="30/09/2026 13:18:22"/>
    <m/>
    <s v=""/>
    <s v="Informativo de ensaque de classificação"/>
    <s v="6389-PTM-COR-09/2026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30/26"/>
    <n v="1"/>
    <s v="BAG"/>
    <m/>
    <n v="625"/>
    <n v="622.4"/>
    <x v="2"/>
    <x v="34"/>
    <x v="0"/>
    <s v="1000 - Aprovação"/>
    <s v="Sim"/>
    <s v="Recepção do lote"/>
    <m/>
    <s v="0"/>
    <m/>
    <s v="N/A"/>
    <s v="30/09/2026 17:05:09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32/26"/>
    <n v="1"/>
    <s v="BAG"/>
    <m/>
    <n v="627"/>
    <n v="622.4"/>
    <x v="2"/>
    <x v="34"/>
    <x v="0"/>
    <s v="1000 - Aprovação"/>
    <s v="Sim"/>
    <s v="Recepção do lote"/>
    <m/>
    <s v="0"/>
    <m/>
    <s v="N/A"/>
    <s v="30/09/2026 17:06:02"/>
    <m/>
    <m/>
    <s v="Informativo de ensaque clean para PA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34/26"/>
    <n v="1"/>
    <s v="BAG"/>
    <m/>
    <n v="627"/>
    <n v="622.4"/>
    <x v="2"/>
    <x v="34"/>
    <x v="0"/>
    <s v="1000 - Aprovação"/>
    <s v="Sim"/>
    <s v="Recepção do lote"/>
    <m/>
    <s v="0"/>
    <m/>
    <s v="N/A"/>
    <s v="30/09/2026 17:03:38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35/26"/>
    <n v="498.6"/>
    <s v="KG"/>
    <m/>
    <n v="498.6"/>
    <n v="498.6"/>
    <x v="0"/>
    <x v="0"/>
    <x v="0"/>
    <s v="1001 - Liberado Especial Cliente"/>
    <s v="Sim"/>
    <s v="Fracionamento"/>
    <m/>
    <s v="0"/>
    <m/>
    <s v="N/A"/>
    <s v="30/09/2026 13:21:57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36/26"/>
    <n v="1107"/>
    <s v="KG"/>
    <m/>
    <n v="1110"/>
    <n v="1107"/>
    <x v="0"/>
    <x v="0"/>
    <x v="1"/>
    <s v="1000 - Aprovação"/>
    <s v="Sim"/>
    <s v="Inicial"/>
    <m/>
    <s v="0"/>
    <m/>
    <s v="N/A"/>
    <s v="30/09/2026 13:23:44"/>
    <m/>
    <s v=""/>
    <s v="Informativo de ensaque de classificação"/>
    <s v="6389-PTM-COR-09/2026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38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04:40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39/26"/>
    <n v="495.6"/>
    <s v="KG"/>
    <m/>
    <n v="495.6"/>
    <n v="495.6"/>
    <x v="0"/>
    <x v="0"/>
    <x v="0"/>
    <s v="1001 - Liberado Especial Cliente"/>
    <s v="Sim"/>
    <s v="Fracionamento"/>
    <m/>
    <s v="0"/>
    <m/>
    <s v="N/A"/>
    <s v="30/09/2026 13:24:28"/>
    <m/>
    <s v="FRACIONADO PARA CONSUMO"/>
    <s v="Informativo de ensaque de classificação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40/26"/>
    <n v="1"/>
    <s v="BAG"/>
    <m/>
    <n v="624"/>
    <n v="622.4"/>
    <x v="2"/>
    <x v="34"/>
    <x v="0"/>
    <s v="1000 - Aprovação"/>
    <s v="Sim"/>
    <s v="Recepção do lote"/>
    <m/>
    <s v="0"/>
    <m/>
    <s v="N/A"/>
    <s v="30/09/2026 17:06:45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41/26"/>
    <n v="494.6"/>
    <s v="KG"/>
    <m/>
    <n v="494.6"/>
    <n v="494.6"/>
    <x v="0"/>
    <x v="0"/>
    <x v="0"/>
    <s v="1001 - Liberado Especial Cliente"/>
    <s v="Sim"/>
    <s v="Fracionamento"/>
    <m/>
    <s v="0"/>
    <m/>
    <s v="N/A"/>
    <s v="30/09/2026 13:26:30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42/26"/>
    <n v="1123"/>
    <s v="KG"/>
    <m/>
    <n v="1126"/>
    <n v="1123"/>
    <x v="0"/>
    <x v="0"/>
    <x v="1"/>
    <s v="1000 - Aprovação"/>
    <s v="Sim"/>
    <s v="Inicial"/>
    <m/>
    <s v="0"/>
    <m/>
    <s v="N/A"/>
    <s v="30/09/2026 13:29:13"/>
    <m/>
    <s v=""/>
    <s v="Informativo de ensaque de classificação"/>
    <s v="6389-PTM-COR-09/2026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44/26"/>
    <n v="1"/>
    <s v="BAG"/>
    <m/>
    <n v="625"/>
    <n v="622.4"/>
    <x v="2"/>
    <x v="34"/>
    <x v="0"/>
    <s v="1000 - Aprovação"/>
    <s v="Sim"/>
    <s v="Recepção do lote"/>
    <m/>
    <s v="0"/>
    <m/>
    <s v="N/A"/>
    <s v="30/09/2026 17:24:10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45/26"/>
    <n v="490.6"/>
    <s v="KG"/>
    <m/>
    <n v="490.6"/>
    <n v="490.6"/>
    <x v="0"/>
    <x v="0"/>
    <x v="0"/>
    <s v="1001 - Liberado Especial Cliente"/>
    <s v="Sim"/>
    <s v="Fracionamento"/>
    <m/>
    <s v="0"/>
    <m/>
    <s v="N/A"/>
    <s v="30/09/2026 13:29:41"/>
    <m/>
    <s v="FRACIONADO PARA CONSUMO"/>
    <s v="Informativo de ensaque de classificação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46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25:00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47/26"/>
    <n v="490.6"/>
    <s v="KG"/>
    <m/>
    <n v="490.6"/>
    <n v="490.6"/>
    <x v="0"/>
    <x v="0"/>
    <x v="0"/>
    <s v="1001 - Liberado Especial Cliente"/>
    <s v="Sim"/>
    <s v="Fracionamento"/>
    <m/>
    <s v="0"/>
    <m/>
    <s v="N/A"/>
    <s v="30/09/2026 13:33:40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48/26"/>
    <n v="1116"/>
    <s v="KG"/>
    <m/>
    <n v="1119"/>
    <n v="1116"/>
    <x v="0"/>
    <x v="0"/>
    <x v="1"/>
    <s v="1000 - Aprovação"/>
    <s v="Sim"/>
    <s v="Inicial"/>
    <m/>
    <s v="0"/>
    <m/>
    <s v="N/A"/>
    <s v="30/09/2026 13:35:12"/>
    <m/>
    <s v=""/>
    <s v="Informativo de ensaque de classificação"/>
    <s v="6389-PTM-COR-09/2026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50/26"/>
    <n v="1"/>
    <s v="BAG"/>
    <m/>
    <n v="624"/>
    <n v="622.4"/>
    <x v="2"/>
    <x v="34"/>
    <x v="0"/>
    <s v="1000 - Aprovação"/>
    <s v="Sim"/>
    <s v="Recepção do lote"/>
    <m/>
    <s v="0"/>
    <m/>
    <s v="N/A"/>
    <s v="30/09/2026 17:10:16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51/26"/>
    <n v="489.6"/>
    <s v="KG"/>
    <m/>
    <n v="489.6"/>
    <n v="489.6"/>
    <x v="0"/>
    <x v="0"/>
    <x v="0"/>
    <s v="1001 - Liberado Especial Cliente"/>
    <s v="Sim"/>
    <s v="Fracionamento"/>
    <m/>
    <s v="0"/>
    <m/>
    <s v="N/A"/>
    <s v="30/09/2026 13:39:51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52/26"/>
    <n v="1106"/>
    <s v="KG"/>
    <m/>
    <n v="1109"/>
    <n v="1106"/>
    <x v="0"/>
    <x v="0"/>
    <x v="1"/>
    <s v="1000 - Aprovação"/>
    <s v="Sim"/>
    <s v="Inicial"/>
    <m/>
    <s v="0"/>
    <m/>
    <s v="N/A"/>
    <s v="30/09/2026 13:41:12"/>
    <m/>
    <s v=""/>
    <s v="Informativo de ensaque de classificação"/>
    <s v="6389-PTM-COR-09/2026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54/26"/>
    <n v="1"/>
    <s v="BAG"/>
    <m/>
    <n v="626"/>
    <n v="622.4"/>
    <x v="2"/>
    <x v="34"/>
    <x v="0"/>
    <s v="1000 - Aprovação"/>
    <s v="Sim"/>
    <s v="Recepção do lote"/>
    <m/>
    <s v="0"/>
    <m/>
    <s v="N/A"/>
    <s v="30/09/2026 17:05:35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55/26"/>
    <n v="400.6"/>
    <s v="KG"/>
    <m/>
    <n v="400.6"/>
    <n v="400.6"/>
    <x v="0"/>
    <x v="0"/>
    <x v="0"/>
    <s v="1001 - Liberado Especial Cliente"/>
    <s v="Sim"/>
    <s v="Fracionamento"/>
    <m/>
    <s v="0"/>
    <m/>
    <s v="N/A"/>
    <s v="30/09/2026 13:42:30"/>
    <m/>
    <s v="FRACIONADO PARA CONSUMO"/>
    <s v="Informativo de ensaque de classificação"/>
    <s v="null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56/26"/>
    <n v="1"/>
    <s v="BAG"/>
    <m/>
    <n v="623"/>
    <n v="622.4"/>
    <x v="2"/>
    <x v="34"/>
    <x v="0"/>
    <s v="1000 - Aprovação"/>
    <s v="Sim"/>
    <s v="Recepção do lote"/>
    <m/>
    <s v="0"/>
    <m/>
    <s v="N/A"/>
    <s v="30/09/2026 17:27:14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57/26"/>
    <n v="432.8"/>
    <s v="KG"/>
    <m/>
    <n v="432.8"/>
    <n v="432.8"/>
    <x v="0"/>
    <x v="0"/>
    <x v="0"/>
    <s v="1001 - Liberado Especial Cliente"/>
    <s v="Sim"/>
    <s v="Fracionamento"/>
    <m/>
    <s v="0"/>
    <m/>
    <s v="N/A"/>
    <s v="30/09/2026 13:46:46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58/26"/>
    <n v="1128"/>
    <s v="KG"/>
    <m/>
    <n v="1131"/>
    <n v="1128"/>
    <x v="0"/>
    <x v="0"/>
    <x v="1"/>
    <s v="1000 - Aprovação"/>
    <s v="Sim"/>
    <s v="Inicial"/>
    <m/>
    <s v="0"/>
    <m/>
    <s v="N/A"/>
    <s v="30/09/2026 13:48:36"/>
    <m/>
    <s v=""/>
    <s v="Informativo de ensaque de classificação"/>
    <s v="6389-PTM-COR-09/2026"/>
    <s v=""/>
    <m/>
  </r>
  <r>
    <s v="VALOREM - PATOS"/>
    <x v="0"/>
    <s v="SEMENTE DE MILHO HIBRIDO - P3845VYHR R3 BB -"/>
    <x v="1"/>
    <s v="05P7622470"/>
    <s v="7345816-434001"/>
    <s v="INV26/26"/>
    <s v="R3"/>
    <s v="Informativo de ensaque clean para PA"/>
    <x v="1"/>
    <s v="STANDARD + P + D + L + L"/>
    <s v="EDSON JUNIOR PEREIRA LIMA"/>
    <x v="1"/>
    <s v="0026360/26"/>
    <n v="1"/>
    <s v="BAG"/>
    <m/>
    <n v="623"/>
    <n v="622.4"/>
    <x v="2"/>
    <x v="34"/>
    <x v="0"/>
    <s v="1000 - Aprovação"/>
    <s v="Sim"/>
    <s v="Recepção do lote"/>
    <m/>
    <s v="0"/>
    <m/>
    <s v="N/A"/>
    <s v="30/09/2026 17:11:13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61/26"/>
    <n v="392.8"/>
    <s v="KG"/>
    <m/>
    <n v="392.8"/>
    <n v="392.8"/>
    <x v="0"/>
    <x v="0"/>
    <x v="0"/>
    <s v="1001 - Liberado Especial Cliente"/>
    <s v="Sim"/>
    <s v="Fracionamento"/>
    <m/>
    <s v="0"/>
    <m/>
    <s v="N/A"/>
    <s v="30/09/2026 13:53:18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62/26"/>
    <n v="1115"/>
    <s v="KG"/>
    <m/>
    <n v="1118"/>
    <n v="1115"/>
    <x v="0"/>
    <x v="0"/>
    <x v="1"/>
    <s v="1000 - Aprovação"/>
    <s v="Sim"/>
    <s v="Inicial"/>
    <m/>
    <s v="0"/>
    <m/>
    <s v="N/A"/>
    <s v="30/09/2026 13:53:59"/>
    <m/>
    <s v=""/>
    <s v="Informativo de ensaque de classificação"/>
    <s v="6389-PTM-COR-09/2026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64/26"/>
    <n v="1128"/>
    <s v="KG"/>
    <m/>
    <n v="1131"/>
    <n v="1128"/>
    <x v="0"/>
    <x v="0"/>
    <x v="1"/>
    <s v="1000 - Aprovação"/>
    <s v="Sim"/>
    <s v="Inicial"/>
    <m/>
    <s v="0"/>
    <m/>
    <s v="N/A"/>
    <s v="30/09/2026 13:59:33"/>
    <m/>
    <s v=""/>
    <s v="Informativo de ensaque de classificação"/>
    <s v="6389-PTM-COR-09/2026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HNE ROSA SILVA"/>
    <x v="2"/>
    <s v="0026365/26"/>
    <n v="492"/>
    <s v="KG"/>
    <m/>
    <n v="492"/>
    <n v="492"/>
    <x v="0"/>
    <x v="0"/>
    <x v="0"/>
    <s v="1000 - Aprovação"/>
    <s v="Sim"/>
    <s v="Fracionamento"/>
    <m/>
    <s v="0"/>
    <m/>
    <s v="N/A"/>
    <s v="30/09/2026 13:59:33"/>
    <m/>
    <s v="FRACIONADO PARA CONSUMO"/>
    <s v=""/>
    <s v="null"/>
    <s v=""/>
    <m/>
  </r>
  <r>
    <s v="VALOREM - PATOS"/>
    <x v="0"/>
    <s v="SEMENTE DE MILHO HIBRIDO -P3845VYHR PR3 60S -"/>
    <x v="1"/>
    <s v="05P7626435"/>
    <s v="7345816-434001"/>
    <s v="INV26/26"/>
    <s v="R3"/>
    <s v="Informativo de ensaque clean para PA"/>
    <x v="2"/>
    <s v="STANDARD + P + D + L + L"/>
    <s v="EDSON JUNIOR PEREIRA LIMA"/>
    <x v="1"/>
    <s v="0026366/26"/>
    <n v="23"/>
    <s v="SC"/>
    <m/>
    <n v="388"/>
    <n v="357.88"/>
    <x v="2"/>
    <x v="19"/>
    <x v="0"/>
    <s v="1000 - Aprovação"/>
    <s v="Sim"/>
    <s v="Recepção do lote"/>
    <m/>
    <s v="0"/>
    <m/>
    <s v="N/A"/>
    <s v="30/09/2026 15:58:28"/>
    <m/>
    <m/>
    <s v="Informativo de ensaque clean para PA"/>
    <s v="null"/>
    <s v=""/>
    <m/>
  </r>
  <r>
    <s v="VALOREM - PATOS"/>
    <x v="0"/>
    <s v="GRAO DESTINADO A SEMENTE -  P3845VYHR -"/>
    <x v="1"/>
    <s v="V3I6CC0374"/>
    <s v="7345816-434001"/>
    <s v="INV26/26"/>
    <s v="R3"/>
    <s v="Informativo de ensaque de classificação"/>
    <x v="0"/>
    <s v="PREVENTIVO"/>
    <s v="BRUNO SILVA MAGALHAES"/>
    <x v="0"/>
    <s v="0026367/26"/>
    <n v="143.72"/>
    <s v="KG"/>
    <m/>
    <n v="143.72"/>
    <n v="143.72"/>
    <x v="0"/>
    <x v="0"/>
    <x v="0"/>
    <s v="1001 - Liberado Especial Cliente"/>
    <s v="Sim"/>
    <s v="Fracionamento"/>
    <m/>
    <s v="0"/>
    <m/>
    <s v="N/A"/>
    <s v="30/09/2026 14:04:13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68/26"/>
    <n v="1117"/>
    <s v="KG"/>
    <m/>
    <n v="1120"/>
    <n v="1117"/>
    <x v="0"/>
    <x v="0"/>
    <x v="1"/>
    <s v="1000 - Aprovação"/>
    <s v="Sim"/>
    <s v="Inicial"/>
    <m/>
    <s v="0"/>
    <m/>
    <s v="N/A"/>
    <s v="30/09/2026 14:04:14"/>
    <m/>
    <s v=""/>
    <s v="Informativo de ensaque de classificação"/>
    <s v="6389-PTM-COR-09/2026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HNE ROSA SILVA"/>
    <x v="2"/>
    <s v="0026369/26"/>
    <n v="86"/>
    <s v="KG"/>
    <m/>
    <n v="86"/>
    <n v="86"/>
    <x v="0"/>
    <x v="0"/>
    <x v="0"/>
    <s v="1000 - Aprovação"/>
    <s v="Sim"/>
    <s v="Fracionamento"/>
    <m/>
    <s v="0"/>
    <m/>
    <s v="N/A"/>
    <s v="30/09/2026 14:04:14"/>
    <m/>
    <s v="FRACIONADO PARA CONSUMO"/>
    <s v="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70/26"/>
    <n v="1"/>
    <s v="BAG"/>
    <m/>
    <n v="692"/>
    <n v="690.8"/>
    <x v="2"/>
    <x v="32"/>
    <x v="0"/>
    <s v="1000 - Aprovação"/>
    <s v="Sim"/>
    <s v="Recepção do lote"/>
    <m/>
    <s v="0"/>
    <m/>
    <s v="N/A"/>
    <s v="30/09/2026 19:23:35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72/26"/>
    <n v="1"/>
    <s v="BAG"/>
    <m/>
    <n v="691"/>
    <n v="690.8"/>
    <x v="2"/>
    <x v="32"/>
    <x v="0"/>
    <s v="1000 - Aprovação"/>
    <s v="Sim"/>
    <s v="Recepção do lote"/>
    <m/>
    <s v="0"/>
    <m/>
    <s v="N/A"/>
    <s v="30/09/2026 19:24:17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74/26"/>
    <n v="1"/>
    <s v="BAG"/>
    <m/>
    <n v="693"/>
    <n v="690.8"/>
    <x v="2"/>
    <x v="32"/>
    <x v="0"/>
    <s v="1000 - Aprovação"/>
    <s v="Sim"/>
    <s v="Recepção do lote"/>
    <m/>
    <s v="0"/>
    <m/>
    <s v="N/A"/>
    <s v="30/09/2026 19:23:11"/>
    <m/>
    <m/>
    <s v="Informativo de ensaque clean para PA"/>
    <s v="null"/>
    <s v=""/>
    <m/>
  </r>
  <r>
    <s v="VALOREM - PATOS"/>
    <x v="0"/>
    <s v="GRAO DESTINADO A SEMENTE -  P3845VYHR -"/>
    <x v="1"/>
    <s v="V3I6CC0387"/>
    <s v="7345816-434001"/>
    <s v="INV26/26"/>
    <s v="R2"/>
    <s v="Informativo de ensaque de classificação"/>
    <x v="0"/>
    <s v="PREVENTIVO"/>
    <s v="JOHNE ROSA SILVA"/>
    <x v="2"/>
    <s v="0026376/26"/>
    <n v="993"/>
    <s v="KG"/>
    <m/>
    <n v="996"/>
    <n v="993"/>
    <x v="0"/>
    <x v="0"/>
    <x v="1"/>
    <s v="1000 - Aprovação"/>
    <s v="Sim"/>
    <s v="Inicial"/>
    <m/>
    <s v="0"/>
    <m/>
    <s v="N/A"/>
    <s v="30/09/2026 14:20:12"/>
    <m/>
    <s v=""/>
    <s v="Informativo de ensaque de classificação"/>
    <s v="6389-PTM-COR-09/2026"/>
    <s v=""/>
    <m/>
  </r>
  <r>
    <s v="VALOREM - PATOS"/>
    <x v="0"/>
    <s v="GRAO DESTINADO SEMENTE - P3845VYHR -"/>
    <x v="1"/>
    <s v="V1I6BC0084"/>
    <s v="7345816-434001"/>
    <s v="INV26/26"/>
    <s v=""/>
    <s v="Transferência Interna"/>
    <x v="3"/>
    <s v="PREVENTIVO"/>
    <s v="JOHNE ROSA SILVA"/>
    <x v="2"/>
    <s v="0026377/26"/>
    <n v="205"/>
    <s v="KG"/>
    <m/>
    <n v="205"/>
    <n v="205"/>
    <x v="0"/>
    <x v="0"/>
    <x v="0"/>
    <s v="1000 - Aprovação"/>
    <s v="Sim"/>
    <s v="Fracionamento"/>
    <m/>
    <s v="0"/>
    <m/>
    <s v="N/A"/>
    <s v="30/09/2026 14:20:12"/>
    <m/>
    <s v="FRACIONADO PARA CONSUMO"/>
    <s v="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78/26"/>
    <n v="1"/>
    <s v="BAG"/>
    <m/>
    <n v="693"/>
    <n v="690.8"/>
    <x v="2"/>
    <x v="32"/>
    <x v="0"/>
    <s v="1000 - Aprovação"/>
    <s v="Sim"/>
    <s v="Recepção do lote"/>
    <m/>
    <s v="0"/>
    <m/>
    <s v="N/A"/>
    <s v="30/09/2026 19:28:11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80/26"/>
    <n v="1"/>
    <s v="BAG"/>
    <m/>
    <n v="695"/>
    <n v="690.8"/>
    <x v="2"/>
    <x v="32"/>
    <x v="0"/>
    <s v="1000 - Aprovação"/>
    <s v="Sim"/>
    <s v="Recepção do lote"/>
    <m/>
    <s v="0"/>
    <m/>
    <s v="N/A"/>
    <s v="30/09/2026 19:28:37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82/26"/>
    <n v="1"/>
    <s v="BAG"/>
    <m/>
    <n v="694"/>
    <n v="690.8"/>
    <x v="2"/>
    <x v="32"/>
    <x v="0"/>
    <s v="1000 - Aprovação"/>
    <s v="Sim"/>
    <s v="Recepção do lote"/>
    <m/>
    <s v="0"/>
    <m/>
    <s v="N/A"/>
    <s v="30/09/2026 19:22:47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84/26"/>
    <n v="1"/>
    <s v="BAG"/>
    <m/>
    <n v="694"/>
    <n v="690.8"/>
    <x v="2"/>
    <x v="32"/>
    <x v="0"/>
    <s v="1000 - Aprovação"/>
    <s v="Sim"/>
    <s v="Recepção do lote"/>
    <m/>
    <s v="0"/>
    <m/>
    <s v="N/A"/>
    <s v="30/09/2026 19:29:03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86/26"/>
    <n v="1"/>
    <s v="BAG"/>
    <m/>
    <n v="692"/>
    <n v="690.8"/>
    <x v="2"/>
    <x v="32"/>
    <x v="0"/>
    <s v="1000 - Aprovação"/>
    <s v="Sim"/>
    <s v="Recepção do lote"/>
    <m/>
    <s v="0"/>
    <m/>
    <s v="N/A"/>
    <s v="30/09/2026 19:27:43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88/26"/>
    <n v="1"/>
    <s v="BAG"/>
    <m/>
    <n v="697"/>
    <n v="690.8"/>
    <x v="2"/>
    <x v="32"/>
    <x v="0"/>
    <s v="1000 - Aprovação"/>
    <s v="Sim"/>
    <s v="Recepção do lote"/>
    <m/>
    <s v="0"/>
    <m/>
    <s v="N/A"/>
    <s v="30/09/2026 19:27:12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90/26"/>
    <n v="1"/>
    <s v="BAG"/>
    <m/>
    <n v="697"/>
    <n v="690.8"/>
    <x v="2"/>
    <x v="32"/>
    <x v="0"/>
    <s v="1000 - Aprovação"/>
    <s v="Sim"/>
    <s v="Recepção do lote"/>
    <m/>
    <s v="0"/>
    <m/>
    <s v="N/A"/>
    <s v="30/09/2026 19:25:52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92/26"/>
    <n v="1"/>
    <s v="BAG"/>
    <m/>
    <n v="696"/>
    <n v="690.8"/>
    <x v="2"/>
    <x v="32"/>
    <x v="0"/>
    <s v="1000 - Aprovação"/>
    <s v="Sim"/>
    <s v="Recepção do lote"/>
    <m/>
    <s v="0"/>
    <m/>
    <s v="N/A"/>
    <s v="30/09/2026 19:25:29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94/26"/>
    <n v="1"/>
    <s v="BAG"/>
    <m/>
    <n v="694"/>
    <n v="690.8"/>
    <x v="2"/>
    <x v="32"/>
    <x v="0"/>
    <s v="1000 - Aprovação"/>
    <s v="Sim"/>
    <s v="Recepção do lote"/>
    <m/>
    <s v="0"/>
    <m/>
    <s v="N/A"/>
    <s v="30/09/2026 19:26:47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396/26"/>
    <n v="1"/>
    <s v="BAG"/>
    <m/>
    <n v="697"/>
    <n v="690.8"/>
    <x v="2"/>
    <x v="32"/>
    <x v="0"/>
    <s v="1000 - Aprovação"/>
    <s v="Sim"/>
    <s v="Recepção do lote"/>
    <m/>
    <s v="0"/>
    <m/>
    <s v="N/A"/>
    <s v="30/09/2026 19:26:16"/>
    <m/>
    <m/>
    <s v="Informativo de ensaque clean para PA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398/26"/>
    <n v="1152"/>
    <s v="KG"/>
    <m/>
    <n v="1155"/>
    <n v="1152"/>
    <x v="0"/>
    <x v="0"/>
    <x v="0"/>
    <s v="Análise Setor de Qualidade"/>
    <s v="Não"/>
    <s v="Recepção do lote"/>
    <m/>
    <s v="0"/>
    <m/>
    <s v="N/A"/>
    <s v="01/10/2026 08:26:39"/>
    <m/>
    <m/>
    <s v="Informativo de ensaque de classificação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400/26"/>
    <n v="1"/>
    <s v="BAG"/>
    <m/>
    <n v="695"/>
    <n v="690.8"/>
    <x v="2"/>
    <x v="32"/>
    <x v="0"/>
    <s v="1000 - Aprovação"/>
    <s v="Sim"/>
    <s v="Recepção do lote"/>
    <m/>
    <s v="0"/>
    <m/>
    <s v="N/A"/>
    <s v="30/09/2026 19:25:06"/>
    <m/>
    <m/>
    <s v="Informativo de ensaque clean para PA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02/26"/>
    <n v="1104"/>
    <s v="KG"/>
    <m/>
    <n v="1107"/>
    <n v="1104"/>
    <x v="0"/>
    <x v="0"/>
    <x v="0"/>
    <s v="Análise Setor de Qualidade"/>
    <s v="Não"/>
    <s v="Recepção do lote"/>
    <m/>
    <s v="0"/>
    <m/>
    <s v="N/A"/>
    <s v="01/10/2026 08:26:06"/>
    <m/>
    <m/>
    <s v="Informativo de ensaque de classificação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404/26"/>
    <n v="1"/>
    <s v="BAG"/>
    <m/>
    <n v="693"/>
    <n v="690.8"/>
    <x v="2"/>
    <x v="32"/>
    <x v="0"/>
    <s v="1000 - Aprovação"/>
    <s v="Sim"/>
    <s v="Recepção do lote"/>
    <m/>
    <s v="0"/>
    <m/>
    <s v="N/A"/>
    <s v="30/09/2026 19:24:40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406/26"/>
    <n v="1"/>
    <s v="BAG"/>
    <m/>
    <n v="694"/>
    <n v="690.8"/>
    <x v="2"/>
    <x v="32"/>
    <x v="0"/>
    <s v="1000 - Aprovação"/>
    <s v="Sim"/>
    <s v="Recepção do lote"/>
    <m/>
    <s v="0"/>
    <m/>
    <s v="N/A"/>
    <s v="30/09/2026 19:29:27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408/26"/>
    <n v="1"/>
    <s v="BAG"/>
    <m/>
    <n v="694"/>
    <n v="690.8"/>
    <x v="2"/>
    <x v="32"/>
    <x v="0"/>
    <s v="1000 - Aprovação"/>
    <s v="Sim"/>
    <s v="Recepção do lote"/>
    <m/>
    <s v="0"/>
    <m/>
    <s v="N/A"/>
    <s v="30/09/2026 19:30:45"/>
    <m/>
    <m/>
    <s v="Informativo de ensaque clean para PA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EDSON JUNIOR PEREIRA LIMA"/>
    <x v="1"/>
    <s v="0026410/26"/>
    <n v="1"/>
    <s v="BAG"/>
    <m/>
    <n v="695"/>
    <n v="690.8"/>
    <x v="2"/>
    <x v="32"/>
    <x v="0"/>
    <s v="1000 - Aprovação"/>
    <s v="Sim"/>
    <s v="Recepção do lote"/>
    <m/>
    <s v="0"/>
    <m/>
    <s v="N/A"/>
    <s v="30/09/2026 19:30:00"/>
    <m/>
    <m/>
    <s v="Informativo de ensaque clean para PA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12/26"/>
    <n v="1125"/>
    <s v="KG"/>
    <m/>
    <n v="1128"/>
    <n v="1125"/>
    <x v="0"/>
    <x v="0"/>
    <x v="0"/>
    <s v="Análise Setor de Qualidade"/>
    <s v="Não"/>
    <s v="Recepção do lote"/>
    <m/>
    <s v="0"/>
    <m/>
    <s v="N/A"/>
    <s v="01/10/2026 08:28:10"/>
    <m/>
    <m/>
    <s v="Informativo de ensaque de classificação"/>
    <s v="null"/>
    <s v=""/>
    <m/>
  </r>
  <r>
    <s v="VALOREM - PATOS"/>
    <x v="0"/>
    <s v="SEMENTE DE MILHO HIBRIDO - P3845VYHR R3 BB -"/>
    <x v="1"/>
    <s v="05P7622469"/>
    <s v="7345816-434001"/>
    <s v="INV26/26"/>
    <s v="R3"/>
    <s v="Informativo de ensaque clean para PA"/>
    <x v="1"/>
    <s v="STANDARD + P + D + L + L"/>
    <s v="GABRIELA OHANA SILVA PIMENTA"/>
    <x v="1"/>
    <s v="0026414/26"/>
    <n v="1"/>
    <s v="BAG"/>
    <m/>
    <n v="694"/>
    <n v="690.8"/>
    <x v="2"/>
    <x v="32"/>
    <x v="0"/>
    <s v="1000 - Aprovação"/>
    <s v="Sim"/>
    <s v="Recepção do lote"/>
    <m/>
    <s v="0"/>
    <m/>
    <s v="N/A"/>
    <s v="01/10/2026 08:08:10"/>
    <m/>
    <m/>
    <s v="Informativo de ensaque clean para PA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16/26"/>
    <n v="1119"/>
    <s v="KG"/>
    <m/>
    <n v="1122"/>
    <n v="1119"/>
    <x v="0"/>
    <x v="0"/>
    <x v="0"/>
    <s v="Análise Setor de Qualidade"/>
    <s v="Não"/>
    <s v="Recepção do lote"/>
    <m/>
    <s v="0"/>
    <m/>
    <s v="N/A"/>
    <s v="01/10/2026 08:27:39"/>
    <m/>
    <m/>
    <s v="Informativo de ensaque de classificação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18/26"/>
    <n v="1104"/>
    <s v="KG"/>
    <m/>
    <n v="1107"/>
    <n v="1104"/>
    <x v="0"/>
    <x v="0"/>
    <x v="0"/>
    <s v="Análise Setor de Qualidade"/>
    <s v="Não"/>
    <s v="Recepção do lote"/>
    <m/>
    <s v="0"/>
    <m/>
    <s v="N/A"/>
    <s v="01/10/2026 08:25:30"/>
    <m/>
    <m/>
    <s v="Informativo de ensaque de classificação"/>
    <s v="null"/>
    <s v=""/>
    <m/>
  </r>
  <r>
    <s v="VALOREM - PATOS"/>
    <x v="0"/>
    <s v="SEMENTE DE MILHO HIBRIDO -P3845VYHR PR3 60S -"/>
    <x v="1"/>
    <s v="05P7626432"/>
    <s v="7345816-434001"/>
    <s v="INV26/26"/>
    <s v="R3"/>
    <s v="Informativo de ensaque clean para PA"/>
    <x v="2"/>
    <s v="STANDARD + P + D + L + L"/>
    <s v="EDSON JUNIOR PEREIRA LIMA"/>
    <x v="1"/>
    <s v="0026420/26"/>
    <n v="22"/>
    <s v="SC"/>
    <m/>
    <n v="410"/>
    <n v="379.94"/>
    <x v="2"/>
    <x v="19"/>
    <x v="0"/>
    <s v="1000 - Aprovação"/>
    <s v="Sim"/>
    <s v="Recepção do lote"/>
    <m/>
    <s v="0"/>
    <m/>
    <s v="N/A"/>
    <s v="30/09/2026 17:45:03"/>
    <m/>
    <m/>
    <s v="Informativo de ensaque clean para PA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21/26"/>
    <n v="1107"/>
    <s v="KG"/>
    <m/>
    <n v="1110"/>
    <n v="1107"/>
    <x v="0"/>
    <x v="0"/>
    <x v="0"/>
    <s v="Análise Setor de Qualidade"/>
    <s v="Não"/>
    <s v="Recepção do lote"/>
    <m/>
    <s v="0"/>
    <m/>
    <s v="N/A"/>
    <s v="01/10/2026 08:27:11"/>
    <m/>
    <m/>
    <s v="Informativo de ensaque de classificação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HNE ROSA SILVA"/>
    <x v="2"/>
    <s v="0026422/26"/>
    <n v="520"/>
    <s v="KG"/>
    <m/>
    <n v="520"/>
    <n v="520"/>
    <x v="0"/>
    <x v="0"/>
    <x v="0"/>
    <s v="1000 - Aprovação"/>
    <s v="Sim"/>
    <s v="Fracionamento"/>
    <m/>
    <s v="0"/>
    <m/>
    <s v="N/A"/>
    <s v="30/09/2026 16:02:49"/>
    <m/>
    <s v="FRACIONADO PARA CONSUMO"/>
    <s v="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23/26"/>
    <n v="1109"/>
    <s v="KG"/>
    <m/>
    <n v="1112"/>
    <n v="1109"/>
    <x v="0"/>
    <x v="0"/>
    <x v="0"/>
    <s v="Análise Setor de Qualidade"/>
    <s v="Não"/>
    <s v="Recepção do lote"/>
    <m/>
    <s v="0"/>
    <m/>
    <s v="N/A"/>
    <s v="01/10/2026 08:29:12"/>
    <m/>
    <m/>
    <s v="Informativo de ensaque de classificação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HNE ROSA SILVA"/>
    <x v="2"/>
    <s v="0026424/26"/>
    <n v="110"/>
    <s v="KG"/>
    <m/>
    <n v="110"/>
    <n v="110"/>
    <x v="0"/>
    <x v="0"/>
    <x v="0"/>
    <s v="1000 - Aprovação"/>
    <s v="Sim"/>
    <s v="Fracionamento"/>
    <m/>
    <s v="0"/>
    <m/>
    <s v="N/A"/>
    <s v="30/09/2026 16:07:27"/>
    <m/>
    <s v="FRACIONADO PARA CONSUMO"/>
    <s v=""/>
    <s v="null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25/26"/>
    <n v="1"/>
    <s v="BAG"/>
    <m/>
    <n v="788"/>
    <n v="784.4"/>
    <x v="0"/>
    <x v="0"/>
    <x v="1"/>
    <s v="Análise Setor de Qualidade"/>
    <s v="Não"/>
    <s v="Inicial"/>
    <m/>
    <s v="0"/>
    <m/>
    <s v="N/A"/>
    <s v="30/09/2026 16:07:56"/>
    <m/>
    <s v=""/>
    <s v="Informativo de ensaque clean para PA"/>
    <s v="6525-PTM-COR-09/2026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26/26"/>
    <n v="1114"/>
    <s v="KG"/>
    <m/>
    <n v="1117"/>
    <n v="1114"/>
    <x v="0"/>
    <x v="0"/>
    <x v="0"/>
    <s v="Análise Setor de Qualidade"/>
    <s v="Não"/>
    <s v="Recepção do lote"/>
    <m/>
    <s v="0"/>
    <m/>
    <s v="N/A"/>
    <s v="01/10/2026 08:31:52"/>
    <m/>
    <m/>
    <s v="Informativo de ensaque de classificação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HNE ROSA SILVA"/>
    <x v="2"/>
    <s v="0026427/26"/>
    <n v="103"/>
    <s v="KG"/>
    <m/>
    <n v="103"/>
    <n v="103"/>
    <x v="0"/>
    <x v="0"/>
    <x v="0"/>
    <s v="1000 - Aprovação"/>
    <s v="Sim"/>
    <s v="Fracionamento"/>
    <m/>
    <s v="0"/>
    <m/>
    <s v="N/A"/>
    <s v="30/09/2026 16:11:17"/>
    <m/>
    <s v="FRACIONADO PARA CONSUMO"/>
    <s v=""/>
    <s v="null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28/26"/>
    <n v="1"/>
    <s v="BAG"/>
    <m/>
    <n v="785"/>
    <n v="784.4"/>
    <x v="0"/>
    <x v="0"/>
    <x v="1"/>
    <s v="Análise Setor de Qualidade"/>
    <s v="Não"/>
    <s v="Inicial"/>
    <m/>
    <s v="0"/>
    <m/>
    <s v="N/A"/>
    <s v="30/09/2026 16:16:00"/>
    <m/>
    <s v=""/>
    <s v="Informativo de ensaque clean para PA"/>
    <s v="6525-PTM-COR-09/2026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30/26"/>
    <n v="1132"/>
    <s v="KG"/>
    <m/>
    <n v="1135"/>
    <n v="1132"/>
    <x v="0"/>
    <x v="0"/>
    <x v="0"/>
    <s v="Análise Setor de Qualidade"/>
    <s v="Não"/>
    <s v="Recepção do lote"/>
    <m/>
    <s v="0"/>
    <m/>
    <s v="N/A"/>
    <s v="01/10/2026 08:29:43"/>
    <m/>
    <m/>
    <s v="Informativo de ensaque de classificação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HNE ROSA SILVA"/>
    <x v="2"/>
    <s v="0026431/26"/>
    <n v="81"/>
    <s v="KG"/>
    <m/>
    <n v="81"/>
    <n v="81"/>
    <x v="0"/>
    <x v="0"/>
    <x v="0"/>
    <s v="1000 - Aprovação"/>
    <s v="Sim"/>
    <s v="Fracionamento"/>
    <m/>
    <s v="0"/>
    <m/>
    <s v="N/A"/>
    <s v="30/09/2026 16:16:44"/>
    <m/>
    <s v="FRACIONADO PARA CONSUMO"/>
    <s v=""/>
    <s v="null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32/26"/>
    <n v="1"/>
    <s v="BAG"/>
    <m/>
    <n v="789"/>
    <n v="784.4"/>
    <x v="0"/>
    <x v="0"/>
    <x v="1"/>
    <s v="Análise Setor de Qualidade"/>
    <s v="Não"/>
    <s v="Inicial"/>
    <m/>
    <s v="0"/>
    <m/>
    <s v="N/A"/>
    <s v="30/09/2026 16:22:55"/>
    <m/>
    <s v=""/>
    <s v="Informativo de ensaque clean para PA"/>
    <s v="6525-PTM-COR-09/2026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GABRIELA OHANA SILVA PIMENTA"/>
    <x v="1"/>
    <s v="0026434/26"/>
    <n v="1160"/>
    <s v="KG"/>
    <m/>
    <n v="1163"/>
    <n v="1160"/>
    <x v="0"/>
    <x v="0"/>
    <x v="0"/>
    <s v="Análise Setor de Qualidade"/>
    <s v="Não"/>
    <s v="Recepção do lote"/>
    <m/>
    <s v="0"/>
    <m/>
    <s v="N/A"/>
    <s v="01/10/2026 08:28:40"/>
    <m/>
    <m/>
    <s v="Informativo de ensaque de classificação"/>
    <s v="null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JOHNE ROSA SILVA"/>
    <x v="2"/>
    <s v="0026435/26"/>
    <n v="39"/>
    <s v="KG"/>
    <m/>
    <n v="39"/>
    <n v="39"/>
    <x v="0"/>
    <x v="0"/>
    <x v="0"/>
    <s v="1000 - Aprovação"/>
    <s v="Sim"/>
    <s v="Fracionamento"/>
    <m/>
    <s v="0"/>
    <m/>
    <s v="N/A"/>
    <s v="30/09/2026 16:23:03"/>
    <m/>
    <s v="FRACIONADO PARA CONSUMO"/>
    <s v=""/>
    <s v="null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36/26"/>
    <n v="1"/>
    <s v="BAG"/>
    <m/>
    <n v="786"/>
    <n v="784.4"/>
    <x v="0"/>
    <x v="0"/>
    <x v="1"/>
    <s v="Análise Setor de Qualidade"/>
    <s v="Não"/>
    <s v="Inicial"/>
    <m/>
    <s v="0"/>
    <m/>
    <s v="N/A"/>
    <s v="30/09/2026 16:26:33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38/26"/>
    <n v="1"/>
    <s v="BAG"/>
    <m/>
    <n v="789"/>
    <n v="784.4"/>
    <x v="0"/>
    <x v="0"/>
    <x v="1"/>
    <s v="Análise Setor de Qualidade"/>
    <s v="Não"/>
    <s v="Inicial"/>
    <m/>
    <s v="0"/>
    <m/>
    <s v="N/A"/>
    <s v="30/09/2026 16:34:41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40/26"/>
    <n v="1"/>
    <s v="BAG"/>
    <m/>
    <n v="790"/>
    <n v="784.4"/>
    <x v="0"/>
    <x v="0"/>
    <x v="1"/>
    <s v="Análise Setor de Qualidade"/>
    <s v="Não"/>
    <s v="Inicial"/>
    <m/>
    <s v="0"/>
    <m/>
    <s v="N/A"/>
    <s v="30/09/2026 16:40:35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42/26"/>
    <n v="1"/>
    <s v="BAG"/>
    <m/>
    <n v="791"/>
    <n v="784.4"/>
    <x v="0"/>
    <x v="0"/>
    <x v="1"/>
    <s v="Análise Setor de Qualidade"/>
    <s v="Não"/>
    <s v="Inicial"/>
    <m/>
    <s v="0"/>
    <m/>
    <s v="N/A"/>
    <s v="30/09/2026 16:44:52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44/26"/>
    <n v="1"/>
    <s v="BAG"/>
    <m/>
    <n v="790"/>
    <n v="784.4"/>
    <x v="0"/>
    <x v="0"/>
    <x v="1"/>
    <s v="Análise Setor de Qualidade"/>
    <s v="Não"/>
    <s v="Inicial"/>
    <m/>
    <s v="0"/>
    <m/>
    <s v="N/A"/>
    <s v="30/09/2026 16:50:05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46/26"/>
    <n v="1"/>
    <s v="BAG"/>
    <m/>
    <n v="790"/>
    <n v="784.4"/>
    <x v="0"/>
    <x v="0"/>
    <x v="1"/>
    <s v="Análise Setor de Qualidade"/>
    <s v="Não"/>
    <s v="Inicial"/>
    <m/>
    <s v="0"/>
    <m/>
    <s v="N/A"/>
    <s v="30/09/2026 16:58:21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48/26"/>
    <n v="1"/>
    <s v="BAG"/>
    <m/>
    <n v="790"/>
    <n v="784.4"/>
    <x v="0"/>
    <x v="0"/>
    <x v="1"/>
    <s v="Análise Setor de Qualidade"/>
    <s v="Não"/>
    <s v="Inicial"/>
    <m/>
    <s v="0"/>
    <m/>
    <s v="N/A"/>
    <s v="30/09/2026 17:01:23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50/26"/>
    <n v="1"/>
    <s v="BAG"/>
    <m/>
    <n v="789"/>
    <n v="784.4"/>
    <x v="0"/>
    <x v="0"/>
    <x v="1"/>
    <s v="Análise Setor de Qualidade"/>
    <s v="Não"/>
    <s v="Inicial"/>
    <m/>
    <s v="0"/>
    <m/>
    <s v="N/A"/>
    <s v="30/09/2026 17:07:57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52/26"/>
    <n v="1"/>
    <s v="BAG"/>
    <m/>
    <n v="790"/>
    <n v="784.4"/>
    <x v="0"/>
    <x v="0"/>
    <x v="1"/>
    <s v="Análise Setor de Qualidade"/>
    <s v="Não"/>
    <s v="Inicial"/>
    <m/>
    <s v="0"/>
    <m/>
    <s v="N/A"/>
    <s v="30/09/2026 17:10:43"/>
    <m/>
    <s v=""/>
    <s v="Informativo de ensaque clean para PA"/>
    <s v="6525-PTM-COR-09/2026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54/26"/>
    <n v="1152"/>
    <s v="KG"/>
    <m/>
    <n v="1155"/>
    <n v="1152"/>
    <x v="0"/>
    <x v="0"/>
    <x v="1"/>
    <s v="Análise Setor de Qualidade"/>
    <s v="Não"/>
    <s v="Inicial"/>
    <m/>
    <s v="0"/>
    <m/>
    <s v="N/A"/>
    <s v="01/10/2026 07:52:37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55/26"/>
    <n v="46"/>
    <s v="KG"/>
    <m/>
    <n v="46"/>
    <n v="46"/>
    <x v="0"/>
    <x v="0"/>
    <x v="0"/>
    <s v="1000 - Aprovação"/>
    <s v="Sim"/>
    <s v="Fracionamento"/>
    <m/>
    <s v="0"/>
    <m/>
    <s v="N/A"/>
    <s v="01/10/2026 07:52:37"/>
    <m/>
    <s v="FRACIONADO PARA CONSUMO"/>
    <s v="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56/26"/>
    <n v="1155"/>
    <s v="KG"/>
    <m/>
    <n v="1158"/>
    <n v="1155"/>
    <x v="0"/>
    <x v="0"/>
    <x v="1"/>
    <s v="Análise Setor de Qualidade"/>
    <s v="Não"/>
    <s v="Inicial"/>
    <m/>
    <s v="0"/>
    <m/>
    <s v="N/A"/>
    <s v="01/10/2026 07:59:50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57/26"/>
    <n v="43"/>
    <s v="KG"/>
    <m/>
    <n v="43"/>
    <n v="43"/>
    <x v="0"/>
    <x v="0"/>
    <x v="0"/>
    <s v="1000 - Aprovação"/>
    <s v="Sim"/>
    <s v="Fracionamento"/>
    <m/>
    <s v="0"/>
    <m/>
    <s v="N/A"/>
    <s v="01/10/2026 07:59:50"/>
    <m/>
    <s v="FRACIONADO PARA CONSUMO"/>
    <s v=""/>
    <s v="null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58/26"/>
    <n v="1"/>
    <s v="BAG"/>
    <m/>
    <n v="792"/>
    <n v="784.4"/>
    <x v="0"/>
    <x v="0"/>
    <x v="1"/>
    <s v="Análise Setor de Qualidade"/>
    <s v="Não"/>
    <s v="Inicial"/>
    <m/>
    <s v="0"/>
    <m/>
    <s v="N/A"/>
    <s v="01/10/2026 08:03:31"/>
    <m/>
    <s v=""/>
    <s v="Informativo de ensaque clean para PA"/>
    <s v="6525-PTM-COR-09/2026"/>
    <s v=""/>
    <m/>
  </r>
  <r>
    <s v="VALOREM - PATOS"/>
    <x v="0"/>
    <s v="GRAO DESTINADO A SEMENTE -  P3845VYHR -"/>
    <x v="1"/>
    <s v="V3I6CC0382"/>
    <s v="7345816-434001"/>
    <s v="INV26/26"/>
    <s v="R2"/>
    <s v="Informativo de ensaque de classificação"/>
    <x v="0"/>
    <s v="PREVENTIVO"/>
    <s v="BRUNO SILVA MAGALHAES"/>
    <x v="0"/>
    <s v="0026459/26"/>
    <n v="126.2"/>
    <s v="KG"/>
    <m/>
    <n v="126.2"/>
    <n v="126.2"/>
    <x v="0"/>
    <x v="0"/>
    <x v="0"/>
    <s v="1000 - Aprovação"/>
    <s v="Sim"/>
    <s v="Fracionamento"/>
    <m/>
    <s v="0"/>
    <m/>
    <s v="N/A"/>
    <s v="01/10/2026 08:03:31"/>
    <m/>
    <s v="FRACIONADO PARA CONSUMO"/>
    <s v="Informativo de ensaque de classificação"/>
    <s v="null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60/26"/>
    <n v="1"/>
    <s v="BAG"/>
    <m/>
    <n v="792"/>
    <n v="784.4"/>
    <x v="0"/>
    <x v="0"/>
    <x v="1"/>
    <s v="Análise Setor de Qualidade"/>
    <s v="Não"/>
    <s v="Inicial"/>
    <m/>
    <s v="0"/>
    <m/>
    <s v="N/A"/>
    <s v="01/10/2026 08:05:26"/>
    <m/>
    <s v=""/>
    <s v="Informativo de ensaque clean para PA"/>
    <s v="6525-PTM-COR-09/2026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62/26"/>
    <n v="1150"/>
    <s v="KG"/>
    <m/>
    <n v="1153"/>
    <n v="1150"/>
    <x v="0"/>
    <x v="0"/>
    <x v="1"/>
    <s v="Análise Setor de Qualidade"/>
    <s v="Não"/>
    <s v="Inicial"/>
    <m/>
    <s v="0"/>
    <m/>
    <s v="N/A"/>
    <s v="01/10/2026 08:06:27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63/26"/>
    <n v="48"/>
    <s v="KG"/>
    <m/>
    <n v="48"/>
    <n v="48"/>
    <x v="0"/>
    <x v="0"/>
    <x v="0"/>
    <s v="1000 - Aprovação"/>
    <s v="Sim"/>
    <s v="Fracionamento"/>
    <m/>
    <s v="0"/>
    <m/>
    <s v="N/A"/>
    <s v="01/10/2026 08:06:27"/>
    <m/>
    <s v="FRACIONADO PARA CONSUMO"/>
    <s v=""/>
    <s v="null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64/26"/>
    <n v="1"/>
    <s v="BAG"/>
    <m/>
    <n v="790"/>
    <n v="784.4"/>
    <x v="0"/>
    <x v="0"/>
    <x v="1"/>
    <s v="Análise Setor de Qualidade"/>
    <s v="Não"/>
    <s v="Inicial"/>
    <m/>
    <s v="0"/>
    <m/>
    <s v="N/A"/>
    <s v="01/10/2026 08:06:35"/>
    <m/>
    <s v=""/>
    <s v="Informativo de ensaque clean para PA"/>
    <s v="6525-PTM-COR-09/2026"/>
    <s v=""/>
    <m/>
  </r>
  <r>
    <s v="VALOREM - PATOS"/>
    <x v="0"/>
    <s v="SEMENTE DE MILHO HIBRIDO - P3845VYHR R2 BB -"/>
    <x v="1"/>
    <s v="05P7622454"/>
    <s v="7345816-434001"/>
    <s v="INV26/26"/>
    <s v="R2"/>
    <s v="Informativo de ensaque clean para PA"/>
    <x v="1"/>
    <s v="STANDARD + P + D + L + L"/>
    <s v="BRUNO SILVA MAGALHAES"/>
    <x v="0"/>
    <s v="0026466/26"/>
    <n v="1"/>
    <s v="BAG"/>
    <m/>
    <n v="793"/>
    <n v="784.4"/>
    <x v="0"/>
    <x v="0"/>
    <x v="1"/>
    <s v="Análise Setor de Qualidade"/>
    <s v="Não"/>
    <s v="Inicial"/>
    <m/>
    <s v="0"/>
    <m/>
    <s v="N/A"/>
    <s v="01/10/2026 08:07:54"/>
    <m/>
    <s v=""/>
    <s v="Informativo de ensaque clean para PA"/>
    <s v="6525-PTM-COR-09/2026"/>
    <s v=""/>
    <m/>
  </r>
  <r>
    <s v="VALOREM - PATOS"/>
    <x v="0"/>
    <s v="GRAO DESTINADO A SEMENTE -  P3845VYHR -"/>
    <x v="1"/>
    <s v="V3I6CC0382"/>
    <s v="7345816-434001"/>
    <s v="INV26/26"/>
    <s v="R2"/>
    <s v="Informativo de ensaque de classificação"/>
    <x v="0"/>
    <s v="PREVENTIVO"/>
    <s v="BRUNO SILVA MAGALHAES"/>
    <x v="0"/>
    <s v="0026467/26"/>
    <n v="313.39999999999998"/>
    <s v="KG"/>
    <m/>
    <n v="313.39999999999998"/>
    <n v="313.39999999999998"/>
    <x v="0"/>
    <x v="0"/>
    <x v="0"/>
    <s v="1000 - Aprovação"/>
    <s v="Sim"/>
    <s v="Fracionamento"/>
    <m/>
    <s v="0"/>
    <m/>
    <s v="N/A"/>
    <s v="01/10/2026 08:07:54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68/26"/>
    <n v="1152"/>
    <s v="KG"/>
    <m/>
    <n v="1155"/>
    <n v="1152"/>
    <x v="0"/>
    <x v="0"/>
    <x v="1"/>
    <s v="Análise Setor de Qualidade"/>
    <s v="Não"/>
    <s v="Inicial"/>
    <m/>
    <s v="0"/>
    <m/>
    <s v="N/A"/>
    <s v="01/10/2026 08:11:52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69/26"/>
    <n v="46"/>
    <s v="KG"/>
    <m/>
    <n v="46"/>
    <n v="46"/>
    <x v="0"/>
    <x v="0"/>
    <x v="0"/>
    <s v="1000 - Aprovação"/>
    <s v="Sim"/>
    <s v="Fracionamento"/>
    <m/>
    <s v="0"/>
    <m/>
    <s v="N/A"/>
    <s v="01/10/2026 08:11:52"/>
    <m/>
    <s v="FRACIONADO PARA CONSUMO"/>
    <s v="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70/26"/>
    <n v="1141"/>
    <s v="KG"/>
    <m/>
    <n v="1144"/>
    <n v="1141"/>
    <x v="0"/>
    <x v="0"/>
    <x v="1"/>
    <s v="Análise Setor de Qualidade"/>
    <s v="Não"/>
    <s v="Inicial"/>
    <m/>
    <s v="0"/>
    <m/>
    <s v="N/A"/>
    <s v="01/10/2026 08:18:36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71/26"/>
    <n v="57"/>
    <s v="KG"/>
    <m/>
    <n v="57"/>
    <n v="57"/>
    <x v="0"/>
    <x v="0"/>
    <x v="0"/>
    <s v="1000 - Aprovação"/>
    <s v="Sim"/>
    <s v="Fracionamento"/>
    <m/>
    <s v="0"/>
    <m/>
    <s v="N/A"/>
    <s v="01/10/2026 08:18:36"/>
    <m/>
    <s v="FRACIONADO PARA CONSUMO"/>
    <s v="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72/26"/>
    <n v="1150"/>
    <s v="KG"/>
    <m/>
    <n v="1153"/>
    <n v="1150"/>
    <x v="0"/>
    <x v="0"/>
    <x v="1"/>
    <s v="Análise Setor de Qualidade"/>
    <s v="Não"/>
    <s v="Inicial"/>
    <m/>
    <s v="0"/>
    <m/>
    <s v="N/A"/>
    <s v="01/10/2026 08:22:27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73/26"/>
    <n v="48"/>
    <s v="KG"/>
    <m/>
    <n v="48"/>
    <n v="48"/>
    <x v="0"/>
    <x v="0"/>
    <x v="0"/>
    <s v="1000 - Aprovação"/>
    <s v="Sim"/>
    <s v="Fracionamento"/>
    <m/>
    <s v="0"/>
    <m/>
    <s v="N/A"/>
    <s v="01/10/2026 08:22:27"/>
    <m/>
    <s v="FRACIONADO PARA CONSUMO"/>
    <s v=""/>
    <s v="null"/>
    <s v=""/>
    <m/>
  </r>
  <r>
    <s v="VALOREM - PATOS"/>
    <x v="0"/>
    <s v="SEMENTE DE MILHO HIBRIDO - P3845VYHR R2 60S -"/>
    <x v="1"/>
    <s v="05P7648103"/>
    <s v="7345816-434001"/>
    <s v="INV26/26"/>
    <s v="R2"/>
    <s v="Informativo de ensaque clean para PA"/>
    <x v="2"/>
    <s v="STANDARD + P + D + L + L"/>
    <s v="BRUNO SILVA MAGALHAES"/>
    <x v="0"/>
    <s v="0026474/26"/>
    <n v="37"/>
    <s v="SC"/>
    <m/>
    <n v="758"/>
    <n v="725.57"/>
    <x v="0"/>
    <x v="0"/>
    <x v="1"/>
    <s v="Análise Setor de Qualidade"/>
    <s v="Não"/>
    <s v="Inicial"/>
    <m/>
    <s v="0"/>
    <m/>
    <s v="N/A"/>
    <s v="01/10/2026 08:22:53"/>
    <m/>
    <s v=""/>
    <s v="Informativo de ensaque clean para PA"/>
    <s v="6525-PTM-COR-09/2026"/>
    <s v=""/>
    <m/>
  </r>
  <r>
    <s v="VALOREM - PATOS"/>
    <x v="0"/>
    <s v="GRAO DESTINADO A SEMENTE -  P3845VYHR -"/>
    <x v="1"/>
    <s v="V3I6CC0382"/>
    <s v="7345816-434001"/>
    <s v="INV26/26"/>
    <s v="R2"/>
    <s v="Informativo de ensaque de classificação"/>
    <x v="0"/>
    <s v="PREVENTIVO"/>
    <s v="BRUNO SILVA MAGALHAES"/>
    <x v="0"/>
    <s v="0026475/26"/>
    <n v="277.83"/>
    <s v="KG"/>
    <m/>
    <n v="277.83"/>
    <n v="277.83"/>
    <x v="0"/>
    <x v="0"/>
    <x v="0"/>
    <s v="1000 - Aprovação"/>
    <s v="Sim"/>
    <s v="Fracionamento"/>
    <m/>
    <s v="0"/>
    <m/>
    <s v="N/A"/>
    <s v="01/10/2026 08:22:53"/>
    <m/>
    <s v="FRACIONADO PARA CONSUMO"/>
    <s v="Informativo de ensaque de classificação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76/26"/>
    <n v="1151"/>
    <s v="KG"/>
    <m/>
    <n v="1154"/>
    <n v="1151"/>
    <x v="0"/>
    <x v="0"/>
    <x v="0"/>
    <s v="Análise Setor de Qualidade"/>
    <s v="Não"/>
    <s v="Inicial"/>
    <m/>
    <s v="0"/>
    <m/>
    <s v="N/A"/>
    <s v="01/10/2026 08:26:50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77/26"/>
    <n v="46"/>
    <s v="KG"/>
    <m/>
    <n v="46"/>
    <n v="46"/>
    <x v="0"/>
    <x v="0"/>
    <x v="0"/>
    <s v="1000 - Aprovação"/>
    <s v="Sim"/>
    <s v="Fracionamento"/>
    <m/>
    <s v="0"/>
    <m/>
    <s v="N/A"/>
    <s v="01/10/2026 08:26:50"/>
    <m/>
    <s v="FRACIONADO PARA CONSUMO"/>
    <s v=""/>
    <s v="null"/>
    <s v=""/>
    <m/>
  </r>
  <r>
    <s v="VALOREM - PATOS"/>
    <x v="0"/>
    <s v="GRAO DESTINADO A SEMENTE -  P3845VYHR -"/>
    <x v="1"/>
    <s v="V3I6CC0397"/>
    <s v="7334891-434002"/>
    <s v="INV26/26"/>
    <s v="C1"/>
    <s v="Informativo de ensaque de classificação"/>
    <x v="0"/>
    <s v="PREVENTIVO"/>
    <s v="OSCARLINO ROSA MAGALHAES"/>
    <x v="2"/>
    <s v="0026478/26"/>
    <n v="1152"/>
    <s v="KG"/>
    <m/>
    <n v="1155"/>
    <n v="1152"/>
    <x v="0"/>
    <x v="0"/>
    <x v="0"/>
    <s v="Análise Setor de Qualidade"/>
    <s v="Não"/>
    <s v="Inicial"/>
    <m/>
    <s v="0"/>
    <m/>
    <s v="N/A"/>
    <s v="01/10/2026 08:30:51"/>
    <m/>
    <s v=""/>
    <s v="Informativo de ensaque de classificação"/>
    <s v="6493-PTM-COR-09/2026"/>
    <s v=""/>
    <m/>
  </r>
  <r>
    <s v="VALOREM - PATOS"/>
    <x v="0"/>
    <s v="GRAO DESTINADO SEMENTE - P3845VYHR -"/>
    <x v="1"/>
    <s v="V1I6BC0043"/>
    <s v="7334891-434002"/>
    <s v="INV26/26"/>
    <s v=""/>
    <s v="Transferência Interna"/>
    <x v="3"/>
    <s v="PREVENTIVO"/>
    <s v="OSCARLINO ROSA MAGALHAES"/>
    <x v="2"/>
    <s v="0026479/26"/>
    <n v="45"/>
    <s v="KG"/>
    <m/>
    <n v="45"/>
    <n v="45"/>
    <x v="0"/>
    <x v="0"/>
    <x v="0"/>
    <s v="1000 - Aprovação"/>
    <s v="Sim"/>
    <s v="Fracionamento"/>
    <m/>
    <s v="0"/>
    <m/>
    <s v="N/A"/>
    <s v="01/10/2026 08:30:51"/>
    <m/>
    <s v="FRACIONADO PARA CONSUMO"/>
    <s v=""/>
    <s v="null"/>
    <s v=""/>
    <m/>
  </r>
  <r>
    <m/>
    <x v="1"/>
    <m/>
    <x v="2"/>
    <m/>
    <m/>
    <m/>
    <m/>
    <m/>
    <x v="4"/>
    <m/>
    <m/>
    <x v="3"/>
    <m/>
    <m/>
    <m/>
    <m/>
    <m/>
    <m/>
    <x v="4"/>
    <x v="35"/>
    <x v="2"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VALOREM - PATOS"/>
    <x v="0"/>
    <s v="P3889R"/>
    <x v="0"/>
    <s v="03P7609023"/>
    <s v="SC"/>
    <s v="LOTE TOTALMENTE FATURADO"/>
    <s v="08/09/2026"/>
    <s v="08/09/2026"/>
    <s v="09/09/2026"/>
    <s v="14/09/2026"/>
    <s v="ARMAZEM"/>
    <s v="Camara Fria 2"/>
    <s v="CF2-02"/>
    <n v="11"/>
  </r>
  <r>
    <s v="VALOREM - PATOS"/>
    <x v="0"/>
    <s v="P3889R"/>
    <x v="0"/>
    <s v="03P7609035"/>
    <s v="SC"/>
    <s v="LOTE TOTALMENTE FATURADO"/>
    <s v="10/09/2026"/>
    <s v="10/09/2026"/>
    <s v="11/09/2026"/>
    <s v="17/09/2026"/>
    <s v="ARMAZEM"/>
    <s v="Camara Fria 2"/>
    <s v="CF2-02"/>
    <n v="24"/>
  </r>
  <r>
    <s v="VALOREM - PATOS"/>
    <x v="0"/>
    <s v="P3889R"/>
    <x v="0"/>
    <s v="03P7609046"/>
    <s v="SC"/>
    <s v="LOTE TOTALMENTE FATURADO"/>
    <s v="08/09/2026"/>
    <s v="08/09/2026"/>
    <s v="09/09/2026"/>
    <s v="14/09/2026"/>
    <s v="ARMAZEM"/>
    <s v="Camara Fria 2"/>
    <s v="CF2-02"/>
    <n v="13"/>
  </r>
  <r>
    <s v="VALOREM - PATOS"/>
    <x v="0"/>
    <s v="P3889R"/>
    <x v="0"/>
    <s v="03P7609050"/>
    <s v="SC"/>
    <s v="LOTE TOTALMENTE FATURADO"/>
    <s v="08/09/2026"/>
    <s v="08/09/2026"/>
    <s v="09/09/2026"/>
    <s v="17/09/2026"/>
    <s v="ARMAZEM"/>
    <s v="Camara Fria 2"/>
    <s v="CF2-02"/>
    <n v="49"/>
  </r>
  <r>
    <s v="VALOREM - PATOS"/>
    <x v="0"/>
    <s v="P3889R"/>
    <x v="0"/>
    <s v="03P7609063"/>
    <s v="SC"/>
    <s v="LOTE TOTALMENTE FATURADO"/>
    <s v="11/09/2026"/>
    <s v="11/09/2026"/>
    <s v="11/09/2026"/>
    <s v="17/09/2026"/>
    <s v="ARMAZEM"/>
    <s v="Camara Fria 2"/>
    <s v="CF2-02"/>
    <n v="24"/>
  </r>
  <r>
    <s v="VALOREM - PATOS"/>
    <x v="0"/>
    <s v="P3889R"/>
    <x v="0"/>
    <s v="03P7609070"/>
    <s v="SC"/>
    <s v="LOTE TOTALMENTE FATURADO"/>
    <s v="09/09/2026"/>
    <s v="09/09/2026"/>
    <s v="10/09/2026"/>
    <s v="14/09/2026"/>
    <s v="ARMAZEM"/>
    <s v="Camara Fria 2"/>
    <s v="CF2-02"/>
    <n v="18"/>
  </r>
  <r>
    <s v="VALOREM - PATOS"/>
    <x v="0"/>
    <s v="P3889R"/>
    <x v="0"/>
    <s v="03P7609071"/>
    <s v="SC"/>
    <s v="LOTE TOTALMENTE FATURADO"/>
    <s v="10/09/2026"/>
    <s v="10/09/2026"/>
    <s v="10/09/2026"/>
    <s v="17/09/2026"/>
    <s v="ARMAZEM"/>
    <s v="Camara Fria 2"/>
    <s v="CF2-02"/>
    <n v="38"/>
  </r>
  <r>
    <s v="VALOREM - PATOS"/>
    <x v="0"/>
    <s v="P3889R"/>
    <x v="0"/>
    <s v="03P7609073"/>
    <s v="SC"/>
    <s v="LOTE TOTALMENTE FATURADO"/>
    <s v="10/09/2026"/>
    <s v="10/09/2026"/>
    <s v="10/09/2026"/>
    <s v="17/09/2026"/>
    <s v="ARMAZEM"/>
    <s v="Camara Fria 2"/>
    <s v="CF2-02"/>
    <n v="15"/>
  </r>
  <r>
    <s v="VALOREM - PATOS"/>
    <x v="0"/>
    <s v="P3889R"/>
    <x v="0"/>
    <s v="03P7609075"/>
    <s v="SC"/>
    <s v="LOTE TOTALMENTE FATURADO"/>
    <s v="10/09/2026"/>
    <s v="10/09/2026"/>
    <s v="10/09/2026"/>
    <s v="17/09/2026"/>
    <s v="ARMAZEM"/>
    <s v="Camara Fria 2"/>
    <s v="CF2-02"/>
    <n v="11"/>
  </r>
  <r>
    <s v="VALOREM - PATOS"/>
    <x v="0"/>
    <s v="P3889R"/>
    <x v="0"/>
    <s v="03P7609082"/>
    <s v="SC"/>
    <s v="LOTE TOTALMENTE FATURADO"/>
    <s v="09/09/2026"/>
    <s v="09/09/2026"/>
    <s v="09/09/2026"/>
    <s v="14/09/2026"/>
    <s v="ARMAZEM"/>
    <s v="Camara Fria 2"/>
    <s v="CF2-02"/>
    <n v="42"/>
  </r>
  <r>
    <s v="VALOREM - PATOS"/>
    <x v="0"/>
    <s v="P3889R"/>
    <x v="0"/>
    <s v="03P7609089"/>
    <s v="SC"/>
    <s v="LOTE TOTALMENTE FATURADO"/>
    <s v="09/09/2026"/>
    <s v="09/09/2026"/>
    <s v="09/09/2026"/>
    <s v="14/09/2026"/>
    <s v="ARMAZEM"/>
    <s v="Camara Fria 2"/>
    <s v="CF2-02"/>
    <n v="23"/>
  </r>
  <r>
    <s v="VALOREM - PATOS"/>
    <x v="0"/>
    <s v="P3889R"/>
    <x v="0"/>
    <s v="03P7609093"/>
    <s v="SC"/>
    <s v="LOTE TOTALMENTE FATURADO"/>
    <s v="09/09/2026"/>
    <s v="09/09/2026"/>
    <s v="09/09/2026"/>
    <s v="14/09/2026"/>
    <s v="ARMAZEM"/>
    <s v="Camara Fria 2"/>
    <s v="CF2-02"/>
    <n v="41"/>
  </r>
  <r>
    <s v="VALOREM - PATOS"/>
    <x v="0"/>
    <s v="P3889R"/>
    <x v="0"/>
    <s v="03P7609094"/>
    <s v="SC"/>
    <s v="LOTE TOTALMENTE FATURADO"/>
    <s v="09/09/2026"/>
    <s v="09/09/2026"/>
    <s v="10/09/2026"/>
    <s v="14/09/2026"/>
    <s v="ARMAZEM"/>
    <s v="Camara Fria 2"/>
    <s v="CF2-02"/>
    <n v="33"/>
  </r>
  <r>
    <s v="VALOREM - PATOS"/>
    <x v="0"/>
    <s v="P3889R"/>
    <x v="0"/>
    <s v="03P7609095"/>
    <s v="SC"/>
    <s v="LOTE TOTALMENTE FATURADO"/>
    <s v="11/09/2026"/>
    <s v="11/09/2026"/>
    <s v="11/09/2026"/>
    <s v="17/09/2026"/>
    <s v="ARMAZEM"/>
    <s v="Camara Fria 2"/>
    <s v="CF2-02"/>
    <n v="43"/>
  </r>
  <r>
    <s v="VALOREM - PATOS"/>
    <x v="0"/>
    <s v="P3889R"/>
    <x v="0"/>
    <s v="03P7609117"/>
    <s v="SC"/>
    <s v="LOTE TOTALMENTE FATURADO"/>
    <s v="08/09/2026"/>
    <s v="08/09/2026"/>
    <s v="08/09/2026"/>
    <s v="14/09/2026"/>
    <s v="ARMAZEM"/>
    <s v="Camara Fria 2"/>
    <s v="CF2-02"/>
    <n v="9"/>
  </r>
  <r>
    <s v="VALOREM - PATOS"/>
    <x v="0"/>
    <s v="P3889R"/>
    <x v="0"/>
    <s v="03P7614093"/>
    <s v="SC"/>
    <s v="LOTE TOTALMENTE FATURADO"/>
    <s v="11/09/2026"/>
    <s v="11/09/2026"/>
    <s v="11/09/2026"/>
    <s v="17/09/2026"/>
    <s v="ARMAZEM"/>
    <s v="Camara Fria 2"/>
    <s v="CF2-15"/>
    <n v="714"/>
  </r>
  <r>
    <s v="VALOREM - PATOS"/>
    <x v="0"/>
    <s v="P3889R"/>
    <x v="0"/>
    <s v="03P7614756"/>
    <s v="SC"/>
    <s v="LOTE TOTALMENTE FATURADO"/>
    <s v="11/09/2026"/>
    <s v="11/09/2026"/>
    <s v="11/09/2026"/>
    <s v="17/09/2026"/>
    <s v="ARMAZEM"/>
    <s v="Camara Fria 2"/>
    <s v="CF2-15"/>
    <n v="750"/>
  </r>
  <r>
    <s v="VALOREM - PATOS"/>
    <x v="0"/>
    <s v="P3889R"/>
    <x v="0"/>
    <s v="03P7616361"/>
    <s v="SC"/>
    <s v="LOTE TOTALMENTE FATURADO"/>
    <s v="11/09/2026"/>
    <s v="11/09/2026"/>
    <s v="11/09/2026"/>
    <s v="17/09/2026"/>
    <s v="ARMAZEM"/>
    <s v="Camara Fria 2"/>
    <s v="CF2-13"/>
    <n v="668"/>
  </r>
  <r>
    <s v="VALOREM - PATOS"/>
    <x v="0"/>
    <s v="P3889R"/>
    <x v="0"/>
    <s v="03P7616583"/>
    <s v="SC"/>
    <s v="LOTE TOTALMENTE FATURADO"/>
    <s v="11/09/2026"/>
    <s v="11/09/2026"/>
    <s v="11/09/2026"/>
    <s v="17/09/2026"/>
    <s v="ARMAZEM"/>
    <s v="Camara Fria 2"/>
    <s v="CF2-13"/>
    <n v="318"/>
  </r>
  <r>
    <s v="VALOREM - PATOS"/>
    <x v="0"/>
    <s v="P3889R"/>
    <x v="1"/>
    <s v="03P7600705"/>
    <s v="BAG"/>
    <s v="LOTE TOTALMENTE FATURADO"/>
    <s v="08/09/2026"/>
    <s v="08/09/2026"/>
    <s v="09/09/2026"/>
    <s v="14/09/2026"/>
    <s v="ARMAZEM"/>
    <s v="Camara Fria 2"/>
    <s v="CF2-10"/>
    <n v="17"/>
  </r>
  <r>
    <s v="VALOREM - PATOS"/>
    <x v="0"/>
    <s v="P3889R"/>
    <x v="1"/>
    <s v="03P7600718"/>
    <s v="BAG"/>
    <s v="LOTE TOTALMENTE FATURADO"/>
    <s v="10/09/2026"/>
    <s v="10/09/2026"/>
    <s v="11/09/2026"/>
    <s v="17/09/2026"/>
    <s v="ARMAZEM"/>
    <s v="Camara Fria 2"/>
    <s v="CF2-23"/>
    <n v="15"/>
  </r>
  <r>
    <s v="VALOREM - PATOS"/>
    <x v="0"/>
    <s v="P3889R"/>
    <x v="1"/>
    <s v="03P7600730"/>
    <s v="BAG"/>
    <s v="LOTE TOTALMENTE FATURADO"/>
    <s v="08/09/2026"/>
    <s v="08/09/2026"/>
    <s v="09/09/2026"/>
    <s v="17/09/2026"/>
    <s v="ARMAZEM"/>
    <s v="Camara Fria 2"/>
    <s v="CF2-28"/>
    <n v="17"/>
  </r>
  <r>
    <s v="VALOREM - PATOS"/>
    <x v="0"/>
    <s v="P3889R"/>
    <x v="1"/>
    <s v="03P7600731"/>
    <s v="BAG"/>
    <s v="LOTE TOTALMENTE FATURADO"/>
    <s v="11/09/2026"/>
    <s v="11/09/2026"/>
    <s v="14/09/2026"/>
    <s v="17/09/2026"/>
    <s v="ARMAZEM"/>
    <s v="Camara Fria 2"/>
    <s v="CF2-14"/>
    <n v="3"/>
  </r>
  <r>
    <s v="VALOREM - PATOS"/>
    <x v="0"/>
    <s v="P3889R"/>
    <x v="1"/>
    <s v="03P7600741"/>
    <s v="BAG"/>
    <s v="LOTE TOTALMENTE FATURADO"/>
    <s v="08/09/2026"/>
    <s v="08/09/2026"/>
    <s v="09/09/2026"/>
    <s v="14/09/2026"/>
    <s v="ARMAZEM"/>
    <s v="Camara Fria 2"/>
    <s v="CF2-18"/>
    <n v="14"/>
  </r>
  <r>
    <s v="VALOREM - PATOS"/>
    <x v="0"/>
    <s v="P3889R"/>
    <x v="1"/>
    <s v="03P7600742"/>
    <s v="BAG"/>
    <s v="LOTE TOTALMENTE FATURADO"/>
    <s v="10/09/2026"/>
    <s v="10/09/2026"/>
    <s v="11/09/2026"/>
    <s v="17/09/2026"/>
    <s v="ARMAZEM"/>
    <s v="Camara Fria 2"/>
    <s v="CF2-19"/>
    <n v="11"/>
  </r>
  <r>
    <s v="VALOREM - PATOS"/>
    <x v="0"/>
    <s v="P3889R"/>
    <x v="1"/>
    <s v="03P7600752"/>
    <s v="BAG"/>
    <s v="LOTE TOTALMENTE FATURADO"/>
    <s v="11/09/2026"/>
    <s v="11/09/2026"/>
    <s v="11/09/2026"/>
    <s v="17/09/2026"/>
    <s v="ARMAZEM"/>
    <s v="Camara Fria 2"/>
    <s v="CF2-19"/>
    <n v="5"/>
  </r>
  <r>
    <s v="VALOREM - PATOS"/>
    <x v="0"/>
    <s v="P3889R"/>
    <x v="1"/>
    <s v="03P7600765"/>
    <s v="BAG"/>
    <s v="LOTE TOTALMENTE FATURADO"/>
    <s v="09/09/2026"/>
    <s v="09/09/2026"/>
    <s v="10/09/2026"/>
    <s v="14/09/2026"/>
    <s v="ARMAZEM"/>
    <s v="Camara Fria 2"/>
    <s v="CF2-25"/>
    <n v="11"/>
  </r>
  <r>
    <s v="VALOREM - PATOS"/>
    <x v="0"/>
    <s v="P3889R"/>
    <x v="1"/>
    <s v="03P7600766"/>
    <s v="BAG"/>
    <s v="LOTE TOTALMENTE FATURADO"/>
    <s v="10/09/2026"/>
    <s v="10/09/2026"/>
    <s v="10/09/2026"/>
    <s v="17/09/2026"/>
    <s v="ARMAZEM"/>
    <s v="Camara Fria 2"/>
    <s v="CF2-25"/>
    <n v="14"/>
  </r>
  <r>
    <s v="VALOREM - PATOS"/>
    <x v="0"/>
    <s v="P3889R"/>
    <x v="1"/>
    <s v="03P7600767"/>
    <s v="BAG"/>
    <s v="LOTE TOTALMENTE FATURADO"/>
    <s v="10/09/2026"/>
    <s v="10/09/2026"/>
    <s v="10/09/2026"/>
    <s v="17/09/2026"/>
    <s v="ARMAZEM"/>
    <s v="Camara Fria 2"/>
    <s v="CF2-23"/>
    <n v="16"/>
  </r>
  <r>
    <s v="VALOREM - PATOS"/>
    <x v="0"/>
    <s v="P3889R"/>
    <x v="1"/>
    <s v="03P7600768"/>
    <s v="BAG"/>
    <s v="LOTE TOTALMENTE FATURADO"/>
    <s v="10/09/2026"/>
    <s v="10/09/2026"/>
    <s v="10/09/2026"/>
    <s v="17/09/2026"/>
    <s v="ARMAZEM"/>
    <s v="Camara Fria 2"/>
    <s v="CF2-28"/>
    <n v="9"/>
  </r>
  <r>
    <s v="VALOREM - PATOS"/>
    <x v="0"/>
    <s v="P3889R"/>
    <x v="1"/>
    <s v="03P7600779"/>
    <s v="BAG"/>
    <s v="LOTE TOTALMENTE FATURADO"/>
    <s v="09/09/2026"/>
    <s v="09/09/2026"/>
    <s v="09/09/2026"/>
    <s v="14/09/2026"/>
    <s v="ARMAZEM"/>
    <s v="Camara Fria 2"/>
    <s v="CF2-16"/>
    <n v="24"/>
  </r>
  <r>
    <s v="VALOREM - PATOS"/>
    <x v="0"/>
    <s v="P3889R"/>
    <x v="1"/>
    <s v="03P7600782"/>
    <s v="BAG"/>
    <s v="LOTE TOTALMENTE FATURADO"/>
    <s v="09/09/2026"/>
    <s v="09/09/2026"/>
    <s v="09/09/2026"/>
    <s v="14/09/2026"/>
    <s v="ARMAZEM"/>
    <s v="Camara Fria 2"/>
    <s v="CF2-27"/>
    <n v="18"/>
  </r>
  <r>
    <s v="VALOREM - PATOS"/>
    <x v="0"/>
    <s v="P3889R"/>
    <x v="1"/>
    <s v="03P7600785"/>
    <s v="BAG"/>
    <s v="LOTE TOTALMENTE FATURADO"/>
    <s v="10/09/2026"/>
    <s v="10/09/2026"/>
    <s v="11/09/2026"/>
    <s v="17/09/2026"/>
    <s v="ARMAZEM"/>
    <s v="Camara Fria 2"/>
    <s v="CF2-17"/>
    <n v="17"/>
  </r>
  <r>
    <s v="VALOREM - PATOS"/>
    <x v="0"/>
    <s v="P3845VYHR"/>
    <x v="2"/>
    <s v="V1I6BC0043"/>
    <s v="KG"/>
    <s v="LOTE PARCIALMENTE FATURADO"/>
    <s v="25/09/2026"/>
    <s v="14/07/2026"/>
    <s v="28/09/2026"/>
    <s v="15/09/2026"/>
    <s v="TORRE"/>
    <m/>
    <m/>
    <n v="29727"/>
  </r>
  <r>
    <s v="VALOREM - PATOS"/>
    <x v="0"/>
    <s v="P3845VYHR"/>
    <x v="2"/>
    <s v="V1I6BC0043"/>
    <s v="KG"/>
    <s v="LOTE PARCIALMENTE FATURADO"/>
    <s v="28/09/2026"/>
    <s v="14/07/2026"/>
    <s v="29/09/2026"/>
    <s v="15/09/2026"/>
    <s v="ARMAZEM"/>
    <m/>
    <m/>
    <n v="2400"/>
  </r>
  <r>
    <s v="VALOREM - PATOS"/>
    <x v="0"/>
    <s v="P3845VYHR"/>
    <x v="2"/>
    <s v="V1I6BC0043"/>
    <s v="KG"/>
    <s v="LOTE PARCIALMENTE FATURADO"/>
    <s v="28/09/2026"/>
    <s v="14/07/2026"/>
    <s v="29/09/2026"/>
    <s v="15/09/2026"/>
    <s v="TORRE"/>
    <m/>
    <m/>
    <n v="43158"/>
  </r>
  <r>
    <s v="VALOREM - PATOS"/>
    <x v="0"/>
    <s v="P3845VYHR"/>
    <x v="2"/>
    <s v="V1I6BC0043"/>
    <s v="KG"/>
    <s v="LOTE PARCIALMENTE FATURADO"/>
    <s v="29/09/2026"/>
    <s v="14/07/2026"/>
    <s v="30/09/2026"/>
    <s v="15/09/2026"/>
    <s v="TORRE"/>
    <m/>
    <m/>
    <n v="46667"/>
  </r>
  <r>
    <s v="VALOREM - PATOS"/>
    <x v="0"/>
    <s v="P3845VYHR"/>
    <x v="2"/>
    <s v="V1I6BC0043"/>
    <s v="KG"/>
    <s v="LOTE PARCIALMENTE FATURADO"/>
    <s v="30/09/2026"/>
    <s v="14/07/2026"/>
    <s v="30/09/2026"/>
    <s v="15/09/2026"/>
    <s v="TORRE"/>
    <m/>
    <m/>
    <n v="3597"/>
  </r>
  <r>
    <s v="VALOREM - PATOS"/>
    <x v="0"/>
    <s v="P3845VYHR"/>
    <x v="2"/>
    <s v="V1I6BC0076"/>
    <s v="KG"/>
    <s v="LOTE PARCIALMENTE FATURADO"/>
    <s v="30/09/2026"/>
    <s v="28/08/2026"/>
    <s v="30/09/2026"/>
    <s v="15/09/2026"/>
    <s v="TORRE"/>
    <m/>
    <m/>
    <n v="42894"/>
  </r>
  <r>
    <s v="VALOREM - PATOS"/>
    <x v="0"/>
    <s v="P3845VYHR"/>
    <x v="2"/>
    <s v="V1I6BC0076"/>
    <s v="KG"/>
    <s v="LOTE PARCIALMENTE FATURADO"/>
    <s v="30/09/2026"/>
    <s v="28/08/2026"/>
    <s v="30/09/2026"/>
    <s v="15/09/2026"/>
    <s v="ARMAZEM"/>
    <m/>
    <m/>
    <n v="45982"/>
  </r>
  <r>
    <s v="VALOREM - PATOS"/>
    <x v="0"/>
    <s v="P3845VYHR"/>
    <x v="2"/>
    <s v="V1I6BC0084"/>
    <s v="KG"/>
    <s v="LOTE PARCIALMENTE FATURADO"/>
    <s v="25/09/2026"/>
    <s v="25/08/2026"/>
    <s v="28/09/2026"/>
    <s v="15/09/2026"/>
    <s v="TORRE"/>
    <m/>
    <m/>
    <n v="23384"/>
  </r>
  <r>
    <s v="VALOREM - PATOS"/>
    <x v="0"/>
    <s v="P3845VYHR"/>
    <x v="2"/>
    <s v="V1I6BC0084"/>
    <s v="KG"/>
    <s v="LOTE PARCIALMENTE FATURADO"/>
    <s v="25/09/2026"/>
    <s v="25/08/2026"/>
    <s v="28/09/2026"/>
    <s v="15/09/2026"/>
    <s v="TORRE"/>
    <m/>
    <m/>
    <n v="40468"/>
  </r>
  <r>
    <m/>
    <x v="1"/>
    <m/>
    <x v="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DDA1B-41C6-4091-BD77-542CFB5CBB40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">
  <location ref="A5:D20" firstHeaderRow="0" firstDataRow="1" firstDataCol="1" rowPageCount="2" colPageCount="1"/>
  <pivotFields count="36">
    <pivotField showAll="0"/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m="1" x="5"/>
        <item m="1" x="6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axis="axisPage" multipleItemSelectionAllowed="1" showAll="0">
      <items count="22">
        <item x="2"/>
        <item m="1" x="5"/>
        <item x="0"/>
        <item m="1" x="20"/>
        <item m="1" x="11"/>
        <item m="1" x="9"/>
        <item m="1" x="10"/>
        <item m="1" x="8"/>
        <item m="1" x="16"/>
        <item m="1" x="17"/>
        <item m="1" x="18"/>
        <item m="1" x="19"/>
        <item m="1" x="6"/>
        <item m="1" x="7"/>
        <item m="1" x="12"/>
        <item m="1" x="13"/>
        <item m="1" x="14"/>
        <item x="4"/>
        <item m="1" x="15"/>
        <item x="1"/>
        <item x="3"/>
        <item t="default"/>
      </items>
    </pivotField>
    <pivotField axis="axisPage" multipleItemSelectionAllowed="1" showAll="0">
      <items count="80">
        <item x="22"/>
        <item x="27"/>
        <item m="1" x="58"/>
        <item x="0"/>
        <item m="1" x="78"/>
        <item m="1" x="69"/>
        <item m="1" x="66"/>
        <item m="1" x="67"/>
        <item m="1" x="64"/>
        <item m="1" x="74"/>
        <item m="1" x="75"/>
        <item m="1" x="76"/>
        <item m="1" x="77"/>
        <item m="1" x="62"/>
        <item m="1" x="63"/>
        <item m="1" x="70"/>
        <item m="1" x="71"/>
        <item m="1" x="72"/>
        <item x="35"/>
        <item x="20"/>
        <item m="1" x="73"/>
        <item x="21"/>
        <item x="17"/>
        <item x="18"/>
        <item x="15"/>
        <item x="19"/>
        <item x="14"/>
        <item x="28"/>
        <item x="29"/>
        <item x="30"/>
        <item m="1" x="36"/>
        <item m="1" x="42"/>
        <item m="1" x="44"/>
        <item x="16"/>
        <item m="1" x="46"/>
        <item x="34"/>
        <item m="1" x="57"/>
        <item m="1" x="49"/>
        <item m="1" x="37"/>
        <item m="1" x="60"/>
        <item m="1" x="52"/>
        <item m="1" x="53"/>
        <item x="24"/>
        <item m="1" x="56"/>
        <item m="1" x="40"/>
        <item m="1" x="54"/>
        <item x="32"/>
        <item x="3"/>
        <item x="2"/>
        <item x="1"/>
        <item m="1" x="65"/>
        <item x="5"/>
        <item m="1" x="55"/>
        <item m="1" x="61"/>
        <item m="1" x="48"/>
        <item m="1" x="38"/>
        <item m="1" x="68"/>
        <item m="1" x="47"/>
        <item x="13"/>
        <item x="4"/>
        <item x="6"/>
        <item m="1" x="39"/>
        <item x="7"/>
        <item x="8"/>
        <item m="1" x="59"/>
        <item x="9"/>
        <item x="10"/>
        <item x="11"/>
        <item x="12"/>
        <item m="1" x="43"/>
        <item m="1" x="45"/>
        <item m="1" x="51"/>
        <item m="1" x="50"/>
        <item x="31"/>
        <item x="23"/>
        <item x="25"/>
        <item m="1" x="41"/>
        <item x="33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1"/>
    <field x="9"/>
  </rowFields>
  <rowItems count="15">
    <i>
      <x v="1"/>
    </i>
    <i r="1">
      <x/>
    </i>
    <i r="2">
      <x/>
    </i>
    <i r="2">
      <x v="4"/>
    </i>
    <i r="2">
      <x v="5"/>
    </i>
    <i r="2">
      <x v="6"/>
    </i>
    <i>
      <x v="2"/>
    </i>
    <i r="1">
      <x/>
    </i>
    <i r="2">
      <x/>
    </i>
    <i r="2">
      <x v="4"/>
    </i>
    <i r="2">
      <x v="5"/>
    </i>
    <i>
      <x v="3"/>
    </i>
    <i r="1">
      <x v="1"/>
    </i>
    <i r="2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0" hier="-1"/>
    <pageField fld="19" hier="-1"/>
  </pageFields>
  <dataFields count="3">
    <dataField name="QUANTID." fld="14" baseField="0" baseItem="0"/>
    <dataField name="PALETES" fld="2" subtotal="count" baseField="0" baseItem="0"/>
    <dataField name="PESO LÍQUIDO" fld="1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7A7F9-170F-482D-BE8E-C9DD7401105C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">
  <location ref="A80:B83" firstHeaderRow="1" firstDataRow="1" firstDataCol="1" rowPageCount="4" colPageCount="1"/>
  <pivotFields count="36"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m="1" x="5"/>
        <item m="1" x="6"/>
        <item x="4"/>
        <item x="2"/>
        <item x="1"/>
        <item x="3"/>
        <item t="default"/>
      </items>
    </pivotField>
    <pivotField showAll="0"/>
    <pivotField showAll="0"/>
    <pivotField axis="axisPage" multipleItemSelectionAllowed="1" showAll="0">
      <items count="7">
        <item h="1" x="1"/>
        <item h="1" m="1" x="5"/>
        <item x="2"/>
        <item h="1" x="0"/>
        <item h="1" x="3"/>
        <item h="1" m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multipleItemSelectionAllowed="1" showAll="0"/>
    <pivotField axis="axisPage" multipleItemSelectionAllowed="1" showAll="0">
      <items count="80">
        <item h="1" x="22"/>
        <item h="1" x="27"/>
        <item h="1" m="1" x="58"/>
        <item x="0"/>
        <item m="1" x="78"/>
        <item h="1" m="1" x="69"/>
        <item h="1" m="1" x="66"/>
        <item h="1" m="1" x="67"/>
        <item h="1" m="1" x="64"/>
        <item m="1" x="74"/>
        <item m="1" x="75"/>
        <item m="1" x="76"/>
        <item m="1" x="77"/>
        <item h="1" m="1" x="62"/>
        <item h="1" m="1" x="63"/>
        <item h="1" m="1" x="70"/>
        <item h="1" m="1" x="71"/>
        <item h="1" m="1" x="72"/>
        <item x="35"/>
        <item h="1" x="20"/>
        <item h="1" m="1" x="73"/>
        <item h="1" x="21"/>
        <item h="1" x="17"/>
        <item h="1" x="18"/>
        <item h="1" x="15"/>
        <item h="1" x="19"/>
        <item h="1" x="14"/>
        <item h="1" x="28"/>
        <item h="1" x="29"/>
        <item h="1" x="30"/>
        <item h="1" m="1" x="36"/>
        <item h="1" m="1" x="42"/>
        <item h="1" m="1" x="44"/>
        <item h="1" x="16"/>
        <item h="1" m="1" x="46"/>
        <item h="1" x="34"/>
        <item h="1" m="1" x="57"/>
        <item h="1" m="1" x="49"/>
        <item h="1" m="1" x="37"/>
        <item h="1" m="1" x="60"/>
        <item h="1" m="1" x="52"/>
        <item h="1" m="1" x="53"/>
        <item h="1" x="24"/>
        <item h="1" m="1" x="56"/>
        <item h="1" m="1" x="40"/>
        <item h="1" m="1" x="54"/>
        <item h="1" x="32"/>
        <item h="1" x="3"/>
        <item h="1" x="2"/>
        <item h="1" x="1"/>
        <item h="1" m="1" x="65"/>
        <item h="1" x="5"/>
        <item h="1" m="1" x="55"/>
        <item h="1" m="1" x="61"/>
        <item h="1" m="1" x="48"/>
        <item h="1" m="1" x="38"/>
        <item h="1" m="1" x="68"/>
        <item h="1" m="1" x="47"/>
        <item h="1" x="13"/>
        <item h="1" x="4"/>
        <item h="1" x="6"/>
        <item h="1" m="1" x="39"/>
        <item h="1" x="7"/>
        <item h="1" x="8"/>
        <item h="1" m="1" x="59"/>
        <item h="1" x="9"/>
        <item h="1" x="10"/>
        <item h="1" x="11"/>
        <item h="1" x="12"/>
        <item h="1" m="1" x="43"/>
        <item h="1" m="1" x="45"/>
        <item h="1" m="1" x="51"/>
        <item h="1" m="1" x="50"/>
        <item h="1" x="31"/>
        <item h="1" x="23"/>
        <item h="1" x="25"/>
        <item h="1" m="1" x="41"/>
        <item h="1" x="33"/>
        <item h="1" x="26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3"/>
  </rowFields>
  <rowItems count="3">
    <i>
      <x/>
    </i>
    <i r="1">
      <x v="1"/>
    </i>
    <i t="grand">
      <x/>
    </i>
  </rowItems>
  <colItems count="1">
    <i/>
  </colItems>
  <pageFields count="4">
    <pageField fld="1" hier="-1"/>
    <pageField fld="20" hier="-1"/>
    <pageField fld="12" hier="-1"/>
    <pageField fld="21" hier="-1"/>
  </pageFields>
  <dataFields count="1">
    <dataField name="Soma de Quantidade" fld="14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91236-93F6-4C24-82C1-518E6270099B}" name="Tabela dinâmica4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F3:G10" firstHeaderRow="1" firstDataRow="1" firstDataCol="1"/>
  <pivotFields count="15"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7">
        <item x="3"/>
        <item m="1" x="5"/>
        <item x="0"/>
        <item x="1"/>
        <item m="1"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3"/>
  </rowFields>
  <rowItems count="7">
    <i>
      <x/>
    </i>
    <i r="1">
      <x/>
    </i>
    <i>
      <x v="1"/>
    </i>
    <i r="1">
      <x v="2"/>
    </i>
    <i r="1">
      <x v="3"/>
    </i>
    <i r="1">
      <x v="5"/>
    </i>
    <i t="grand">
      <x/>
    </i>
  </rowItems>
  <colItems count="1">
    <i/>
  </colItems>
  <dataFields count="1">
    <dataField name="Soma de Quantidade em Estoque" fld="14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57673-11A2-4E41-BF09-586BC3C65757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4:G30" firstHeaderRow="1" firstDataRow="1" firstDataCol="1" rowPageCount="1" colPageCount="1"/>
  <pivotFields count="23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5">
        <item x="2"/>
        <item x="1"/>
        <item x="0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"/>
    <field x="4"/>
  </rowFields>
  <rowItems count="6">
    <i>
      <x/>
    </i>
    <i r="1">
      <x/>
    </i>
    <i>
      <x v="1"/>
    </i>
    <i r="1">
      <x v="1"/>
    </i>
    <i r="1">
      <x v="2"/>
    </i>
    <i t="grand">
      <x/>
    </i>
  </rowItems>
  <colItems count="1">
    <i/>
  </colItems>
  <pageFields count="1">
    <pageField fld="10" hier="-1"/>
  </pageFields>
  <dataFields count="1">
    <dataField name="Soma de Quantidade Apontada" fld="1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AE9E9-8B34-4383-A924-030A33D7BA75}" name="Tabela dinâmica2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LIENTE">
  <location ref="A62:D67" firstHeaderRow="0" firstDataRow="1" firstDataCol="1" rowPageCount="2" colPageCount="1"/>
  <pivotFields count="36">
    <pivotField showAll="0"/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m="1" x="5"/>
        <item m="1" x="6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axis="axisPage" multipleItemSelectionAllowed="1" showAll="0">
      <items count="22">
        <item x="2"/>
        <item h="1" m="1" x="5"/>
        <item h="1" x="0"/>
        <item m="1" x="20"/>
        <item h="1" m="1" x="11"/>
        <item h="1" m="1" x="9"/>
        <item h="1" m="1" x="10"/>
        <item h="1" m="1" x="8"/>
        <item m="1" x="16"/>
        <item m="1" x="17"/>
        <item m="1" x="18"/>
        <item m="1" x="19"/>
        <item h="1" m="1" x="6"/>
        <item h="1" m="1" x="7"/>
        <item h="1" m="1" x="12"/>
        <item h="1" m="1" x="13"/>
        <item h="1" m="1" x="14"/>
        <item h="1" x="4"/>
        <item h="1" m="1" x="15"/>
        <item h="1" x="1"/>
        <item h="1" x="3"/>
        <item t="default"/>
      </items>
    </pivotField>
    <pivotField axis="axisPage" multipleItemSelectionAllowed="1" showAll="0">
      <items count="80">
        <item x="22"/>
        <item x="27"/>
        <item h="1" m="1" x="58"/>
        <item h="1" x="0"/>
        <item m="1" x="78"/>
        <item h="1" m="1" x="69"/>
        <item h="1" m="1" x="66"/>
        <item h="1" m="1" x="67"/>
        <item h="1" m="1" x="64"/>
        <item m="1" x="74"/>
        <item m="1" x="75"/>
        <item m="1" x="76"/>
        <item m="1" x="77"/>
        <item h="1" m="1" x="62"/>
        <item h="1" m="1" x="63"/>
        <item h="1" m="1" x="70"/>
        <item h="1" m="1" x="71"/>
        <item h="1" m="1" x="72"/>
        <item h="1" x="35"/>
        <item x="20"/>
        <item h="1" m="1" x="73"/>
        <item x="21"/>
        <item x="17"/>
        <item x="18"/>
        <item x="15"/>
        <item x="19"/>
        <item x="14"/>
        <item x="28"/>
        <item x="29"/>
        <item x="30"/>
        <item m="1" x="36"/>
        <item m="1" x="42"/>
        <item m="1" x="44"/>
        <item x="16"/>
        <item m="1" x="46"/>
        <item x="34"/>
        <item m="1" x="57"/>
        <item m="1" x="49"/>
        <item m="1" x="37"/>
        <item m="1" x="60"/>
        <item m="1" x="52"/>
        <item h="1" m="1" x="53"/>
        <item x="24"/>
        <item h="1" m="1" x="56"/>
        <item m="1" x="40"/>
        <item h="1" m="1" x="54"/>
        <item x="32"/>
        <item h="1" x="3"/>
        <item h="1" x="2"/>
        <item h="1" x="1"/>
        <item m="1" x="65"/>
        <item h="1" x="5"/>
        <item h="1" m="1" x="55"/>
        <item h="1" m="1" x="61"/>
        <item h="1" m="1" x="48"/>
        <item h="1" m="1" x="38"/>
        <item h="1" m="1" x="68"/>
        <item h="1" m="1" x="47"/>
        <item h="1" x="13"/>
        <item h="1" x="4"/>
        <item h="1" x="6"/>
        <item h="1" m="1" x="39"/>
        <item h="1" x="7"/>
        <item h="1" x="8"/>
        <item h="1" m="1" x="59"/>
        <item h="1" x="9"/>
        <item h="1" x="10"/>
        <item h="1" x="11"/>
        <item h="1" x="12"/>
        <item h="1" m="1" x="43"/>
        <item h="1" m="1" x="45"/>
        <item h="1" m="1" x="51"/>
        <item h="1" m="1" x="50"/>
        <item h="1" x="31"/>
        <item h="1" x="23"/>
        <item h="1" x="25"/>
        <item h="1" m="1" x="41"/>
        <item h="1" x="33"/>
        <item h="1"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3"/>
    <field x="9"/>
  </rowFields>
  <rowItems count="5">
    <i>
      <x/>
    </i>
    <i r="1">
      <x v="1"/>
    </i>
    <i r="2">
      <x v="4"/>
    </i>
    <i r="2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0" hier="-1"/>
    <pageField fld="19" hier="-1"/>
  </pageFields>
  <dataFields count="3">
    <dataField name="QUANTID." fld="14" baseField="0" baseItem="0"/>
    <dataField name="PALETES" fld="2" subtotal="count" baseField="0" baseItem="0"/>
    <dataField name="PESO LÍQUIDO" fld="1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5A880-37D1-48DA-BB1D-8A7B7584A4EB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">
  <location ref="A95:D100" firstHeaderRow="0" firstDataRow="1" firstDataCol="1" rowPageCount="2" colPageCount="1"/>
  <pivotFields count="36">
    <pivotField showAll="0"/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m="1" x="5"/>
        <item m="1" x="6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axis="axisPage" multipleItemSelectionAllowed="1" showAll="0">
      <items count="22">
        <item h="1" x="2"/>
        <item h="1" m="1" x="5"/>
        <item h="1" x="0"/>
        <item m="1" x="20"/>
        <item h="1" m="1" x="11"/>
        <item h="1" m="1" x="9"/>
        <item h="1" m="1" x="10"/>
        <item h="1" m="1" x="8"/>
        <item m="1" x="16"/>
        <item m="1" x="17"/>
        <item m="1" x="18"/>
        <item m="1" x="19"/>
        <item h="1" m="1" x="6"/>
        <item h="1" m="1" x="7"/>
        <item h="1" m="1" x="12"/>
        <item h="1" m="1" x="13"/>
        <item h="1" m="1" x="14"/>
        <item h="1" x="4"/>
        <item h="1" m="1" x="15"/>
        <item x="1"/>
        <item h="1" x="3"/>
        <item t="default"/>
      </items>
    </pivotField>
    <pivotField axis="axisPage" multipleItemSelectionAllowed="1" showAll="0">
      <items count="80">
        <item h="1" x="22"/>
        <item h="1" x="27"/>
        <item h="1" m="1" x="58"/>
        <item h="1" x="0"/>
        <item m="1" x="78"/>
        <item h="1" m="1" x="69"/>
        <item h="1" m="1" x="66"/>
        <item h="1" m="1" x="67"/>
        <item h="1" m="1" x="64"/>
        <item m="1" x="74"/>
        <item m="1" x="75"/>
        <item m="1" x="76"/>
        <item m="1" x="77"/>
        <item h="1" m="1" x="62"/>
        <item h="1" m="1" x="63"/>
        <item h="1" m="1" x="70"/>
        <item h="1" m="1" x="71"/>
        <item h="1" m="1" x="72"/>
        <item h="1" x="35"/>
        <item h="1" x="20"/>
        <item h="1" m="1" x="73"/>
        <item h="1" x="21"/>
        <item h="1" x="17"/>
        <item h="1" x="18"/>
        <item h="1" x="15"/>
        <item h="1" x="19"/>
        <item h="1" x="14"/>
        <item h="1" x="28"/>
        <item h="1" x="29"/>
        <item h="1" x="30"/>
        <item h="1" m="1" x="36"/>
        <item h="1" m="1" x="42"/>
        <item h="1" m="1" x="44"/>
        <item h="1" x="16"/>
        <item h="1" m="1" x="46"/>
        <item h="1" x="34"/>
        <item h="1" m="1" x="57"/>
        <item h="1" m="1" x="49"/>
        <item h="1" m="1" x="37"/>
        <item h="1" m="1" x="60"/>
        <item h="1" m="1" x="52"/>
        <item m="1" x="53"/>
        <item h="1" x="24"/>
        <item m="1" x="56"/>
        <item h="1" m="1" x="40"/>
        <item m="1" x="54"/>
        <item h="1" x="32"/>
        <item x="3"/>
        <item x="2"/>
        <item x="1"/>
        <item h="1" m="1" x="65"/>
        <item x="5"/>
        <item m="1" x="55"/>
        <item m="1" x="61"/>
        <item m="1" x="48"/>
        <item m="1" x="38"/>
        <item m="1" x="68"/>
        <item m="1" x="47"/>
        <item x="13"/>
        <item x="4"/>
        <item x="6"/>
        <item m="1" x="39"/>
        <item x="7"/>
        <item x="8"/>
        <item m="1" x="59"/>
        <item x="9"/>
        <item x="10"/>
        <item x="11"/>
        <item x="12"/>
        <item m="1" x="43"/>
        <item m="1" x="45"/>
        <item h="1" m="1" x="51"/>
        <item m="1" x="50"/>
        <item h="1" x="31"/>
        <item h="1" x="23"/>
        <item h="1" x="25"/>
        <item h="1" m="1" x="41"/>
        <item h="1" x="33"/>
        <item h="1"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3"/>
    <field x="9"/>
  </rowFields>
  <rowItems count="5">
    <i>
      <x/>
    </i>
    <i r="1">
      <x v="2"/>
    </i>
    <i r="2">
      <x v="4"/>
    </i>
    <i r="2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0" hier="-1"/>
    <pageField fld="19" hier="-1"/>
  </pageFields>
  <dataFields count="3">
    <dataField name="QUANTID." fld="14" baseField="0" baseItem="0"/>
    <dataField name="PALETES" fld="2" subtotal="count" baseField="0" baseItem="0"/>
    <dataField name="PESO LÍQUIDO" fld="1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FE05D-5A45-43A1-8258-58B67CD89DB5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">
  <location ref="A44:D53" firstHeaderRow="0" firstDataRow="1" firstDataCol="1" rowPageCount="2" colPageCount="1"/>
  <pivotFields count="36">
    <pivotField showAll="0"/>
    <pivotField axis="axisRow" showAll="0">
      <items count="3">
        <item x="0"/>
        <item x="1"/>
        <item t="default"/>
      </items>
    </pivotField>
    <pivotField dataField="1" showAll="0"/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m="1" x="5"/>
        <item m="1" x="6"/>
        <item x="4"/>
        <item x="2"/>
        <item x="1"/>
        <item x="3"/>
        <item t="default"/>
      </items>
    </pivotField>
    <pivotField showAll="0"/>
    <pivotField showAll="0"/>
    <pivotField multipleItemSelectionAllowed="1" showAll="0"/>
    <pivotField showAll="0"/>
    <pivotField dataField="1" showAll="0"/>
    <pivotField showAll="0"/>
    <pivotField showAll="0"/>
    <pivotField showAll="0"/>
    <pivotField dataField="1" showAll="0"/>
    <pivotField axis="axisPage" multipleItemSelectionAllowed="1" showAll="0">
      <items count="22">
        <item x="2"/>
        <item m="1" x="5"/>
        <item h="1" x="0"/>
        <item m="1" x="20"/>
        <item m="1" x="11"/>
        <item m="1" x="9"/>
        <item m="1" x="10"/>
        <item m="1" x="8"/>
        <item m="1" x="16"/>
        <item m="1" x="17"/>
        <item m="1" x="18"/>
        <item m="1" x="19"/>
        <item m="1" x="6"/>
        <item m="1" x="7"/>
        <item m="1" x="12"/>
        <item m="1" x="13"/>
        <item m="1" x="14"/>
        <item h="1" x="4"/>
        <item m="1" x="15"/>
        <item x="1"/>
        <item x="3"/>
        <item t="default"/>
      </items>
    </pivotField>
    <pivotField axis="axisPage" multipleItemSelectionAllowed="1" showAll="0">
      <items count="80">
        <item x="22"/>
        <item x="27"/>
        <item m="1" x="58"/>
        <item h="1" x="0"/>
        <item m="1" x="78"/>
        <item m="1" x="69"/>
        <item m="1" x="66"/>
        <item m="1" x="67"/>
        <item m="1" x="64"/>
        <item m="1" x="74"/>
        <item m="1" x="75"/>
        <item m="1" x="76"/>
        <item m="1" x="77"/>
        <item m="1" x="62"/>
        <item m="1" x="63"/>
        <item m="1" x="70"/>
        <item m="1" x="71"/>
        <item m="1" x="72"/>
        <item h="1" x="35"/>
        <item x="20"/>
        <item m="1" x="73"/>
        <item x="21"/>
        <item x="17"/>
        <item x="18"/>
        <item x="15"/>
        <item x="19"/>
        <item x="14"/>
        <item x="28"/>
        <item x="29"/>
        <item x="30"/>
        <item m="1" x="36"/>
        <item m="1" x="42"/>
        <item m="1" x="44"/>
        <item x="16"/>
        <item m="1" x="46"/>
        <item x="34"/>
        <item m="1" x="57"/>
        <item m="1" x="49"/>
        <item m="1" x="37"/>
        <item m="1" x="60"/>
        <item m="1" x="52"/>
        <item m="1" x="53"/>
        <item x="24"/>
        <item m="1" x="56"/>
        <item m="1" x="40"/>
        <item m="1" x="54"/>
        <item x="32"/>
        <item x="3"/>
        <item x="2"/>
        <item x="1"/>
        <item m="1" x="65"/>
        <item x="5"/>
        <item m="1" x="55"/>
        <item m="1" x="61"/>
        <item m="1" x="48"/>
        <item m="1" x="38"/>
        <item m="1" x="68"/>
        <item m="1" x="47"/>
        <item x="13"/>
        <item x="4"/>
        <item x="6"/>
        <item m="1" x="39"/>
        <item x="7"/>
        <item x="8"/>
        <item m="1" x="59"/>
        <item x="9"/>
        <item x="10"/>
        <item x="11"/>
        <item x="12"/>
        <item m="1" x="43"/>
        <item m="1" x="45"/>
        <item m="1" x="51"/>
        <item m="1" x="50"/>
        <item x="31"/>
        <item x="23"/>
        <item x="25"/>
        <item m="1" x="41"/>
        <item x="33"/>
        <item x="26"/>
        <item t="default"/>
      </items>
    </pivotField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"/>
    <field x="3"/>
    <field x="9"/>
  </rowFields>
  <rowItems count="9">
    <i>
      <x/>
    </i>
    <i r="1">
      <x v="1"/>
    </i>
    <i r="2">
      <x/>
    </i>
    <i r="2">
      <x v="4"/>
    </i>
    <i r="2">
      <x v="5"/>
    </i>
    <i r="1">
      <x v="2"/>
    </i>
    <i r="2">
      <x v="4"/>
    </i>
    <i r="2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0" hier="-1"/>
    <pageField fld="19" hier="-1"/>
  </pageFields>
  <dataFields count="3">
    <dataField name="QUANTID." fld="14" baseField="0" baseItem="0"/>
    <dataField name="PALETES" fld="2" subtotal="count" baseField="0" baseItem="0"/>
    <dataField name="PESO LÍQUIDO" fld="1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1443A-B933-4470-984C-A95202949C54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4:G18" firstHeaderRow="1" firstDataRow="1" firstDataCol="1" rowPageCount="1" colPageCount="1"/>
  <pivotFields count="23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5">
        <item h="1" x="2"/>
        <item h="1" x="1"/>
        <item x="0"/>
        <item h="1"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"/>
    <field x="4"/>
  </rowFields>
  <rowItems count="4">
    <i>
      <x v="1"/>
    </i>
    <i r="1">
      <x v="1"/>
    </i>
    <i r="1">
      <x v="2"/>
    </i>
    <i t="grand">
      <x/>
    </i>
  </rowItems>
  <colItems count="1">
    <i/>
  </colItems>
  <pageFields count="1">
    <pageField fld="10" hier="-1"/>
  </pageFields>
  <dataFields count="1">
    <dataField name="Soma de Quantidade Apontada" fld="1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  <wetp:taskpane dockstate="right" visibility="0" width="350" row="9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6E8CF28-CBF7-4AF9-9F45-AE491B05FBC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cc2a367-0b50-4da2-8c79-a84d4122d16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D9A2B67-8C3C-4C77-8B5B-769C205175B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ce909f6-191f-4c66-9cfe-c2066c2c986a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62A70E08-981E-49F7-9BD6-28DA942CB6F5}">
  <we:reference id="wa200006231" version="1.3.0.2" store="pt-BR" storeType="OMEX"/>
  <we:alternateReferences>
    <we:reference id="WA200006231" version="1.3.0.2" store="WA20000623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_xldudf_BB_ASK</we:customFunctionIds>
        <we:customFunctionIds>_xldudf_BB_CHAT</we:customFunctionIds>
        <we:customFunctionIds>_xldudf_BB_CATEGORIZE</we:customFunctionIds>
        <we:customFunctionIds>_xldudf_BB_LOOKAT</we:customFunctionIds>
        <we:customFunctionIds>_xldudf_BB_MAJORITY</we:customFunctionIds>
        <we:customFunctionIds>_xldudf_BB_EMBEDDING</we:customFunctionIds>
        <we:customFunctionIds>_xldudf_BB_SIMILARITY</we:customFunctionIds>
        <we:customFunctionIds>_xldudf_BB_LOOKUP</we:customFunctionIds>
        <we:customFunctionIds>_xldudf_BB_ANSWER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ACF9-78C2-4669-A046-229E5AD0FA45}">
  <dimension ref="A1:W49"/>
  <sheetViews>
    <sheetView workbookViewId="0">
      <pane ySplit="1" topLeftCell="A2" activePane="bottomLeft" state="frozen"/>
      <selection pane="bottomLeft" activeCell="D43" sqref="D43"/>
    </sheetView>
  </sheetViews>
  <sheetFormatPr defaultRowHeight="15.75"/>
  <cols>
    <col min="1" max="1" width="16.25" style="37" bestFit="1" customWidth="1"/>
    <col min="2" max="2" width="10.75" style="37" bestFit="1" customWidth="1"/>
    <col min="3" max="3" width="16.125" style="37" bestFit="1" customWidth="1"/>
    <col min="4" max="4" width="26.5" style="37" bestFit="1" customWidth="1"/>
    <col min="5" max="5" width="36.625" style="37" bestFit="1" customWidth="1"/>
    <col min="6" max="6" width="12.125" style="37" bestFit="1" customWidth="1"/>
    <col min="7" max="7" width="21.125" style="37" bestFit="1" customWidth="1"/>
    <col min="8" max="8" width="11.375" style="37" bestFit="1" customWidth="1"/>
    <col min="9" max="9" width="13.625" style="37" bestFit="1" customWidth="1"/>
    <col min="10" max="10" width="19.25" style="37" bestFit="1" customWidth="1"/>
    <col min="11" max="11" width="25.25" style="37" bestFit="1" customWidth="1"/>
    <col min="12" max="12" width="21.625" style="37" bestFit="1" customWidth="1"/>
    <col min="13" max="13" width="17.75" style="37" bestFit="1" customWidth="1"/>
    <col min="14" max="14" width="15.625" style="37" bestFit="1" customWidth="1"/>
    <col min="15" max="15" width="20.375" style="37" bestFit="1" customWidth="1"/>
    <col min="16" max="16" width="18.125" style="37" bestFit="1" customWidth="1"/>
    <col min="17" max="17" width="21.875" style="37" bestFit="1" customWidth="1"/>
    <col min="18" max="18" width="19.375" style="37" bestFit="1" customWidth="1"/>
    <col min="19" max="19" width="24.25" style="37" bestFit="1" customWidth="1"/>
    <col min="20" max="20" width="25.625" style="37" bestFit="1" customWidth="1"/>
    <col min="21" max="21" width="23.375" style="37" bestFit="1" customWidth="1"/>
    <col min="22" max="22" width="13.875" style="37" bestFit="1" customWidth="1"/>
    <col min="23" max="23" width="27.125" style="37" bestFit="1" customWidth="1"/>
    <col min="24" max="16384" width="9" style="37"/>
  </cols>
  <sheetData>
    <row r="1" spans="1:2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</row>
    <row r="2" spans="1:23" customFormat="1">
      <c r="A2" t="s">
        <v>23</v>
      </c>
      <c r="B2" t="s">
        <v>24</v>
      </c>
      <c r="C2" t="s">
        <v>1411</v>
      </c>
      <c r="D2" t="s">
        <v>1399</v>
      </c>
      <c r="E2" t="s">
        <v>26</v>
      </c>
      <c r="F2" t="s">
        <v>135</v>
      </c>
      <c r="G2" t="s">
        <v>135</v>
      </c>
      <c r="H2" t="s">
        <v>152</v>
      </c>
      <c r="I2" t="s">
        <v>931</v>
      </c>
      <c r="J2" t="s">
        <v>938</v>
      </c>
      <c r="K2" t="s">
        <v>67</v>
      </c>
      <c r="L2" t="s">
        <v>1127</v>
      </c>
      <c r="M2" t="s">
        <v>1127</v>
      </c>
      <c r="N2" t="s">
        <v>941</v>
      </c>
      <c r="O2" t="s">
        <v>1127</v>
      </c>
      <c r="P2">
        <v>19.86</v>
      </c>
      <c r="Q2" t="s">
        <v>160</v>
      </c>
      <c r="R2">
        <v>15</v>
      </c>
      <c r="S2">
        <v>15</v>
      </c>
      <c r="T2">
        <v>0</v>
      </c>
      <c r="W2">
        <v>0.76</v>
      </c>
    </row>
    <row r="3" spans="1:23" customFormat="1">
      <c r="A3" t="s">
        <v>23</v>
      </c>
      <c r="B3" t="s">
        <v>24</v>
      </c>
      <c r="C3" t="s">
        <v>1380</v>
      </c>
      <c r="D3" t="s">
        <v>1399</v>
      </c>
      <c r="E3" t="s">
        <v>26</v>
      </c>
      <c r="F3" t="s">
        <v>135</v>
      </c>
      <c r="G3" t="s">
        <v>135</v>
      </c>
      <c r="H3" t="s">
        <v>152</v>
      </c>
      <c r="I3" t="s">
        <v>931</v>
      </c>
      <c r="J3" t="s">
        <v>938</v>
      </c>
      <c r="K3" t="s">
        <v>67</v>
      </c>
      <c r="L3" t="s">
        <v>1127</v>
      </c>
      <c r="M3" t="s">
        <v>1127</v>
      </c>
      <c r="N3" t="s">
        <v>941</v>
      </c>
      <c r="O3" t="s">
        <v>1127</v>
      </c>
      <c r="P3">
        <v>19.690000000000001</v>
      </c>
      <c r="Q3" t="s">
        <v>160</v>
      </c>
      <c r="R3">
        <v>12</v>
      </c>
      <c r="S3">
        <v>12</v>
      </c>
      <c r="T3">
        <v>0</v>
      </c>
      <c r="W3">
        <v>0.61</v>
      </c>
    </row>
    <row r="4" spans="1:23" customFormat="1">
      <c r="A4" t="s">
        <v>23</v>
      </c>
      <c r="B4" t="s">
        <v>24</v>
      </c>
      <c r="C4" t="s">
        <v>1660</v>
      </c>
      <c r="D4" t="s">
        <v>1399</v>
      </c>
      <c r="E4" t="s">
        <v>26</v>
      </c>
      <c r="F4" t="s">
        <v>135</v>
      </c>
      <c r="G4" t="s">
        <v>135</v>
      </c>
      <c r="H4" t="s">
        <v>152</v>
      </c>
      <c r="I4" t="s">
        <v>931</v>
      </c>
      <c r="J4" t="s">
        <v>938</v>
      </c>
      <c r="K4" t="s">
        <v>67</v>
      </c>
      <c r="L4" t="s">
        <v>1442</v>
      </c>
      <c r="M4" t="s">
        <v>1442</v>
      </c>
      <c r="N4" t="s">
        <v>941</v>
      </c>
      <c r="O4" t="s">
        <v>1442</v>
      </c>
      <c r="P4">
        <v>19.82</v>
      </c>
      <c r="Q4" t="s">
        <v>160</v>
      </c>
      <c r="R4">
        <v>10</v>
      </c>
      <c r="S4">
        <v>10</v>
      </c>
      <c r="T4">
        <v>0</v>
      </c>
      <c r="W4">
        <v>0.5</v>
      </c>
    </row>
    <row r="5" spans="1:23" customFormat="1">
      <c r="A5" t="s">
        <v>23</v>
      </c>
      <c r="B5" t="s">
        <v>24</v>
      </c>
      <c r="C5" t="s">
        <v>2201</v>
      </c>
      <c r="D5" t="s">
        <v>1399</v>
      </c>
      <c r="E5" t="s">
        <v>26</v>
      </c>
      <c r="F5" t="s">
        <v>135</v>
      </c>
      <c r="G5" t="s">
        <v>135</v>
      </c>
      <c r="H5" t="s">
        <v>152</v>
      </c>
      <c r="I5" t="s">
        <v>931</v>
      </c>
      <c r="J5" t="s">
        <v>938</v>
      </c>
      <c r="K5" t="s">
        <v>67</v>
      </c>
      <c r="L5" t="s">
        <v>1759</v>
      </c>
      <c r="M5" t="s">
        <v>1759</v>
      </c>
      <c r="N5" t="s">
        <v>941</v>
      </c>
      <c r="O5" t="s">
        <v>1759</v>
      </c>
      <c r="P5">
        <v>19.649999999999999</v>
      </c>
      <c r="Q5" t="s">
        <v>160</v>
      </c>
      <c r="R5">
        <v>14</v>
      </c>
      <c r="S5">
        <v>14</v>
      </c>
      <c r="T5">
        <v>0</v>
      </c>
      <c r="W5">
        <v>0.71</v>
      </c>
    </row>
    <row r="6" spans="1:23" customFormat="1">
      <c r="A6" t="s">
        <v>23</v>
      </c>
      <c r="B6" t="s">
        <v>24</v>
      </c>
      <c r="C6" t="s">
        <v>1440</v>
      </c>
      <c r="D6" t="s">
        <v>1441</v>
      </c>
      <c r="E6" t="s">
        <v>26</v>
      </c>
      <c r="F6" t="s">
        <v>135</v>
      </c>
      <c r="G6" t="s">
        <v>135</v>
      </c>
      <c r="H6" t="s">
        <v>151</v>
      </c>
      <c r="I6" t="s">
        <v>931</v>
      </c>
      <c r="J6" t="s">
        <v>938</v>
      </c>
      <c r="K6" t="s">
        <v>67</v>
      </c>
      <c r="L6" t="s">
        <v>1127</v>
      </c>
      <c r="M6" t="s">
        <v>1127</v>
      </c>
      <c r="N6" t="s">
        <v>941</v>
      </c>
      <c r="O6" t="s">
        <v>1442</v>
      </c>
      <c r="P6">
        <v>17.46</v>
      </c>
      <c r="Q6" t="s">
        <v>160</v>
      </c>
      <c r="R6">
        <v>13</v>
      </c>
      <c r="S6">
        <v>13</v>
      </c>
      <c r="T6">
        <v>0</v>
      </c>
      <c r="W6">
        <v>0.74</v>
      </c>
    </row>
    <row r="7" spans="1:23" customFormat="1">
      <c r="A7" t="s">
        <v>23</v>
      </c>
      <c r="B7" t="s">
        <v>24</v>
      </c>
      <c r="C7" t="s">
        <v>1080</v>
      </c>
      <c r="D7" t="s">
        <v>1123</v>
      </c>
      <c r="E7" t="s">
        <v>26</v>
      </c>
      <c r="F7" t="s">
        <v>135</v>
      </c>
      <c r="G7" t="s">
        <v>135</v>
      </c>
      <c r="H7" t="s">
        <v>146</v>
      </c>
      <c r="I7" t="s">
        <v>931</v>
      </c>
      <c r="J7" t="s">
        <v>938</v>
      </c>
      <c r="K7" t="s">
        <v>67</v>
      </c>
      <c r="L7" t="s">
        <v>940</v>
      </c>
      <c r="M7" t="s">
        <v>940</v>
      </c>
      <c r="N7" t="s">
        <v>941</v>
      </c>
      <c r="O7" t="s">
        <v>1124</v>
      </c>
      <c r="P7">
        <v>20.23</v>
      </c>
      <c r="Q7" t="s">
        <v>160</v>
      </c>
      <c r="R7">
        <v>35</v>
      </c>
      <c r="S7">
        <v>35</v>
      </c>
      <c r="T7">
        <v>0</v>
      </c>
      <c r="W7">
        <v>1.73</v>
      </c>
    </row>
    <row r="8" spans="1:23" customFormat="1">
      <c r="A8" t="s">
        <v>23</v>
      </c>
      <c r="B8" t="s">
        <v>24</v>
      </c>
      <c r="C8" t="s">
        <v>1125</v>
      </c>
      <c r="D8" t="s">
        <v>1123</v>
      </c>
      <c r="E8" t="s">
        <v>26</v>
      </c>
      <c r="F8" t="s">
        <v>135</v>
      </c>
      <c r="G8" t="s">
        <v>135</v>
      </c>
      <c r="H8" t="s">
        <v>146</v>
      </c>
      <c r="I8" t="s">
        <v>931</v>
      </c>
      <c r="J8" t="s">
        <v>938</v>
      </c>
      <c r="K8" t="s">
        <v>67</v>
      </c>
      <c r="L8" t="s">
        <v>1124</v>
      </c>
      <c r="M8" t="s">
        <v>1124</v>
      </c>
      <c r="N8" t="s">
        <v>941</v>
      </c>
      <c r="O8" t="s">
        <v>1124</v>
      </c>
      <c r="P8">
        <v>20.329999999999998</v>
      </c>
      <c r="Q8" t="s">
        <v>160</v>
      </c>
      <c r="R8">
        <v>32</v>
      </c>
      <c r="S8">
        <v>32</v>
      </c>
      <c r="T8">
        <v>0</v>
      </c>
      <c r="W8">
        <v>1.57</v>
      </c>
    </row>
    <row r="9" spans="1:23">
      <c r="A9" t="s">
        <v>23</v>
      </c>
      <c r="B9" t="s">
        <v>24</v>
      </c>
      <c r="C9" t="s">
        <v>1126</v>
      </c>
      <c r="D9" t="s">
        <v>1123</v>
      </c>
      <c r="E9" t="s">
        <v>26</v>
      </c>
      <c r="F9" t="s">
        <v>135</v>
      </c>
      <c r="G9" t="s">
        <v>135</v>
      </c>
      <c r="H9" t="s">
        <v>146</v>
      </c>
      <c r="I9" t="s">
        <v>931</v>
      </c>
      <c r="J9" t="s">
        <v>938</v>
      </c>
      <c r="K9" t="s">
        <v>67</v>
      </c>
      <c r="L9" t="s">
        <v>1124</v>
      </c>
      <c r="M9" t="s">
        <v>1124</v>
      </c>
      <c r="N9" t="s">
        <v>941</v>
      </c>
      <c r="O9" t="s">
        <v>1127</v>
      </c>
      <c r="P9">
        <v>20.22</v>
      </c>
      <c r="Q9" t="s">
        <v>160</v>
      </c>
      <c r="R9">
        <v>31</v>
      </c>
      <c r="S9">
        <v>31</v>
      </c>
      <c r="T9">
        <v>0</v>
      </c>
      <c r="U9"/>
      <c r="V9"/>
      <c r="W9">
        <v>1.53</v>
      </c>
    </row>
    <row r="10" spans="1:23">
      <c r="A10" t="s">
        <v>23</v>
      </c>
      <c r="B10" t="s">
        <v>24</v>
      </c>
      <c r="C10" t="s">
        <v>1443</v>
      </c>
      <c r="D10" t="s">
        <v>1123</v>
      </c>
      <c r="E10" t="s">
        <v>26</v>
      </c>
      <c r="F10" t="s">
        <v>135</v>
      </c>
      <c r="G10" t="s">
        <v>135</v>
      </c>
      <c r="H10" t="s">
        <v>146</v>
      </c>
      <c r="I10" t="s">
        <v>931</v>
      </c>
      <c r="J10" t="s">
        <v>938</v>
      </c>
      <c r="K10" t="s">
        <v>67</v>
      </c>
      <c r="L10" t="s">
        <v>1127</v>
      </c>
      <c r="M10" t="s">
        <v>1127</v>
      </c>
      <c r="N10" t="s">
        <v>941</v>
      </c>
      <c r="O10" t="s">
        <v>1127</v>
      </c>
      <c r="P10">
        <v>20.079999999999998</v>
      </c>
      <c r="Q10" t="s">
        <v>160</v>
      </c>
      <c r="R10">
        <v>23</v>
      </c>
      <c r="S10">
        <v>23</v>
      </c>
      <c r="T10">
        <v>0</v>
      </c>
      <c r="U10"/>
      <c r="V10"/>
      <c r="W10">
        <v>1.1499999999999999</v>
      </c>
    </row>
    <row r="11" spans="1:23">
      <c r="A11" t="s">
        <v>23</v>
      </c>
      <c r="B11" t="s">
        <v>24</v>
      </c>
      <c r="C11" t="s">
        <v>1828</v>
      </c>
      <c r="D11" t="s">
        <v>1123</v>
      </c>
      <c r="E11" t="s">
        <v>26</v>
      </c>
      <c r="F11" t="s">
        <v>135</v>
      </c>
      <c r="G11" t="s">
        <v>135</v>
      </c>
      <c r="H11" t="s">
        <v>146</v>
      </c>
      <c r="I11" t="s">
        <v>931</v>
      </c>
      <c r="J11" t="s">
        <v>938</v>
      </c>
      <c r="K11" t="s">
        <v>67</v>
      </c>
      <c r="L11" t="s">
        <v>1758</v>
      </c>
      <c r="M11" t="s">
        <v>1758</v>
      </c>
      <c r="N11" t="s">
        <v>941</v>
      </c>
      <c r="O11" t="s">
        <v>1759</v>
      </c>
      <c r="P11">
        <v>19.8</v>
      </c>
      <c r="Q11" t="s">
        <v>160</v>
      </c>
      <c r="R11">
        <v>15</v>
      </c>
      <c r="S11">
        <v>15</v>
      </c>
      <c r="T11">
        <v>0</v>
      </c>
      <c r="U11"/>
      <c r="V11"/>
      <c r="W11">
        <v>0.76</v>
      </c>
    </row>
    <row r="12" spans="1:23">
      <c r="A12" t="s">
        <v>23</v>
      </c>
      <c r="B12" t="s">
        <v>24</v>
      </c>
      <c r="C12" t="s">
        <v>936</v>
      </c>
      <c r="D12" t="s">
        <v>937</v>
      </c>
      <c r="E12" t="s">
        <v>26</v>
      </c>
      <c r="F12" t="s">
        <v>135</v>
      </c>
      <c r="G12" t="s">
        <v>135</v>
      </c>
      <c r="H12" t="s">
        <v>142</v>
      </c>
      <c r="I12" t="s">
        <v>931</v>
      </c>
      <c r="J12" t="s">
        <v>938</v>
      </c>
      <c r="K12" t="s">
        <v>67</v>
      </c>
      <c r="L12" t="s">
        <v>940</v>
      </c>
      <c r="M12" t="s">
        <v>940</v>
      </c>
      <c r="N12" t="s">
        <v>941</v>
      </c>
      <c r="O12" t="s">
        <v>940</v>
      </c>
      <c r="P12">
        <v>17.97</v>
      </c>
      <c r="Q12" t="s">
        <v>160</v>
      </c>
      <c r="R12">
        <v>13</v>
      </c>
      <c r="S12">
        <v>13</v>
      </c>
      <c r="T12">
        <v>0</v>
      </c>
      <c r="U12"/>
      <c r="V12"/>
      <c r="W12">
        <v>0.72</v>
      </c>
    </row>
    <row r="13" spans="1:23">
      <c r="A13" t="s">
        <v>23</v>
      </c>
      <c r="B13" t="s">
        <v>24</v>
      </c>
      <c r="C13" t="s">
        <v>942</v>
      </c>
      <c r="D13" t="s">
        <v>937</v>
      </c>
      <c r="E13" t="s">
        <v>26</v>
      </c>
      <c r="F13" t="s">
        <v>135</v>
      </c>
      <c r="G13" t="s">
        <v>135</v>
      </c>
      <c r="H13" t="s">
        <v>142</v>
      </c>
      <c r="I13" t="s">
        <v>931</v>
      </c>
      <c r="J13" t="s">
        <v>938</v>
      </c>
      <c r="K13" t="s">
        <v>67</v>
      </c>
      <c r="L13" t="s">
        <v>940</v>
      </c>
      <c r="M13" t="s">
        <v>940</v>
      </c>
      <c r="N13" t="s">
        <v>941</v>
      </c>
      <c r="O13" t="s">
        <v>940</v>
      </c>
      <c r="P13">
        <v>18.010000000000002</v>
      </c>
      <c r="Q13" t="s">
        <v>160</v>
      </c>
      <c r="R13">
        <v>18</v>
      </c>
      <c r="S13">
        <v>18</v>
      </c>
      <c r="T13">
        <v>0</v>
      </c>
      <c r="U13"/>
      <c r="V13"/>
      <c r="W13">
        <v>1</v>
      </c>
    </row>
    <row r="14" spans="1:23">
      <c r="A14" t="s">
        <v>23</v>
      </c>
      <c r="B14" t="s">
        <v>24</v>
      </c>
      <c r="C14" t="s">
        <v>943</v>
      </c>
      <c r="D14" t="s">
        <v>937</v>
      </c>
      <c r="E14" t="s">
        <v>26</v>
      </c>
      <c r="F14" t="s">
        <v>135</v>
      </c>
      <c r="G14" t="s">
        <v>135</v>
      </c>
      <c r="H14" t="s">
        <v>142</v>
      </c>
      <c r="I14" t="s">
        <v>931</v>
      </c>
      <c r="J14" t="s">
        <v>938</v>
      </c>
      <c r="K14" t="s">
        <v>67</v>
      </c>
      <c r="L14" t="s">
        <v>940</v>
      </c>
      <c r="M14" t="s">
        <v>940</v>
      </c>
      <c r="N14" t="s">
        <v>941</v>
      </c>
      <c r="O14" t="s">
        <v>940</v>
      </c>
      <c r="P14">
        <v>18.010000000000002</v>
      </c>
      <c r="Q14" t="s">
        <v>160</v>
      </c>
      <c r="R14">
        <v>16</v>
      </c>
      <c r="S14">
        <v>16</v>
      </c>
      <c r="T14">
        <v>0</v>
      </c>
      <c r="U14"/>
      <c r="V14"/>
      <c r="W14">
        <v>0.89</v>
      </c>
    </row>
    <row r="15" spans="1:23">
      <c r="A15" t="s">
        <v>23</v>
      </c>
      <c r="B15" t="s">
        <v>24</v>
      </c>
      <c r="C15" t="s">
        <v>1444</v>
      </c>
      <c r="D15" t="s">
        <v>937</v>
      </c>
      <c r="E15" t="s">
        <v>26</v>
      </c>
      <c r="F15" t="s">
        <v>135</v>
      </c>
      <c r="G15" t="s">
        <v>135</v>
      </c>
      <c r="H15" t="s">
        <v>142</v>
      </c>
      <c r="I15" t="s">
        <v>931</v>
      </c>
      <c r="J15" t="s">
        <v>938</v>
      </c>
      <c r="K15" t="s">
        <v>67</v>
      </c>
      <c r="L15" t="s">
        <v>1127</v>
      </c>
      <c r="M15" t="s">
        <v>1127</v>
      </c>
      <c r="N15" t="s">
        <v>941</v>
      </c>
      <c r="O15" t="s">
        <v>1127</v>
      </c>
      <c r="P15">
        <v>18.149999999999999</v>
      </c>
      <c r="Q15" t="s">
        <v>160</v>
      </c>
      <c r="R15">
        <v>17</v>
      </c>
      <c r="S15">
        <v>17</v>
      </c>
      <c r="T15">
        <v>0</v>
      </c>
      <c r="U15"/>
      <c r="V15"/>
      <c r="W15">
        <v>0.94</v>
      </c>
    </row>
    <row r="16" spans="1:23">
      <c r="A16" t="s">
        <v>23</v>
      </c>
      <c r="B16" t="s">
        <v>24</v>
      </c>
      <c r="C16" t="s">
        <v>1661</v>
      </c>
      <c r="D16" t="s">
        <v>937</v>
      </c>
      <c r="E16" t="s">
        <v>26</v>
      </c>
      <c r="F16" t="s">
        <v>135</v>
      </c>
      <c r="G16" t="s">
        <v>135</v>
      </c>
      <c r="H16" t="s">
        <v>142</v>
      </c>
      <c r="I16" t="s">
        <v>931</v>
      </c>
      <c r="J16" t="s">
        <v>938</v>
      </c>
      <c r="K16" t="s">
        <v>67</v>
      </c>
      <c r="L16" t="s">
        <v>1442</v>
      </c>
      <c r="M16" t="s">
        <v>1442</v>
      </c>
      <c r="N16" t="s">
        <v>941</v>
      </c>
      <c r="O16" t="s">
        <v>1442</v>
      </c>
      <c r="P16">
        <v>18.22</v>
      </c>
      <c r="Q16" t="s">
        <v>160</v>
      </c>
      <c r="R16">
        <v>15</v>
      </c>
      <c r="S16">
        <v>15</v>
      </c>
      <c r="T16">
        <v>0</v>
      </c>
      <c r="U16"/>
      <c r="V16"/>
      <c r="W16">
        <v>0.82</v>
      </c>
    </row>
    <row r="17" spans="1:23">
      <c r="A17" t="s">
        <v>23</v>
      </c>
      <c r="B17" t="s">
        <v>24</v>
      </c>
      <c r="C17" t="s">
        <v>2095</v>
      </c>
      <c r="D17" t="s">
        <v>937</v>
      </c>
      <c r="E17" t="s">
        <v>26</v>
      </c>
      <c r="F17" t="s">
        <v>135</v>
      </c>
      <c r="G17" t="s">
        <v>135</v>
      </c>
      <c r="H17" t="s">
        <v>142</v>
      </c>
      <c r="I17" t="s">
        <v>931</v>
      </c>
      <c r="J17" t="s">
        <v>938</v>
      </c>
      <c r="K17" t="s">
        <v>67</v>
      </c>
      <c r="L17" t="s">
        <v>1758</v>
      </c>
      <c r="M17" t="s">
        <v>1758</v>
      </c>
      <c r="N17" t="s">
        <v>941</v>
      </c>
      <c r="O17" t="s">
        <v>1759</v>
      </c>
      <c r="P17">
        <v>17.690000000000001</v>
      </c>
      <c r="Q17" t="s">
        <v>160</v>
      </c>
      <c r="R17">
        <v>29</v>
      </c>
      <c r="S17">
        <v>29</v>
      </c>
      <c r="T17">
        <v>0</v>
      </c>
      <c r="U17"/>
      <c r="V17"/>
      <c r="W17">
        <v>1.64</v>
      </c>
    </row>
    <row r="18" spans="1:23">
      <c r="A18" t="s">
        <v>23</v>
      </c>
      <c r="B18" t="s">
        <v>24</v>
      </c>
      <c r="C18" t="s">
        <v>1733</v>
      </c>
      <c r="D18" t="s">
        <v>1756</v>
      </c>
      <c r="E18" t="s">
        <v>26</v>
      </c>
      <c r="F18" t="s">
        <v>135</v>
      </c>
      <c r="G18" t="s">
        <v>135</v>
      </c>
      <c r="H18" t="s">
        <v>1734</v>
      </c>
      <c r="I18" t="s">
        <v>931</v>
      </c>
      <c r="J18" t="s">
        <v>938</v>
      </c>
      <c r="K18" t="s">
        <v>67</v>
      </c>
      <c r="L18" t="s">
        <v>1442</v>
      </c>
      <c r="M18" t="s">
        <v>1442</v>
      </c>
      <c r="N18" t="s">
        <v>941</v>
      </c>
      <c r="O18" t="s">
        <v>1758</v>
      </c>
      <c r="P18">
        <v>18.28</v>
      </c>
      <c r="Q18" t="s">
        <v>160</v>
      </c>
      <c r="R18">
        <v>10</v>
      </c>
      <c r="S18">
        <v>10</v>
      </c>
      <c r="T18">
        <v>0</v>
      </c>
      <c r="U18"/>
      <c r="V18"/>
      <c r="W18">
        <v>0.55000000000000004</v>
      </c>
    </row>
    <row r="19" spans="1:23">
      <c r="A19" t="s">
        <v>23</v>
      </c>
      <c r="B19" t="s">
        <v>24</v>
      </c>
      <c r="C19" t="s">
        <v>1445</v>
      </c>
      <c r="D19" t="s">
        <v>1401</v>
      </c>
      <c r="E19" t="s">
        <v>25</v>
      </c>
      <c r="F19" t="s">
        <v>135</v>
      </c>
      <c r="G19" t="s">
        <v>135</v>
      </c>
      <c r="H19" t="s">
        <v>152</v>
      </c>
      <c r="I19" t="s">
        <v>931</v>
      </c>
      <c r="J19" t="s">
        <v>938</v>
      </c>
      <c r="K19" t="s">
        <v>67</v>
      </c>
      <c r="L19" t="s">
        <v>1127</v>
      </c>
      <c r="M19" t="s">
        <v>1127</v>
      </c>
      <c r="N19" t="s">
        <v>941</v>
      </c>
      <c r="O19" t="s">
        <v>1127</v>
      </c>
      <c r="P19">
        <v>19.86</v>
      </c>
      <c r="Q19" t="s">
        <v>159</v>
      </c>
      <c r="R19">
        <v>18</v>
      </c>
      <c r="S19">
        <v>18</v>
      </c>
      <c r="T19">
        <v>0</v>
      </c>
      <c r="U19"/>
      <c r="V19"/>
      <c r="W19">
        <v>0.91</v>
      </c>
    </row>
    <row r="20" spans="1:23">
      <c r="A20" t="s">
        <v>23</v>
      </c>
      <c r="B20" t="s">
        <v>24</v>
      </c>
      <c r="C20" t="s">
        <v>1400</v>
      </c>
      <c r="D20" t="s">
        <v>1401</v>
      </c>
      <c r="E20" t="s">
        <v>25</v>
      </c>
      <c r="F20" t="s">
        <v>135</v>
      </c>
      <c r="G20" t="s">
        <v>135</v>
      </c>
      <c r="H20" t="s">
        <v>152</v>
      </c>
      <c r="I20" t="s">
        <v>931</v>
      </c>
      <c r="J20" t="s">
        <v>938</v>
      </c>
      <c r="K20" t="s">
        <v>67</v>
      </c>
      <c r="L20" t="s">
        <v>1127</v>
      </c>
      <c r="M20" t="s">
        <v>1127</v>
      </c>
      <c r="N20" t="s">
        <v>941</v>
      </c>
      <c r="O20" t="s">
        <v>1127</v>
      </c>
      <c r="P20">
        <v>19.690000000000001</v>
      </c>
      <c r="Q20" t="s">
        <v>159</v>
      </c>
      <c r="R20">
        <v>9</v>
      </c>
      <c r="S20">
        <v>9</v>
      </c>
      <c r="T20">
        <v>0</v>
      </c>
      <c r="U20"/>
      <c r="V20"/>
      <c r="W20">
        <v>0.46</v>
      </c>
    </row>
    <row r="21" spans="1:23">
      <c r="A21" t="s">
        <v>23</v>
      </c>
      <c r="B21" t="s">
        <v>24</v>
      </c>
      <c r="C21" t="s">
        <v>1662</v>
      </c>
      <c r="D21" t="s">
        <v>1401</v>
      </c>
      <c r="E21" t="s">
        <v>25</v>
      </c>
      <c r="F21" t="s">
        <v>135</v>
      </c>
      <c r="G21" t="s">
        <v>135</v>
      </c>
      <c r="H21" t="s">
        <v>152</v>
      </c>
      <c r="I21" t="s">
        <v>931</v>
      </c>
      <c r="J21" t="s">
        <v>938</v>
      </c>
      <c r="K21" t="s">
        <v>67</v>
      </c>
      <c r="L21" t="s">
        <v>1442</v>
      </c>
      <c r="M21" t="s">
        <v>1442</v>
      </c>
      <c r="N21" t="s">
        <v>941</v>
      </c>
      <c r="O21" t="s">
        <v>1442</v>
      </c>
      <c r="P21">
        <v>19.82</v>
      </c>
      <c r="Q21" t="s">
        <v>159</v>
      </c>
      <c r="R21">
        <v>25</v>
      </c>
      <c r="S21">
        <v>25</v>
      </c>
      <c r="T21">
        <v>0</v>
      </c>
      <c r="U21"/>
      <c r="V21"/>
      <c r="W21">
        <v>1.26</v>
      </c>
    </row>
    <row r="22" spans="1:23">
      <c r="A22" t="s">
        <v>23</v>
      </c>
      <c r="B22" t="s">
        <v>24</v>
      </c>
      <c r="C22" t="s">
        <v>2229</v>
      </c>
      <c r="D22" t="s">
        <v>1401</v>
      </c>
      <c r="E22" t="s">
        <v>25</v>
      </c>
      <c r="F22" t="s">
        <v>135</v>
      </c>
      <c r="G22" t="s">
        <v>135</v>
      </c>
      <c r="H22" t="s">
        <v>152</v>
      </c>
      <c r="I22" t="s">
        <v>931</v>
      </c>
      <c r="J22" t="s">
        <v>938</v>
      </c>
      <c r="K22" t="s">
        <v>67</v>
      </c>
      <c r="L22" t="s">
        <v>1759</v>
      </c>
      <c r="M22" t="s">
        <v>1759</v>
      </c>
      <c r="N22" t="s">
        <v>941</v>
      </c>
      <c r="O22" t="s">
        <v>1759</v>
      </c>
      <c r="P22">
        <v>19.649999999999999</v>
      </c>
      <c r="Q22" t="s">
        <v>159</v>
      </c>
      <c r="R22">
        <v>29</v>
      </c>
      <c r="S22">
        <v>29</v>
      </c>
      <c r="T22">
        <v>0</v>
      </c>
      <c r="U22"/>
      <c r="V22"/>
      <c r="W22">
        <v>1.48</v>
      </c>
    </row>
    <row r="23" spans="1:23">
      <c r="A23" t="s">
        <v>23</v>
      </c>
      <c r="B23" t="s">
        <v>24</v>
      </c>
      <c r="C23" t="s">
        <v>1446</v>
      </c>
      <c r="D23" t="s">
        <v>1447</v>
      </c>
      <c r="E23" t="s">
        <v>25</v>
      </c>
      <c r="F23" t="s">
        <v>135</v>
      </c>
      <c r="G23" t="s">
        <v>135</v>
      </c>
      <c r="H23" t="s">
        <v>151</v>
      </c>
      <c r="I23" t="s">
        <v>931</v>
      </c>
      <c r="J23" t="s">
        <v>938</v>
      </c>
      <c r="K23" t="s">
        <v>67</v>
      </c>
      <c r="L23" t="s">
        <v>1127</v>
      </c>
      <c r="M23" t="s">
        <v>1127</v>
      </c>
      <c r="N23" t="s">
        <v>941</v>
      </c>
      <c r="O23" t="s">
        <v>1442</v>
      </c>
      <c r="P23">
        <v>17.46</v>
      </c>
      <c r="Q23" t="s">
        <v>159</v>
      </c>
      <c r="R23">
        <v>37</v>
      </c>
      <c r="S23">
        <v>37</v>
      </c>
      <c r="T23">
        <v>0</v>
      </c>
      <c r="U23"/>
      <c r="V23"/>
      <c r="W23">
        <v>2.12</v>
      </c>
    </row>
    <row r="24" spans="1:23">
      <c r="A24" t="s">
        <v>23</v>
      </c>
      <c r="B24" t="s">
        <v>24</v>
      </c>
      <c r="C24" t="s">
        <v>1128</v>
      </c>
      <c r="D24" t="s">
        <v>1129</v>
      </c>
      <c r="E24" t="s">
        <v>25</v>
      </c>
      <c r="F24" t="s">
        <v>135</v>
      </c>
      <c r="G24" t="s">
        <v>135</v>
      </c>
      <c r="H24" t="s">
        <v>146</v>
      </c>
      <c r="I24" t="s">
        <v>931</v>
      </c>
      <c r="J24" t="s">
        <v>938</v>
      </c>
      <c r="K24" t="s">
        <v>67</v>
      </c>
      <c r="L24" t="s">
        <v>1124</v>
      </c>
      <c r="M24" t="s">
        <v>1124</v>
      </c>
      <c r="N24" t="s">
        <v>941</v>
      </c>
      <c r="O24" t="s">
        <v>1124</v>
      </c>
      <c r="P24">
        <v>20.329999999999998</v>
      </c>
      <c r="Q24" t="s">
        <v>159</v>
      </c>
      <c r="R24">
        <v>26</v>
      </c>
      <c r="S24">
        <v>26</v>
      </c>
      <c r="T24">
        <v>0</v>
      </c>
      <c r="U24"/>
      <c r="V24"/>
      <c r="W24">
        <v>1.28</v>
      </c>
    </row>
    <row r="25" spans="1:23">
      <c r="A25" t="s">
        <v>23</v>
      </c>
      <c r="B25" t="s">
        <v>24</v>
      </c>
      <c r="C25" t="s">
        <v>1130</v>
      </c>
      <c r="D25" t="s">
        <v>1129</v>
      </c>
      <c r="E25" t="s">
        <v>25</v>
      </c>
      <c r="F25" t="s">
        <v>135</v>
      </c>
      <c r="G25" t="s">
        <v>135</v>
      </c>
      <c r="H25" t="s">
        <v>146</v>
      </c>
      <c r="I25" t="s">
        <v>931</v>
      </c>
      <c r="J25" t="s">
        <v>938</v>
      </c>
      <c r="K25" t="s">
        <v>67</v>
      </c>
      <c r="L25" t="s">
        <v>940</v>
      </c>
      <c r="M25" t="s">
        <v>940</v>
      </c>
      <c r="N25" t="s">
        <v>941</v>
      </c>
      <c r="O25" t="s">
        <v>1124</v>
      </c>
      <c r="P25">
        <v>20.23</v>
      </c>
      <c r="Q25" t="s">
        <v>159</v>
      </c>
      <c r="R25">
        <v>5</v>
      </c>
      <c r="S25">
        <v>5</v>
      </c>
      <c r="T25">
        <v>0</v>
      </c>
      <c r="U25"/>
      <c r="V25"/>
      <c r="W25">
        <v>0.25</v>
      </c>
    </row>
    <row r="26" spans="1:23">
      <c r="A26" t="s">
        <v>23</v>
      </c>
      <c r="B26" t="s">
        <v>24</v>
      </c>
      <c r="C26" t="s">
        <v>1448</v>
      </c>
      <c r="D26" t="s">
        <v>1129</v>
      </c>
      <c r="E26" t="s">
        <v>25</v>
      </c>
      <c r="F26" t="s">
        <v>135</v>
      </c>
      <c r="G26" t="s">
        <v>135</v>
      </c>
      <c r="H26" t="s">
        <v>146</v>
      </c>
      <c r="I26" t="s">
        <v>931</v>
      </c>
      <c r="J26" t="s">
        <v>938</v>
      </c>
      <c r="K26" t="s">
        <v>67</v>
      </c>
      <c r="L26" t="s">
        <v>1127</v>
      </c>
      <c r="M26" t="s">
        <v>1127</v>
      </c>
      <c r="N26" t="s">
        <v>941</v>
      </c>
      <c r="O26" t="s">
        <v>1127</v>
      </c>
      <c r="P26">
        <v>20.079999999999998</v>
      </c>
      <c r="Q26" t="s">
        <v>159</v>
      </c>
      <c r="R26">
        <v>12</v>
      </c>
      <c r="S26">
        <v>12</v>
      </c>
      <c r="T26">
        <v>0</v>
      </c>
      <c r="U26"/>
      <c r="V26"/>
      <c r="W26">
        <v>0.6</v>
      </c>
    </row>
    <row r="27" spans="1:23">
      <c r="A27" t="s">
        <v>23</v>
      </c>
      <c r="B27" t="s">
        <v>24</v>
      </c>
      <c r="C27" t="s">
        <v>1391</v>
      </c>
      <c r="D27" t="s">
        <v>1129</v>
      </c>
      <c r="E27" t="s">
        <v>25</v>
      </c>
      <c r="F27" t="s">
        <v>135</v>
      </c>
      <c r="G27" t="s">
        <v>135</v>
      </c>
      <c r="H27" t="s">
        <v>146</v>
      </c>
      <c r="I27" t="s">
        <v>931</v>
      </c>
      <c r="J27" t="s">
        <v>938</v>
      </c>
      <c r="K27" t="s">
        <v>67</v>
      </c>
      <c r="L27" t="s">
        <v>1127</v>
      </c>
      <c r="M27" t="s">
        <v>1127</v>
      </c>
      <c r="N27" t="s">
        <v>941</v>
      </c>
      <c r="O27" t="s">
        <v>1127</v>
      </c>
      <c r="P27">
        <v>20.22</v>
      </c>
      <c r="Q27" t="s">
        <v>159</v>
      </c>
      <c r="R27">
        <v>39</v>
      </c>
      <c r="S27">
        <v>39</v>
      </c>
      <c r="T27">
        <v>0</v>
      </c>
      <c r="U27"/>
      <c r="V27"/>
      <c r="W27">
        <v>1.93</v>
      </c>
    </row>
    <row r="28" spans="1:23">
      <c r="A28" t="s">
        <v>23</v>
      </c>
      <c r="B28" t="s">
        <v>24</v>
      </c>
      <c r="C28" t="s">
        <v>944</v>
      </c>
      <c r="D28" t="s">
        <v>945</v>
      </c>
      <c r="E28" t="s">
        <v>25</v>
      </c>
      <c r="F28" t="s">
        <v>135</v>
      </c>
      <c r="G28" t="s">
        <v>135</v>
      </c>
      <c r="H28" t="s">
        <v>142</v>
      </c>
      <c r="I28" t="s">
        <v>931</v>
      </c>
      <c r="J28" t="s">
        <v>938</v>
      </c>
      <c r="K28" t="s">
        <v>67</v>
      </c>
      <c r="L28" t="s">
        <v>940</v>
      </c>
      <c r="M28" t="s">
        <v>940</v>
      </c>
      <c r="N28" t="s">
        <v>941</v>
      </c>
      <c r="O28" t="s">
        <v>940</v>
      </c>
      <c r="P28">
        <v>17.97</v>
      </c>
      <c r="Q28" t="s">
        <v>159</v>
      </c>
      <c r="R28">
        <v>33</v>
      </c>
      <c r="S28">
        <v>33</v>
      </c>
      <c r="T28">
        <v>0</v>
      </c>
      <c r="U28"/>
      <c r="V28"/>
      <c r="W28">
        <v>1.84</v>
      </c>
    </row>
    <row r="29" spans="1:23">
      <c r="A29" t="s">
        <v>23</v>
      </c>
      <c r="B29" t="s">
        <v>24</v>
      </c>
      <c r="C29" t="s">
        <v>946</v>
      </c>
      <c r="D29" t="s">
        <v>945</v>
      </c>
      <c r="E29" t="s">
        <v>25</v>
      </c>
      <c r="F29" t="s">
        <v>135</v>
      </c>
      <c r="G29" t="s">
        <v>135</v>
      </c>
      <c r="H29" t="s">
        <v>142</v>
      </c>
      <c r="I29" t="s">
        <v>931</v>
      </c>
      <c r="J29" t="s">
        <v>938</v>
      </c>
      <c r="K29" t="s">
        <v>67</v>
      </c>
      <c r="L29" t="s">
        <v>940</v>
      </c>
      <c r="M29" t="s">
        <v>940</v>
      </c>
      <c r="N29" t="s">
        <v>941</v>
      </c>
      <c r="O29" t="s">
        <v>940</v>
      </c>
      <c r="P29">
        <v>18.010000000000002</v>
      </c>
      <c r="Q29" t="s">
        <v>159</v>
      </c>
      <c r="R29">
        <v>31</v>
      </c>
      <c r="S29">
        <v>31</v>
      </c>
      <c r="T29">
        <v>0</v>
      </c>
      <c r="U29"/>
      <c r="V29"/>
      <c r="W29">
        <v>1.72</v>
      </c>
    </row>
    <row r="30" spans="1:23">
      <c r="A30" t="s">
        <v>23</v>
      </c>
      <c r="B30" t="s">
        <v>24</v>
      </c>
      <c r="C30" t="s">
        <v>947</v>
      </c>
      <c r="D30" t="s">
        <v>945</v>
      </c>
      <c r="E30" t="s">
        <v>25</v>
      </c>
      <c r="F30" t="s">
        <v>135</v>
      </c>
      <c r="G30" t="s">
        <v>135</v>
      </c>
      <c r="H30" t="s">
        <v>142</v>
      </c>
      <c r="I30" t="s">
        <v>931</v>
      </c>
      <c r="J30" t="s">
        <v>938</v>
      </c>
      <c r="K30" t="s">
        <v>67</v>
      </c>
      <c r="L30" t="s">
        <v>940</v>
      </c>
      <c r="M30" t="s">
        <v>940</v>
      </c>
      <c r="N30" t="s">
        <v>941</v>
      </c>
      <c r="O30" t="s">
        <v>940</v>
      </c>
      <c r="P30">
        <v>18.010000000000002</v>
      </c>
      <c r="Q30" t="s">
        <v>159</v>
      </c>
      <c r="R30">
        <v>29</v>
      </c>
      <c r="S30">
        <v>29</v>
      </c>
      <c r="T30">
        <v>0</v>
      </c>
      <c r="U30"/>
      <c r="V30"/>
      <c r="W30">
        <v>1.61</v>
      </c>
    </row>
    <row r="31" spans="1:23">
      <c r="A31" t="s">
        <v>23</v>
      </c>
      <c r="B31" t="s">
        <v>24</v>
      </c>
      <c r="C31" t="s">
        <v>1449</v>
      </c>
      <c r="D31" t="s">
        <v>945</v>
      </c>
      <c r="E31" t="s">
        <v>25</v>
      </c>
      <c r="F31" t="s">
        <v>135</v>
      </c>
      <c r="G31" t="s">
        <v>135</v>
      </c>
      <c r="H31" t="s">
        <v>142</v>
      </c>
      <c r="I31" t="s">
        <v>931</v>
      </c>
      <c r="J31" t="s">
        <v>938</v>
      </c>
      <c r="K31" t="s">
        <v>67</v>
      </c>
      <c r="L31" t="s">
        <v>1127</v>
      </c>
      <c r="M31" t="s">
        <v>1127</v>
      </c>
      <c r="N31" t="s">
        <v>941</v>
      </c>
      <c r="O31" t="s">
        <v>1127</v>
      </c>
      <c r="P31">
        <v>18.149999999999999</v>
      </c>
      <c r="Q31" t="s">
        <v>159</v>
      </c>
      <c r="R31">
        <v>4</v>
      </c>
      <c r="S31">
        <v>4</v>
      </c>
      <c r="T31">
        <v>0</v>
      </c>
      <c r="U31"/>
      <c r="V31"/>
      <c r="W31">
        <v>0.22</v>
      </c>
    </row>
    <row r="32" spans="1:23">
      <c r="A32" t="s">
        <v>23</v>
      </c>
      <c r="B32" t="s">
        <v>24</v>
      </c>
      <c r="C32" t="s">
        <v>1663</v>
      </c>
      <c r="D32" t="s">
        <v>945</v>
      </c>
      <c r="E32" t="s">
        <v>25</v>
      </c>
      <c r="F32" t="s">
        <v>135</v>
      </c>
      <c r="G32" t="s">
        <v>135</v>
      </c>
      <c r="H32" t="s">
        <v>142</v>
      </c>
      <c r="I32" t="s">
        <v>931</v>
      </c>
      <c r="J32" t="s">
        <v>938</v>
      </c>
      <c r="K32" t="s">
        <v>67</v>
      </c>
      <c r="L32" t="s">
        <v>1442</v>
      </c>
      <c r="M32" t="s">
        <v>1442</v>
      </c>
      <c r="N32" t="s">
        <v>941</v>
      </c>
      <c r="O32" t="s">
        <v>1442</v>
      </c>
      <c r="P32">
        <v>18.22</v>
      </c>
      <c r="Q32" t="s">
        <v>159</v>
      </c>
      <c r="R32">
        <v>16</v>
      </c>
      <c r="S32">
        <v>16</v>
      </c>
      <c r="T32">
        <v>0</v>
      </c>
      <c r="U32"/>
      <c r="V32"/>
      <c r="W32">
        <v>0.88</v>
      </c>
    </row>
    <row r="33" spans="1:23">
      <c r="A33" t="s">
        <v>23</v>
      </c>
      <c r="B33" t="s">
        <v>24</v>
      </c>
      <c r="C33" t="s">
        <v>1746</v>
      </c>
      <c r="D33" t="s">
        <v>1757</v>
      </c>
      <c r="E33" t="s">
        <v>25</v>
      </c>
      <c r="F33" t="s">
        <v>135</v>
      </c>
      <c r="G33" t="s">
        <v>135</v>
      </c>
      <c r="H33" t="s">
        <v>1734</v>
      </c>
      <c r="I33" t="s">
        <v>931</v>
      </c>
      <c r="J33" t="s">
        <v>938</v>
      </c>
      <c r="K33" t="s">
        <v>67</v>
      </c>
      <c r="L33" t="s">
        <v>1442</v>
      </c>
      <c r="M33" t="s">
        <v>1442</v>
      </c>
      <c r="N33" t="s">
        <v>941</v>
      </c>
      <c r="O33" t="s">
        <v>1758</v>
      </c>
      <c r="P33">
        <v>18.28</v>
      </c>
      <c r="Q33" t="s">
        <v>159</v>
      </c>
      <c r="R33">
        <v>7</v>
      </c>
      <c r="S33">
        <v>7</v>
      </c>
      <c r="T33">
        <v>0</v>
      </c>
      <c r="U33"/>
      <c r="V33"/>
      <c r="W33">
        <v>0.38</v>
      </c>
    </row>
    <row r="34" spans="1:23">
      <c r="A34" t="s">
        <v>23</v>
      </c>
      <c r="B34" t="s">
        <v>24</v>
      </c>
      <c r="C34" t="s">
        <v>2046</v>
      </c>
      <c r="D34" t="s">
        <v>1129</v>
      </c>
      <c r="E34" t="s">
        <v>25</v>
      </c>
      <c r="F34" t="s">
        <v>135</v>
      </c>
      <c r="G34" t="s">
        <v>135</v>
      </c>
      <c r="H34" t="s">
        <v>146</v>
      </c>
      <c r="I34" t="s">
        <v>931</v>
      </c>
      <c r="J34" t="s">
        <v>938</v>
      </c>
      <c r="K34" t="s">
        <v>67</v>
      </c>
      <c r="L34" t="s">
        <v>1758</v>
      </c>
      <c r="M34" t="s">
        <v>1758</v>
      </c>
      <c r="N34" t="s">
        <v>941</v>
      </c>
      <c r="O34" t="s">
        <v>1759</v>
      </c>
      <c r="P34">
        <v>19.8</v>
      </c>
      <c r="Q34" t="s">
        <v>159</v>
      </c>
      <c r="R34">
        <v>28</v>
      </c>
      <c r="S34">
        <v>28</v>
      </c>
      <c r="T34">
        <v>0</v>
      </c>
      <c r="U34"/>
      <c r="V34"/>
      <c r="W34">
        <v>1.41</v>
      </c>
    </row>
    <row r="35" spans="1:23">
      <c r="A35" t="s">
        <v>23</v>
      </c>
      <c r="B35" t="s">
        <v>24</v>
      </c>
      <c r="C35" t="s">
        <v>2096</v>
      </c>
      <c r="D35" t="s">
        <v>945</v>
      </c>
      <c r="E35" t="s">
        <v>25</v>
      </c>
      <c r="F35" t="s">
        <v>135</v>
      </c>
      <c r="G35" t="s">
        <v>135</v>
      </c>
      <c r="H35" t="s">
        <v>142</v>
      </c>
      <c r="I35" t="s">
        <v>931</v>
      </c>
      <c r="J35" t="s">
        <v>938</v>
      </c>
      <c r="K35" t="s">
        <v>67</v>
      </c>
      <c r="L35" t="s">
        <v>1759</v>
      </c>
      <c r="M35" t="s">
        <v>1759</v>
      </c>
      <c r="N35" t="s">
        <v>941</v>
      </c>
      <c r="O35" t="s">
        <v>1759</v>
      </c>
      <c r="P35">
        <v>17.690000000000001</v>
      </c>
      <c r="Q35" t="s">
        <v>159</v>
      </c>
      <c r="R35">
        <v>19</v>
      </c>
      <c r="S35">
        <v>19</v>
      </c>
      <c r="T35">
        <v>0</v>
      </c>
      <c r="U35"/>
      <c r="V35"/>
      <c r="W35">
        <v>1.07</v>
      </c>
    </row>
    <row r="36" spans="1:23">
      <c r="A36" t="s">
        <v>23</v>
      </c>
      <c r="B36" t="s">
        <v>24</v>
      </c>
      <c r="C36" t="s">
        <v>2389</v>
      </c>
      <c r="D36" t="s">
        <v>1399</v>
      </c>
      <c r="E36" t="s">
        <v>26</v>
      </c>
      <c r="F36" t="s">
        <v>135</v>
      </c>
      <c r="G36" t="s">
        <v>135</v>
      </c>
      <c r="H36" t="s">
        <v>152</v>
      </c>
      <c r="I36" t="s">
        <v>931</v>
      </c>
      <c r="J36" t="s">
        <v>938</v>
      </c>
      <c r="K36" t="s">
        <v>939</v>
      </c>
      <c r="L36" t="s">
        <v>1759</v>
      </c>
      <c r="M36" t="s">
        <v>1759</v>
      </c>
      <c r="N36" t="s">
        <v>941</v>
      </c>
      <c r="O36" t="s">
        <v>2228</v>
      </c>
      <c r="P36">
        <v>19.510000000000002</v>
      </c>
      <c r="Q36" t="s">
        <v>160</v>
      </c>
      <c r="R36">
        <v>10</v>
      </c>
      <c r="S36">
        <v>10</v>
      </c>
      <c r="T36">
        <v>0</v>
      </c>
      <c r="U36"/>
      <c r="V36"/>
      <c r="W36">
        <v>0.51</v>
      </c>
    </row>
    <row r="37" spans="1:23">
      <c r="A37" t="s">
        <v>23</v>
      </c>
      <c r="B37" t="s">
        <v>24</v>
      </c>
      <c r="C37" t="s">
        <v>3278</v>
      </c>
      <c r="D37" t="s">
        <v>1441</v>
      </c>
      <c r="E37" t="s">
        <v>26</v>
      </c>
      <c r="F37" t="s">
        <v>135</v>
      </c>
      <c r="G37" t="s">
        <v>135</v>
      </c>
      <c r="H37" t="s">
        <v>151</v>
      </c>
      <c r="I37" t="s">
        <v>931</v>
      </c>
      <c r="J37" t="s">
        <v>938</v>
      </c>
      <c r="K37" t="s">
        <v>939</v>
      </c>
      <c r="L37" t="s">
        <v>2828</v>
      </c>
      <c r="M37" t="s">
        <v>2828</v>
      </c>
      <c r="N37" t="s">
        <v>941</v>
      </c>
      <c r="O37" t="s">
        <v>2828</v>
      </c>
      <c r="P37">
        <v>17.27</v>
      </c>
      <c r="Q37" t="s">
        <v>160</v>
      </c>
      <c r="R37">
        <v>19</v>
      </c>
      <c r="S37">
        <v>19</v>
      </c>
      <c r="T37">
        <v>0</v>
      </c>
      <c r="U37"/>
      <c r="V37"/>
      <c r="W37">
        <v>1.1000000000000001</v>
      </c>
    </row>
    <row r="38" spans="1:23">
      <c r="A38" t="s">
        <v>23</v>
      </c>
      <c r="B38" t="s">
        <v>24</v>
      </c>
      <c r="C38" t="s">
        <v>3136</v>
      </c>
      <c r="D38" t="s">
        <v>1441</v>
      </c>
      <c r="E38" t="s">
        <v>26</v>
      </c>
      <c r="F38" t="s">
        <v>135</v>
      </c>
      <c r="G38" t="s">
        <v>135</v>
      </c>
      <c r="H38" t="s">
        <v>151</v>
      </c>
      <c r="I38" t="s">
        <v>931</v>
      </c>
      <c r="J38" t="s">
        <v>938</v>
      </c>
      <c r="K38" t="s">
        <v>939</v>
      </c>
      <c r="L38" t="s">
        <v>2828</v>
      </c>
      <c r="M38" t="s">
        <v>2828</v>
      </c>
      <c r="N38" t="s">
        <v>941</v>
      </c>
      <c r="O38" t="s">
        <v>2828</v>
      </c>
      <c r="P38">
        <v>15.56</v>
      </c>
      <c r="Q38" t="s">
        <v>160</v>
      </c>
      <c r="R38">
        <v>21</v>
      </c>
      <c r="S38">
        <v>21</v>
      </c>
      <c r="T38">
        <v>0</v>
      </c>
      <c r="U38"/>
      <c r="V38"/>
      <c r="W38">
        <v>1.35</v>
      </c>
    </row>
    <row r="39" spans="1:23">
      <c r="A39" t="s">
        <v>23</v>
      </c>
      <c r="B39" t="s">
        <v>24</v>
      </c>
      <c r="C39" t="s">
        <v>2827</v>
      </c>
      <c r="D39" t="s">
        <v>1123</v>
      </c>
      <c r="E39" t="s">
        <v>26</v>
      </c>
      <c r="F39" t="s">
        <v>135</v>
      </c>
      <c r="G39" t="s">
        <v>135</v>
      </c>
      <c r="H39" t="s">
        <v>146</v>
      </c>
      <c r="I39" t="s">
        <v>931</v>
      </c>
      <c r="J39" t="s">
        <v>938</v>
      </c>
      <c r="K39" t="s">
        <v>939</v>
      </c>
      <c r="L39" t="s">
        <v>1758</v>
      </c>
      <c r="M39" t="s">
        <v>1758</v>
      </c>
      <c r="N39" t="s">
        <v>941</v>
      </c>
      <c r="O39" t="s">
        <v>2228</v>
      </c>
      <c r="P39">
        <v>20.329999999999998</v>
      </c>
      <c r="Q39" t="s">
        <v>160</v>
      </c>
      <c r="R39">
        <v>43</v>
      </c>
      <c r="S39">
        <v>43</v>
      </c>
      <c r="T39">
        <v>0</v>
      </c>
      <c r="U39"/>
      <c r="V39"/>
      <c r="W39">
        <v>2.12</v>
      </c>
    </row>
    <row r="40" spans="1:23">
      <c r="A40" t="s">
        <v>23</v>
      </c>
      <c r="B40" t="s">
        <v>24</v>
      </c>
      <c r="C40" t="s">
        <v>2419</v>
      </c>
      <c r="D40" t="s">
        <v>1123</v>
      </c>
      <c r="E40" t="s">
        <v>26</v>
      </c>
      <c r="F40" t="s">
        <v>135</v>
      </c>
      <c r="G40" t="s">
        <v>135</v>
      </c>
      <c r="H40" t="s">
        <v>146</v>
      </c>
      <c r="I40" t="s">
        <v>931</v>
      </c>
      <c r="J40" t="s">
        <v>938</v>
      </c>
      <c r="K40" t="s">
        <v>939</v>
      </c>
      <c r="L40" t="s">
        <v>2228</v>
      </c>
      <c r="M40" t="s">
        <v>2228</v>
      </c>
      <c r="N40" t="s">
        <v>941</v>
      </c>
      <c r="O40" t="s">
        <v>2228</v>
      </c>
      <c r="P40">
        <v>19.87</v>
      </c>
      <c r="Q40" t="s">
        <v>160</v>
      </c>
      <c r="R40">
        <v>40</v>
      </c>
      <c r="S40">
        <v>40</v>
      </c>
      <c r="T40">
        <v>0</v>
      </c>
      <c r="U40"/>
      <c r="V40"/>
      <c r="W40">
        <v>2.0099999999999998</v>
      </c>
    </row>
    <row r="41" spans="1:23">
      <c r="A41" t="s">
        <v>23</v>
      </c>
      <c r="B41" t="s">
        <v>24</v>
      </c>
      <c r="C41" t="s">
        <v>2782</v>
      </c>
      <c r="D41" t="s">
        <v>1123</v>
      </c>
      <c r="E41" t="s">
        <v>26</v>
      </c>
      <c r="F41" t="s">
        <v>135</v>
      </c>
      <c r="G41" t="s">
        <v>135</v>
      </c>
      <c r="H41" t="s">
        <v>146</v>
      </c>
      <c r="I41" t="s">
        <v>931</v>
      </c>
      <c r="J41" t="s">
        <v>938</v>
      </c>
      <c r="K41" t="s">
        <v>939</v>
      </c>
      <c r="L41" t="s">
        <v>2228</v>
      </c>
      <c r="M41" t="s">
        <v>2228</v>
      </c>
      <c r="N41" t="s">
        <v>941</v>
      </c>
      <c r="O41" t="s">
        <v>2828</v>
      </c>
      <c r="P41">
        <v>19.96</v>
      </c>
      <c r="Q41" t="s">
        <v>160</v>
      </c>
      <c r="R41">
        <v>40</v>
      </c>
      <c r="S41">
        <v>40</v>
      </c>
      <c r="T41">
        <v>0</v>
      </c>
      <c r="U41"/>
      <c r="V41"/>
      <c r="W41">
        <v>2</v>
      </c>
    </row>
    <row r="42" spans="1:23">
      <c r="A42" t="s">
        <v>23</v>
      </c>
      <c r="B42" t="s">
        <v>24</v>
      </c>
      <c r="C42" t="s">
        <v>2420</v>
      </c>
      <c r="D42" t="s">
        <v>1123</v>
      </c>
      <c r="E42" t="s">
        <v>26</v>
      </c>
      <c r="F42" t="s">
        <v>135</v>
      </c>
      <c r="G42" t="s">
        <v>135</v>
      </c>
      <c r="H42" t="s">
        <v>146</v>
      </c>
      <c r="I42" t="s">
        <v>931</v>
      </c>
      <c r="J42" t="s">
        <v>938</v>
      </c>
      <c r="K42" t="s">
        <v>939</v>
      </c>
      <c r="L42" t="s">
        <v>2228</v>
      </c>
      <c r="M42" t="s">
        <v>2228</v>
      </c>
      <c r="N42" t="s">
        <v>941</v>
      </c>
      <c r="O42" t="s">
        <v>2228</v>
      </c>
      <c r="P42">
        <v>19.87</v>
      </c>
      <c r="Q42" t="s">
        <v>160</v>
      </c>
      <c r="R42">
        <v>11</v>
      </c>
      <c r="S42">
        <v>11</v>
      </c>
      <c r="T42">
        <v>0</v>
      </c>
      <c r="U42"/>
      <c r="V42"/>
      <c r="W42">
        <v>0.55000000000000004</v>
      </c>
    </row>
    <row r="43" spans="1:23">
      <c r="A43" t="s">
        <v>23</v>
      </c>
      <c r="B43" t="s">
        <v>24</v>
      </c>
      <c r="C43" t="s">
        <v>2278</v>
      </c>
      <c r="D43" t="s">
        <v>937</v>
      </c>
      <c r="E43" t="s">
        <v>26</v>
      </c>
      <c r="F43" t="s">
        <v>135</v>
      </c>
      <c r="G43" t="s">
        <v>135</v>
      </c>
      <c r="H43" t="s">
        <v>142</v>
      </c>
      <c r="I43" t="s">
        <v>931</v>
      </c>
      <c r="J43" t="s">
        <v>938</v>
      </c>
      <c r="K43" t="s">
        <v>939</v>
      </c>
      <c r="L43" t="s">
        <v>1759</v>
      </c>
      <c r="M43" t="s">
        <v>1759</v>
      </c>
      <c r="N43" t="s">
        <v>941</v>
      </c>
      <c r="O43" t="s">
        <v>2228</v>
      </c>
      <c r="P43">
        <v>17.78</v>
      </c>
      <c r="Q43" t="s">
        <v>160</v>
      </c>
      <c r="R43">
        <v>27</v>
      </c>
      <c r="S43">
        <v>27</v>
      </c>
      <c r="T43">
        <v>0</v>
      </c>
      <c r="U43"/>
      <c r="V43"/>
      <c r="W43">
        <v>1.52</v>
      </c>
    </row>
    <row r="44" spans="1:23">
      <c r="A44" t="s">
        <v>23</v>
      </c>
      <c r="B44" t="s">
        <v>24</v>
      </c>
      <c r="C44" t="s">
        <v>2417</v>
      </c>
      <c r="D44" t="s">
        <v>1401</v>
      </c>
      <c r="E44" t="s">
        <v>25</v>
      </c>
      <c r="F44" t="s">
        <v>135</v>
      </c>
      <c r="G44" t="s">
        <v>135</v>
      </c>
      <c r="H44" t="s">
        <v>152</v>
      </c>
      <c r="I44" t="s">
        <v>931</v>
      </c>
      <c r="J44" t="s">
        <v>938</v>
      </c>
      <c r="K44" t="s">
        <v>939</v>
      </c>
      <c r="L44" t="s">
        <v>1759</v>
      </c>
      <c r="M44" t="s">
        <v>1759</v>
      </c>
      <c r="N44" t="s">
        <v>941</v>
      </c>
      <c r="O44" t="s">
        <v>2228</v>
      </c>
      <c r="P44">
        <v>19.510000000000002</v>
      </c>
      <c r="Q44" t="s">
        <v>159</v>
      </c>
      <c r="R44">
        <v>8</v>
      </c>
      <c r="S44">
        <v>8</v>
      </c>
      <c r="T44">
        <v>0</v>
      </c>
      <c r="U44"/>
      <c r="V44"/>
      <c r="W44">
        <v>0.41</v>
      </c>
    </row>
    <row r="45" spans="1:23">
      <c r="A45" t="s">
        <v>23</v>
      </c>
      <c r="B45" t="s">
        <v>24</v>
      </c>
      <c r="C45" t="s">
        <v>3290</v>
      </c>
      <c r="D45" t="s">
        <v>1447</v>
      </c>
      <c r="E45" t="s">
        <v>25</v>
      </c>
      <c r="F45" t="s">
        <v>135</v>
      </c>
      <c r="G45" t="s">
        <v>135</v>
      </c>
      <c r="H45" t="s">
        <v>151</v>
      </c>
      <c r="I45" t="s">
        <v>931</v>
      </c>
      <c r="J45" t="s">
        <v>938</v>
      </c>
      <c r="K45" t="s">
        <v>939</v>
      </c>
      <c r="L45" t="s">
        <v>2828</v>
      </c>
      <c r="M45" t="s">
        <v>2828</v>
      </c>
      <c r="N45" t="s">
        <v>941</v>
      </c>
      <c r="O45" t="s">
        <v>2828</v>
      </c>
      <c r="P45">
        <v>17.27</v>
      </c>
      <c r="Q45" t="s">
        <v>159</v>
      </c>
      <c r="R45">
        <v>22</v>
      </c>
      <c r="S45">
        <v>22</v>
      </c>
      <c r="T45">
        <v>0</v>
      </c>
      <c r="U45"/>
      <c r="V45"/>
      <c r="W45">
        <v>1.27</v>
      </c>
    </row>
    <row r="46" spans="1:23">
      <c r="A46" t="s">
        <v>23</v>
      </c>
      <c r="B46" t="s">
        <v>24</v>
      </c>
      <c r="C46" t="s">
        <v>3271</v>
      </c>
      <c r="D46" t="s">
        <v>1447</v>
      </c>
      <c r="E46" t="s">
        <v>25</v>
      </c>
      <c r="F46" t="s">
        <v>135</v>
      </c>
      <c r="G46" t="s">
        <v>135</v>
      </c>
      <c r="H46" t="s">
        <v>151</v>
      </c>
      <c r="I46" t="s">
        <v>931</v>
      </c>
      <c r="J46" t="s">
        <v>938</v>
      </c>
      <c r="K46" t="s">
        <v>939</v>
      </c>
      <c r="L46" t="s">
        <v>2828</v>
      </c>
      <c r="M46" t="s">
        <v>2828</v>
      </c>
      <c r="N46" t="s">
        <v>941</v>
      </c>
      <c r="O46" t="s">
        <v>2828</v>
      </c>
      <c r="P46">
        <v>15.56</v>
      </c>
      <c r="Q46" t="s">
        <v>159</v>
      </c>
      <c r="R46">
        <v>23</v>
      </c>
      <c r="S46">
        <v>23</v>
      </c>
      <c r="T46">
        <v>0</v>
      </c>
      <c r="U46"/>
      <c r="V46"/>
      <c r="W46">
        <v>1.48</v>
      </c>
    </row>
    <row r="47" spans="1:23">
      <c r="A47" t="s">
        <v>23</v>
      </c>
      <c r="B47" t="s">
        <v>24</v>
      </c>
      <c r="C47" t="s">
        <v>1819</v>
      </c>
      <c r="D47" t="s">
        <v>1129</v>
      </c>
      <c r="E47" t="s">
        <v>25</v>
      </c>
      <c r="F47" t="s">
        <v>135</v>
      </c>
      <c r="G47" t="s">
        <v>135</v>
      </c>
      <c r="H47" t="s">
        <v>146</v>
      </c>
      <c r="I47" t="s">
        <v>931</v>
      </c>
      <c r="J47" t="s">
        <v>938</v>
      </c>
      <c r="K47" t="s">
        <v>939</v>
      </c>
      <c r="L47" t="s">
        <v>1758</v>
      </c>
      <c r="M47" t="s">
        <v>1758</v>
      </c>
      <c r="N47" t="s">
        <v>941</v>
      </c>
      <c r="O47" t="s">
        <v>2228</v>
      </c>
      <c r="P47">
        <v>20.329999999999998</v>
      </c>
      <c r="Q47" t="s">
        <v>159</v>
      </c>
      <c r="R47">
        <v>11</v>
      </c>
      <c r="S47">
        <v>11</v>
      </c>
      <c r="T47">
        <v>0</v>
      </c>
      <c r="U47"/>
      <c r="V47"/>
      <c r="W47">
        <v>0.54</v>
      </c>
    </row>
    <row r="48" spans="1:23">
      <c r="A48" t="s">
        <v>23</v>
      </c>
      <c r="B48" t="s">
        <v>24</v>
      </c>
      <c r="C48" t="s">
        <v>2421</v>
      </c>
      <c r="D48" t="s">
        <v>1129</v>
      </c>
      <c r="E48" t="s">
        <v>25</v>
      </c>
      <c r="F48" t="s">
        <v>135</v>
      </c>
      <c r="G48" t="s">
        <v>135</v>
      </c>
      <c r="H48" t="s">
        <v>146</v>
      </c>
      <c r="I48" t="s">
        <v>931</v>
      </c>
      <c r="J48" t="s">
        <v>938</v>
      </c>
      <c r="K48" t="s">
        <v>939</v>
      </c>
      <c r="L48" t="s">
        <v>2228</v>
      </c>
      <c r="M48" t="s">
        <v>2228</v>
      </c>
      <c r="N48" t="s">
        <v>941</v>
      </c>
      <c r="O48" t="s">
        <v>2228</v>
      </c>
      <c r="P48">
        <v>19.87</v>
      </c>
      <c r="Q48" t="s">
        <v>159</v>
      </c>
      <c r="R48">
        <v>16</v>
      </c>
      <c r="S48">
        <v>16</v>
      </c>
      <c r="T48">
        <v>0</v>
      </c>
      <c r="U48"/>
      <c r="V48"/>
      <c r="W48">
        <v>0.81</v>
      </c>
    </row>
    <row r="49" spans="1:23">
      <c r="A49" t="s">
        <v>23</v>
      </c>
      <c r="B49" t="s">
        <v>24</v>
      </c>
      <c r="C49" t="s">
        <v>2386</v>
      </c>
      <c r="D49" t="s">
        <v>945</v>
      </c>
      <c r="E49" t="s">
        <v>25</v>
      </c>
      <c r="F49" t="s">
        <v>135</v>
      </c>
      <c r="G49" t="s">
        <v>135</v>
      </c>
      <c r="H49" t="s">
        <v>142</v>
      </c>
      <c r="I49" t="s">
        <v>931</v>
      </c>
      <c r="J49" t="s">
        <v>938</v>
      </c>
      <c r="K49" t="s">
        <v>939</v>
      </c>
      <c r="L49" t="s">
        <v>1759</v>
      </c>
      <c r="M49" t="s">
        <v>1759</v>
      </c>
      <c r="N49" t="s">
        <v>941</v>
      </c>
      <c r="O49" t="s">
        <v>2228</v>
      </c>
      <c r="P49">
        <v>17.78</v>
      </c>
      <c r="Q49" t="s">
        <v>159</v>
      </c>
      <c r="R49">
        <v>3</v>
      </c>
      <c r="S49">
        <v>3</v>
      </c>
      <c r="T49">
        <v>0</v>
      </c>
      <c r="U49"/>
      <c r="V49"/>
      <c r="W49">
        <v>0.17</v>
      </c>
    </row>
  </sheetData>
  <autoFilter ref="A1:W8" xr:uid="{624FACF9-78C2-4669-A046-229E5AD0FA45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A5C6-5F34-4B30-B69A-B95B1369C147}">
  <sheetPr filterMode="1"/>
  <dimension ref="A1:O43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8.875" defaultRowHeight="15.75"/>
  <cols>
    <col min="1" max="1" width="16.25" style="37" bestFit="1" customWidth="1"/>
    <col min="2" max="2" width="10.75" style="37" bestFit="1" customWidth="1"/>
    <col min="3" max="3" width="12" style="37" bestFit="1" customWidth="1"/>
    <col min="4" max="4" width="28.375" style="37" bestFit="1" customWidth="1"/>
    <col min="5" max="5" width="16.125" style="37" bestFit="1" customWidth="1"/>
    <col min="6" max="6" width="21.875" style="37" bestFit="1" customWidth="1"/>
    <col min="7" max="7" width="28.5" style="37" bestFit="1" customWidth="1"/>
    <col min="8" max="8" width="21.625" style="37" bestFit="1" customWidth="1"/>
    <col min="9" max="10" width="17.75" style="37" bestFit="1" customWidth="1"/>
    <col min="11" max="11" width="20.625" style="37" bestFit="1" customWidth="1"/>
    <col min="12" max="12" width="9.5" style="37" bestFit="1" customWidth="1"/>
    <col min="13" max="13" width="19.125" style="37" bestFit="1" customWidth="1"/>
    <col min="14" max="14" width="9.5" style="37" bestFit="1" customWidth="1"/>
    <col min="15" max="15" width="25.875" style="37" bestFit="1" customWidth="1"/>
    <col min="16" max="16384" width="8.875" style="37"/>
  </cols>
  <sheetData>
    <row r="1" spans="1:15" s="38" customFormat="1">
      <c r="A1" s="38" t="s">
        <v>0</v>
      </c>
      <c r="B1" s="38" t="s">
        <v>1</v>
      </c>
      <c r="C1" s="38" t="s">
        <v>5</v>
      </c>
      <c r="D1" s="38" t="s">
        <v>28</v>
      </c>
      <c r="E1" s="38" t="s">
        <v>2</v>
      </c>
      <c r="F1" s="38" t="s">
        <v>16</v>
      </c>
      <c r="G1" s="38" t="s">
        <v>9</v>
      </c>
      <c r="H1" s="38" t="s">
        <v>11</v>
      </c>
      <c r="I1" s="38" t="s">
        <v>12</v>
      </c>
      <c r="J1" s="38" t="s">
        <v>29</v>
      </c>
      <c r="K1" s="38" t="s">
        <v>30</v>
      </c>
      <c r="L1" s="38" t="s">
        <v>31</v>
      </c>
      <c r="M1" s="38" t="s">
        <v>32</v>
      </c>
      <c r="N1" s="38" t="s">
        <v>33</v>
      </c>
      <c r="O1" s="38" t="s">
        <v>34</v>
      </c>
    </row>
    <row r="2" spans="1:15" customFormat="1">
      <c r="A2" t="s">
        <v>23</v>
      </c>
      <c r="B2" t="s">
        <v>24</v>
      </c>
      <c r="C2" t="s">
        <v>140</v>
      </c>
      <c r="D2" t="s">
        <v>25</v>
      </c>
      <c r="E2" t="s">
        <v>214</v>
      </c>
      <c r="F2" t="s">
        <v>159</v>
      </c>
      <c r="G2" t="s">
        <v>181</v>
      </c>
      <c r="H2" t="s">
        <v>2830</v>
      </c>
      <c r="I2" t="s">
        <v>2830</v>
      </c>
      <c r="J2" t="s">
        <v>2831</v>
      </c>
      <c r="K2" t="s">
        <v>2832</v>
      </c>
      <c r="L2" t="s">
        <v>144</v>
      </c>
      <c r="M2" t="s">
        <v>172</v>
      </c>
      <c r="N2" t="s">
        <v>216</v>
      </c>
      <c r="O2">
        <v>11</v>
      </c>
    </row>
    <row r="3" spans="1:15" customFormat="1">
      <c r="A3" t="s">
        <v>23</v>
      </c>
      <c r="B3" t="s">
        <v>24</v>
      </c>
      <c r="C3" t="s">
        <v>140</v>
      </c>
      <c r="D3" t="s">
        <v>25</v>
      </c>
      <c r="E3" t="s">
        <v>405</v>
      </c>
      <c r="F3" t="s">
        <v>159</v>
      </c>
      <c r="G3" t="s">
        <v>181</v>
      </c>
      <c r="H3" t="s">
        <v>2829</v>
      </c>
      <c r="I3" t="s">
        <v>2829</v>
      </c>
      <c r="J3" t="s">
        <v>2833</v>
      </c>
      <c r="K3" t="s">
        <v>2834</v>
      </c>
      <c r="L3" t="s">
        <v>144</v>
      </c>
      <c r="M3" t="s">
        <v>172</v>
      </c>
      <c r="N3" t="s">
        <v>216</v>
      </c>
      <c r="O3">
        <v>24</v>
      </c>
    </row>
    <row r="4" spans="1:15" customFormat="1">
      <c r="A4" t="s">
        <v>23</v>
      </c>
      <c r="B4" t="s">
        <v>24</v>
      </c>
      <c r="C4" t="s">
        <v>140</v>
      </c>
      <c r="D4" t="s">
        <v>25</v>
      </c>
      <c r="E4" t="s">
        <v>239</v>
      </c>
      <c r="F4" t="s">
        <v>159</v>
      </c>
      <c r="G4" t="s">
        <v>181</v>
      </c>
      <c r="H4" t="s">
        <v>2830</v>
      </c>
      <c r="I4" t="s">
        <v>2830</v>
      </c>
      <c r="J4" t="s">
        <v>2831</v>
      </c>
      <c r="K4" t="s">
        <v>2832</v>
      </c>
      <c r="L4" t="s">
        <v>144</v>
      </c>
      <c r="M4" t="s">
        <v>172</v>
      </c>
      <c r="N4" t="s">
        <v>216</v>
      </c>
      <c r="O4">
        <v>13</v>
      </c>
    </row>
    <row r="5" spans="1:15" customFormat="1">
      <c r="A5" t="s">
        <v>23</v>
      </c>
      <c r="B5" t="s">
        <v>24</v>
      </c>
      <c r="C5" t="s">
        <v>140</v>
      </c>
      <c r="D5" t="s">
        <v>25</v>
      </c>
      <c r="E5" t="s">
        <v>260</v>
      </c>
      <c r="F5" t="s">
        <v>159</v>
      </c>
      <c r="G5" t="s">
        <v>181</v>
      </c>
      <c r="H5" t="s">
        <v>2830</v>
      </c>
      <c r="I5" t="s">
        <v>2830</v>
      </c>
      <c r="J5" t="s">
        <v>2831</v>
      </c>
      <c r="K5" t="s">
        <v>2834</v>
      </c>
      <c r="L5" t="s">
        <v>144</v>
      </c>
      <c r="M5" t="s">
        <v>172</v>
      </c>
      <c r="N5" t="s">
        <v>216</v>
      </c>
      <c r="O5">
        <v>49</v>
      </c>
    </row>
    <row r="6" spans="1:15" customFormat="1">
      <c r="A6" t="s">
        <v>23</v>
      </c>
      <c r="B6" t="s">
        <v>24</v>
      </c>
      <c r="C6" t="s">
        <v>140</v>
      </c>
      <c r="D6" t="s">
        <v>25</v>
      </c>
      <c r="E6" t="s">
        <v>428</v>
      </c>
      <c r="F6" t="s">
        <v>159</v>
      </c>
      <c r="G6" t="s">
        <v>181</v>
      </c>
      <c r="H6" t="s">
        <v>2833</v>
      </c>
      <c r="I6" t="s">
        <v>2833</v>
      </c>
      <c r="J6" t="s">
        <v>2833</v>
      </c>
      <c r="K6" t="s">
        <v>2834</v>
      </c>
      <c r="L6" t="s">
        <v>144</v>
      </c>
      <c r="M6" t="s">
        <v>172</v>
      </c>
      <c r="N6" t="s">
        <v>216</v>
      </c>
      <c r="O6">
        <v>24</v>
      </c>
    </row>
    <row r="7" spans="1:15" customFormat="1">
      <c r="A7" t="s">
        <v>23</v>
      </c>
      <c r="B7" t="s">
        <v>24</v>
      </c>
      <c r="C7" t="s">
        <v>140</v>
      </c>
      <c r="D7" t="s">
        <v>25</v>
      </c>
      <c r="E7" t="s">
        <v>327</v>
      </c>
      <c r="F7" t="s">
        <v>159</v>
      </c>
      <c r="G7" t="s">
        <v>181</v>
      </c>
      <c r="H7" t="s">
        <v>2831</v>
      </c>
      <c r="I7" t="s">
        <v>2831</v>
      </c>
      <c r="J7" t="s">
        <v>2829</v>
      </c>
      <c r="K7" t="s">
        <v>2832</v>
      </c>
      <c r="L7" t="s">
        <v>144</v>
      </c>
      <c r="M7" t="s">
        <v>172</v>
      </c>
      <c r="N7" t="s">
        <v>216</v>
      </c>
      <c r="O7">
        <v>18</v>
      </c>
    </row>
    <row r="8" spans="1:15" customFormat="1">
      <c r="A8" t="s">
        <v>23</v>
      </c>
      <c r="B8" t="s">
        <v>24</v>
      </c>
      <c r="C8" t="s">
        <v>140</v>
      </c>
      <c r="D8" t="s">
        <v>25</v>
      </c>
      <c r="E8" t="s">
        <v>328</v>
      </c>
      <c r="F8" t="s">
        <v>159</v>
      </c>
      <c r="G8" t="s">
        <v>181</v>
      </c>
      <c r="H8" t="s">
        <v>2829</v>
      </c>
      <c r="I8" t="s">
        <v>2829</v>
      </c>
      <c r="J8" t="s">
        <v>2829</v>
      </c>
      <c r="K8" t="s">
        <v>2834</v>
      </c>
      <c r="L8" t="s">
        <v>144</v>
      </c>
      <c r="M8" t="s">
        <v>172</v>
      </c>
      <c r="N8" t="s">
        <v>216</v>
      </c>
      <c r="O8">
        <v>38</v>
      </c>
    </row>
    <row r="9" spans="1:15" customFormat="1">
      <c r="A9" t="s">
        <v>23</v>
      </c>
      <c r="B9" t="s">
        <v>24</v>
      </c>
      <c r="C9" t="s">
        <v>140</v>
      </c>
      <c r="D9" t="s">
        <v>25</v>
      </c>
      <c r="E9" t="s">
        <v>329</v>
      </c>
      <c r="F9" t="s">
        <v>159</v>
      </c>
      <c r="G9" t="s">
        <v>181</v>
      </c>
      <c r="H9" t="s">
        <v>2829</v>
      </c>
      <c r="I9" t="s">
        <v>2829</v>
      </c>
      <c r="J9" t="s">
        <v>2829</v>
      </c>
      <c r="K9" t="s">
        <v>2834</v>
      </c>
      <c r="L9" t="s">
        <v>144</v>
      </c>
      <c r="M9" t="s">
        <v>172</v>
      </c>
      <c r="N9" t="s">
        <v>216</v>
      </c>
      <c r="O9">
        <v>15</v>
      </c>
    </row>
    <row r="10" spans="1:15" customFormat="1">
      <c r="A10" t="s">
        <v>23</v>
      </c>
      <c r="B10" t="s">
        <v>24</v>
      </c>
      <c r="C10" t="s">
        <v>140</v>
      </c>
      <c r="D10" t="s">
        <v>25</v>
      </c>
      <c r="E10" t="s">
        <v>382</v>
      </c>
      <c r="F10" t="s">
        <v>159</v>
      </c>
      <c r="G10" t="s">
        <v>181</v>
      </c>
      <c r="H10" t="s">
        <v>2829</v>
      </c>
      <c r="I10" t="s">
        <v>2829</v>
      </c>
      <c r="J10" t="s">
        <v>2829</v>
      </c>
      <c r="K10" t="s">
        <v>2834</v>
      </c>
      <c r="L10" t="s">
        <v>144</v>
      </c>
      <c r="M10" t="s">
        <v>172</v>
      </c>
      <c r="N10" t="s">
        <v>216</v>
      </c>
      <c r="O10">
        <v>11</v>
      </c>
    </row>
    <row r="11" spans="1:15" customFormat="1">
      <c r="A11" t="s">
        <v>23</v>
      </c>
      <c r="B11" t="s">
        <v>24</v>
      </c>
      <c r="C11" t="s">
        <v>140</v>
      </c>
      <c r="D11" t="s">
        <v>25</v>
      </c>
      <c r="E11" t="s">
        <v>267</v>
      </c>
      <c r="F11" t="s">
        <v>159</v>
      </c>
      <c r="G11" t="s">
        <v>181</v>
      </c>
      <c r="H11" t="s">
        <v>2831</v>
      </c>
      <c r="I11" t="s">
        <v>2831</v>
      </c>
      <c r="J11" t="s">
        <v>2831</v>
      </c>
      <c r="K11" t="s">
        <v>2832</v>
      </c>
      <c r="L11" t="s">
        <v>144</v>
      </c>
      <c r="M11" t="s">
        <v>172</v>
      </c>
      <c r="N11" t="s">
        <v>216</v>
      </c>
      <c r="O11">
        <v>42</v>
      </c>
    </row>
    <row r="12" spans="1:15" customFormat="1">
      <c r="A12" t="s">
        <v>23</v>
      </c>
      <c r="B12" t="s">
        <v>24</v>
      </c>
      <c r="C12" t="s">
        <v>140</v>
      </c>
      <c r="D12" t="s">
        <v>25</v>
      </c>
      <c r="E12" t="s">
        <v>268</v>
      </c>
      <c r="F12" t="s">
        <v>159</v>
      </c>
      <c r="G12" t="s">
        <v>181</v>
      </c>
      <c r="H12" t="s">
        <v>2831</v>
      </c>
      <c r="I12" t="s">
        <v>2831</v>
      </c>
      <c r="J12" t="s">
        <v>2831</v>
      </c>
      <c r="K12" t="s">
        <v>2832</v>
      </c>
      <c r="L12" t="s">
        <v>144</v>
      </c>
      <c r="M12" t="s">
        <v>172</v>
      </c>
      <c r="N12" t="s">
        <v>216</v>
      </c>
      <c r="O12">
        <v>23</v>
      </c>
    </row>
    <row r="13" spans="1:15" customFormat="1">
      <c r="A13" t="s">
        <v>23</v>
      </c>
      <c r="B13" t="s">
        <v>24</v>
      </c>
      <c r="C13" t="s">
        <v>140</v>
      </c>
      <c r="D13" t="s">
        <v>25</v>
      </c>
      <c r="E13" t="s">
        <v>269</v>
      </c>
      <c r="F13" t="s">
        <v>159</v>
      </c>
      <c r="G13" t="s">
        <v>181</v>
      </c>
      <c r="H13" t="s">
        <v>2831</v>
      </c>
      <c r="I13" t="s">
        <v>2831</v>
      </c>
      <c r="J13" t="s">
        <v>2831</v>
      </c>
      <c r="K13" t="s">
        <v>2832</v>
      </c>
      <c r="L13" t="s">
        <v>144</v>
      </c>
      <c r="M13" t="s">
        <v>172</v>
      </c>
      <c r="N13" t="s">
        <v>216</v>
      </c>
      <c r="O13">
        <v>41</v>
      </c>
    </row>
    <row r="14" spans="1:15" customFormat="1">
      <c r="A14" t="s">
        <v>23</v>
      </c>
      <c r="B14" t="s">
        <v>24</v>
      </c>
      <c r="C14" t="s">
        <v>140</v>
      </c>
      <c r="D14" t="s">
        <v>25</v>
      </c>
      <c r="E14" t="s">
        <v>318</v>
      </c>
      <c r="F14" t="s">
        <v>159</v>
      </c>
      <c r="G14" t="s">
        <v>181</v>
      </c>
      <c r="H14" t="s">
        <v>2831</v>
      </c>
      <c r="I14" t="s">
        <v>2831</v>
      </c>
      <c r="J14" t="s">
        <v>2829</v>
      </c>
      <c r="K14" t="s">
        <v>2832</v>
      </c>
      <c r="L14" t="s">
        <v>144</v>
      </c>
      <c r="M14" t="s">
        <v>172</v>
      </c>
      <c r="N14" t="s">
        <v>216</v>
      </c>
      <c r="O14">
        <v>33</v>
      </c>
    </row>
    <row r="15" spans="1:15" customFormat="1">
      <c r="A15" t="s">
        <v>23</v>
      </c>
      <c r="B15" t="s">
        <v>24</v>
      </c>
      <c r="C15" t="s">
        <v>140</v>
      </c>
      <c r="D15" t="s">
        <v>25</v>
      </c>
      <c r="E15" t="s">
        <v>429</v>
      </c>
      <c r="F15" t="s">
        <v>159</v>
      </c>
      <c r="G15" t="s">
        <v>181</v>
      </c>
      <c r="H15" t="s">
        <v>2833</v>
      </c>
      <c r="I15" t="s">
        <v>2833</v>
      </c>
      <c r="J15" t="s">
        <v>2833</v>
      </c>
      <c r="K15" t="s">
        <v>2834</v>
      </c>
      <c r="L15" t="s">
        <v>144</v>
      </c>
      <c r="M15" t="s">
        <v>172</v>
      </c>
      <c r="N15" t="s">
        <v>216</v>
      </c>
      <c r="O15">
        <v>43</v>
      </c>
    </row>
    <row r="16" spans="1:15" customFormat="1">
      <c r="A16" t="s">
        <v>23</v>
      </c>
      <c r="B16" t="s">
        <v>24</v>
      </c>
      <c r="C16" t="s">
        <v>140</v>
      </c>
      <c r="D16" t="s">
        <v>25</v>
      </c>
      <c r="E16" t="s">
        <v>196</v>
      </c>
      <c r="F16" t="s">
        <v>159</v>
      </c>
      <c r="G16" t="s">
        <v>181</v>
      </c>
      <c r="H16" t="s">
        <v>2830</v>
      </c>
      <c r="I16" t="s">
        <v>2830</v>
      </c>
      <c r="J16" t="s">
        <v>2830</v>
      </c>
      <c r="K16" t="s">
        <v>2832</v>
      </c>
      <c r="L16" t="s">
        <v>144</v>
      </c>
      <c r="M16" t="s">
        <v>172</v>
      </c>
      <c r="N16" t="s">
        <v>216</v>
      </c>
      <c r="O16">
        <v>9</v>
      </c>
    </row>
    <row r="17" spans="1:15" customFormat="1">
      <c r="A17" t="s">
        <v>23</v>
      </c>
      <c r="B17" t="s">
        <v>24</v>
      </c>
      <c r="C17" t="s">
        <v>140</v>
      </c>
      <c r="D17" t="s">
        <v>25</v>
      </c>
      <c r="E17" t="s">
        <v>430</v>
      </c>
      <c r="F17" t="s">
        <v>159</v>
      </c>
      <c r="G17" t="s">
        <v>181</v>
      </c>
      <c r="H17" t="s">
        <v>2833</v>
      </c>
      <c r="I17" t="s">
        <v>2833</v>
      </c>
      <c r="J17" t="s">
        <v>2833</v>
      </c>
      <c r="K17" t="s">
        <v>2834</v>
      </c>
      <c r="L17" t="s">
        <v>144</v>
      </c>
      <c r="M17" t="s">
        <v>172</v>
      </c>
      <c r="N17" t="s">
        <v>389</v>
      </c>
      <c r="O17">
        <v>714</v>
      </c>
    </row>
    <row r="18" spans="1:15" customFormat="1">
      <c r="A18" t="s">
        <v>23</v>
      </c>
      <c r="B18" t="s">
        <v>24</v>
      </c>
      <c r="C18" t="s">
        <v>140</v>
      </c>
      <c r="D18" t="s">
        <v>25</v>
      </c>
      <c r="E18" t="s">
        <v>431</v>
      </c>
      <c r="F18" t="s">
        <v>159</v>
      </c>
      <c r="G18" t="s">
        <v>181</v>
      </c>
      <c r="H18" t="s">
        <v>2833</v>
      </c>
      <c r="I18" t="s">
        <v>2833</v>
      </c>
      <c r="J18" t="s">
        <v>2833</v>
      </c>
      <c r="K18" t="s">
        <v>2834</v>
      </c>
      <c r="L18" t="s">
        <v>144</v>
      </c>
      <c r="M18" t="s">
        <v>172</v>
      </c>
      <c r="N18" t="s">
        <v>389</v>
      </c>
      <c r="O18">
        <v>750</v>
      </c>
    </row>
    <row r="19" spans="1:15" customFormat="1">
      <c r="A19" t="s">
        <v>23</v>
      </c>
      <c r="B19" t="s">
        <v>24</v>
      </c>
      <c r="C19" t="s">
        <v>140</v>
      </c>
      <c r="D19" t="s">
        <v>25</v>
      </c>
      <c r="E19" t="s">
        <v>473</v>
      </c>
      <c r="F19" t="s">
        <v>159</v>
      </c>
      <c r="G19" t="s">
        <v>181</v>
      </c>
      <c r="H19" t="s">
        <v>2833</v>
      </c>
      <c r="I19" t="s">
        <v>2833</v>
      </c>
      <c r="J19" t="s">
        <v>2833</v>
      </c>
      <c r="K19" t="s">
        <v>2834</v>
      </c>
      <c r="L19" t="s">
        <v>144</v>
      </c>
      <c r="M19" t="s">
        <v>172</v>
      </c>
      <c r="N19" t="s">
        <v>195</v>
      </c>
      <c r="O19">
        <v>668</v>
      </c>
    </row>
    <row r="20" spans="1:15" customFormat="1">
      <c r="A20" t="s">
        <v>23</v>
      </c>
      <c r="B20" t="s">
        <v>24</v>
      </c>
      <c r="C20" t="s">
        <v>140</v>
      </c>
      <c r="D20" t="s">
        <v>25</v>
      </c>
      <c r="E20" t="s">
        <v>483</v>
      </c>
      <c r="F20" t="s">
        <v>159</v>
      </c>
      <c r="G20" t="s">
        <v>181</v>
      </c>
      <c r="H20" t="s">
        <v>2833</v>
      </c>
      <c r="I20" t="s">
        <v>2833</v>
      </c>
      <c r="J20" t="s">
        <v>2833</v>
      </c>
      <c r="K20" t="s">
        <v>2834</v>
      </c>
      <c r="L20" t="s">
        <v>144</v>
      </c>
      <c r="M20" t="s">
        <v>172</v>
      </c>
      <c r="N20" t="s">
        <v>195</v>
      </c>
      <c r="O20">
        <v>318</v>
      </c>
    </row>
    <row r="21" spans="1:15" customFormat="1" hidden="1">
      <c r="A21" t="s">
        <v>23</v>
      </c>
      <c r="B21" t="s">
        <v>24</v>
      </c>
      <c r="C21" t="s">
        <v>140</v>
      </c>
      <c r="D21" t="s">
        <v>26</v>
      </c>
      <c r="E21" t="s">
        <v>220</v>
      </c>
      <c r="F21" t="s">
        <v>160</v>
      </c>
      <c r="G21" t="s">
        <v>181</v>
      </c>
      <c r="H21" t="s">
        <v>2830</v>
      </c>
      <c r="I21" t="s">
        <v>2830</v>
      </c>
      <c r="J21" t="s">
        <v>2831</v>
      </c>
      <c r="K21" t="s">
        <v>2832</v>
      </c>
      <c r="L21" t="s">
        <v>144</v>
      </c>
      <c r="M21" t="s">
        <v>172</v>
      </c>
      <c r="N21" t="s">
        <v>255</v>
      </c>
      <c r="O21">
        <v>17</v>
      </c>
    </row>
    <row r="22" spans="1:15" customFormat="1" hidden="1">
      <c r="A22" t="s">
        <v>23</v>
      </c>
      <c r="B22" t="s">
        <v>24</v>
      </c>
      <c r="C22" t="s">
        <v>140</v>
      </c>
      <c r="D22" t="s">
        <v>26</v>
      </c>
      <c r="E22" t="s">
        <v>385</v>
      </c>
      <c r="F22" t="s">
        <v>160</v>
      </c>
      <c r="G22" t="s">
        <v>181</v>
      </c>
      <c r="H22" t="s">
        <v>2829</v>
      </c>
      <c r="I22" t="s">
        <v>2829</v>
      </c>
      <c r="J22" t="s">
        <v>2833</v>
      </c>
      <c r="K22" t="s">
        <v>2834</v>
      </c>
      <c r="L22" t="s">
        <v>144</v>
      </c>
      <c r="M22" t="s">
        <v>172</v>
      </c>
      <c r="N22" t="s">
        <v>388</v>
      </c>
      <c r="O22">
        <v>15</v>
      </c>
    </row>
    <row r="23" spans="1:15" customFormat="1" hidden="1">
      <c r="A23" t="s">
        <v>23</v>
      </c>
      <c r="B23" t="s">
        <v>24</v>
      </c>
      <c r="C23" t="s">
        <v>140</v>
      </c>
      <c r="D23" t="s">
        <v>26</v>
      </c>
      <c r="E23" t="s">
        <v>241</v>
      </c>
      <c r="F23" t="s">
        <v>160</v>
      </c>
      <c r="G23" t="s">
        <v>181</v>
      </c>
      <c r="H23" t="s">
        <v>2830</v>
      </c>
      <c r="I23" t="s">
        <v>2830</v>
      </c>
      <c r="J23" t="s">
        <v>2831</v>
      </c>
      <c r="K23" t="s">
        <v>2834</v>
      </c>
      <c r="L23" t="s">
        <v>144</v>
      </c>
      <c r="M23" t="s">
        <v>172</v>
      </c>
      <c r="N23" t="s">
        <v>390</v>
      </c>
      <c r="O23">
        <v>17</v>
      </c>
    </row>
    <row r="24" spans="1:15" customFormat="1" hidden="1">
      <c r="A24" t="s">
        <v>23</v>
      </c>
      <c r="B24" t="s">
        <v>24</v>
      </c>
      <c r="C24" t="s">
        <v>140</v>
      </c>
      <c r="D24" t="s">
        <v>26</v>
      </c>
      <c r="E24" t="s">
        <v>489</v>
      </c>
      <c r="F24" t="s">
        <v>160</v>
      </c>
      <c r="G24" t="s">
        <v>181</v>
      </c>
      <c r="H24" t="s">
        <v>2833</v>
      </c>
      <c r="I24" t="s">
        <v>2833</v>
      </c>
      <c r="J24" t="s">
        <v>2832</v>
      </c>
      <c r="K24" t="s">
        <v>2834</v>
      </c>
      <c r="L24" t="s">
        <v>144</v>
      </c>
      <c r="M24" t="s">
        <v>172</v>
      </c>
      <c r="N24" t="s">
        <v>922</v>
      </c>
      <c r="O24">
        <v>3</v>
      </c>
    </row>
    <row r="25" spans="1:15" customFormat="1" hidden="1">
      <c r="A25" t="s">
        <v>23</v>
      </c>
      <c r="B25" t="s">
        <v>24</v>
      </c>
      <c r="C25" t="s">
        <v>140</v>
      </c>
      <c r="D25" t="s">
        <v>26</v>
      </c>
      <c r="E25" t="s">
        <v>198</v>
      </c>
      <c r="F25" t="s">
        <v>160</v>
      </c>
      <c r="G25" t="s">
        <v>181</v>
      </c>
      <c r="H25" t="s">
        <v>2830</v>
      </c>
      <c r="I25" t="s">
        <v>2830</v>
      </c>
      <c r="J25" t="s">
        <v>2831</v>
      </c>
      <c r="K25" t="s">
        <v>2832</v>
      </c>
      <c r="L25" t="s">
        <v>144</v>
      </c>
      <c r="M25" t="s">
        <v>172</v>
      </c>
      <c r="N25" t="s">
        <v>270</v>
      </c>
      <c r="O25">
        <v>14</v>
      </c>
    </row>
    <row r="26" spans="1:15" customFormat="1" hidden="1">
      <c r="A26" t="s">
        <v>23</v>
      </c>
      <c r="B26" t="s">
        <v>24</v>
      </c>
      <c r="C26" t="s">
        <v>140</v>
      </c>
      <c r="D26" t="s">
        <v>26</v>
      </c>
      <c r="E26" t="s">
        <v>407</v>
      </c>
      <c r="F26" t="s">
        <v>160</v>
      </c>
      <c r="G26" t="s">
        <v>181</v>
      </c>
      <c r="H26" t="s">
        <v>2829</v>
      </c>
      <c r="I26" t="s">
        <v>2829</v>
      </c>
      <c r="J26" t="s">
        <v>2833</v>
      </c>
      <c r="K26" t="s">
        <v>2834</v>
      </c>
      <c r="L26" t="s">
        <v>144</v>
      </c>
      <c r="M26" t="s">
        <v>172</v>
      </c>
      <c r="N26" t="s">
        <v>409</v>
      </c>
      <c r="O26">
        <v>11</v>
      </c>
    </row>
    <row r="27" spans="1:15" customFormat="1" hidden="1">
      <c r="A27" t="s">
        <v>23</v>
      </c>
      <c r="B27" t="s">
        <v>24</v>
      </c>
      <c r="C27" t="s">
        <v>140</v>
      </c>
      <c r="D27" t="s">
        <v>26</v>
      </c>
      <c r="E27" t="s">
        <v>427</v>
      </c>
      <c r="F27" t="s">
        <v>160</v>
      </c>
      <c r="G27" t="s">
        <v>181</v>
      </c>
      <c r="H27" t="s">
        <v>2833</v>
      </c>
      <c r="I27" t="s">
        <v>2833</v>
      </c>
      <c r="J27" t="s">
        <v>2833</v>
      </c>
      <c r="K27" t="s">
        <v>2834</v>
      </c>
      <c r="L27" t="s">
        <v>144</v>
      </c>
      <c r="M27" t="s">
        <v>172</v>
      </c>
      <c r="N27" t="s">
        <v>409</v>
      </c>
      <c r="O27">
        <v>5</v>
      </c>
    </row>
    <row r="28" spans="1:15" customFormat="1" hidden="1">
      <c r="A28" t="s">
        <v>23</v>
      </c>
      <c r="B28" t="s">
        <v>24</v>
      </c>
      <c r="C28" t="s">
        <v>140</v>
      </c>
      <c r="D28" t="s">
        <v>26</v>
      </c>
      <c r="E28" t="s">
        <v>321</v>
      </c>
      <c r="F28" t="s">
        <v>160</v>
      </c>
      <c r="G28" t="s">
        <v>181</v>
      </c>
      <c r="H28" t="s">
        <v>2831</v>
      </c>
      <c r="I28" t="s">
        <v>2831</v>
      </c>
      <c r="J28" t="s">
        <v>2829</v>
      </c>
      <c r="K28" t="s">
        <v>2832</v>
      </c>
      <c r="L28" t="s">
        <v>144</v>
      </c>
      <c r="M28" t="s">
        <v>172</v>
      </c>
      <c r="N28" t="s">
        <v>191</v>
      </c>
      <c r="O28">
        <v>11</v>
      </c>
    </row>
    <row r="29" spans="1:15" customFormat="1" hidden="1">
      <c r="A29" t="s">
        <v>23</v>
      </c>
      <c r="B29" t="s">
        <v>24</v>
      </c>
      <c r="C29" t="s">
        <v>140</v>
      </c>
      <c r="D29" t="s">
        <v>26</v>
      </c>
      <c r="E29" t="s">
        <v>325</v>
      </c>
      <c r="F29" t="s">
        <v>160</v>
      </c>
      <c r="G29" t="s">
        <v>181</v>
      </c>
      <c r="H29" t="s">
        <v>2829</v>
      </c>
      <c r="I29" t="s">
        <v>2829</v>
      </c>
      <c r="J29" t="s">
        <v>2829</v>
      </c>
      <c r="K29" t="s">
        <v>2834</v>
      </c>
      <c r="L29" t="s">
        <v>144</v>
      </c>
      <c r="M29" t="s">
        <v>172</v>
      </c>
      <c r="N29" t="s">
        <v>191</v>
      </c>
      <c r="O29">
        <v>14</v>
      </c>
    </row>
    <row r="30" spans="1:15" customFormat="1" hidden="1">
      <c r="A30" t="s">
        <v>23</v>
      </c>
      <c r="B30" t="s">
        <v>24</v>
      </c>
      <c r="C30" t="s">
        <v>140</v>
      </c>
      <c r="D30" t="s">
        <v>26</v>
      </c>
      <c r="E30" t="s">
        <v>326</v>
      </c>
      <c r="F30" t="s">
        <v>160</v>
      </c>
      <c r="G30" t="s">
        <v>181</v>
      </c>
      <c r="H30" t="s">
        <v>2829</v>
      </c>
      <c r="I30" t="s">
        <v>2829</v>
      </c>
      <c r="J30" t="s">
        <v>2829</v>
      </c>
      <c r="K30" t="s">
        <v>2834</v>
      </c>
      <c r="L30" t="s">
        <v>144</v>
      </c>
      <c r="M30" t="s">
        <v>172</v>
      </c>
      <c r="N30" t="s">
        <v>388</v>
      </c>
      <c r="O30">
        <v>16</v>
      </c>
    </row>
    <row r="31" spans="1:15" customFormat="1" hidden="1">
      <c r="A31" t="s">
        <v>23</v>
      </c>
      <c r="B31" t="s">
        <v>24</v>
      </c>
      <c r="C31" t="s">
        <v>140</v>
      </c>
      <c r="D31" t="s">
        <v>26</v>
      </c>
      <c r="E31" t="s">
        <v>371</v>
      </c>
      <c r="F31" t="s">
        <v>160</v>
      </c>
      <c r="G31" t="s">
        <v>181</v>
      </c>
      <c r="H31" t="s">
        <v>2829</v>
      </c>
      <c r="I31" t="s">
        <v>2829</v>
      </c>
      <c r="J31" t="s">
        <v>2829</v>
      </c>
      <c r="K31" t="s">
        <v>2834</v>
      </c>
      <c r="L31" t="s">
        <v>144</v>
      </c>
      <c r="M31" t="s">
        <v>172</v>
      </c>
      <c r="N31" t="s">
        <v>390</v>
      </c>
      <c r="O31">
        <v>9</v>
      </c>
    </row>
    <row r="32" spans="1:15" customFormat="1" hidden="1">
      <c r="A32" t="s">
        <v>23</v>
      </c>
      <c r="B32" t="s">
        <v>24</v>
      </c>
      <c r="C32" t="s">
        <v>140</v>
      </c>
      <c r="D32" t="s">
        <v>26</v>
      </c>
      <c r="E32" t="s">
        <v>263</v>
      </c>
      <c r="F32" t="s">
        <v>160</v>
      </c>
      <c r="G32" t="s">
        <v>181</v>
      </c>
      <c r="H32" t="s">
        <v>2831</v>
      </c>
      <c r="I32" t="s">
        <v>2831</v>
      </c>
      <c r="J32" t="s">
        <v>2831</v>
      </c>
      <c r="K32" t="s">
        <v>2832</v>
      </c>
      <c r="L32" t="s">
        <v>144</v>
      </c>
      <c r="M32" t="s">
        <v>172</v>
      </c>
      <c r="N32" t="s">
        <v>271</v>
      </c>
      <c r="O32">
        <v>24</v>
      </c>
    </row>
    <row r="33" spans="1:15" customFormat="1" hidden="1">
      <c r="A33" t="s">
        <v>23</v>
      </c>
      <c r="B33" t="s">
        <v>24</v>
      </c>
      <c r="C33" t="s">
        <v>140</v>
      </c>
      <c r="D33" t="s">
        <v>26</v>
      </c>
      <c r="E33" t="s">
        <v>266</v>
      </c>
      <c r="F33" t="s">
        <v>160</v>
      </c>
      <c r="G33" t="s">
        <v>181</v>
      </c>
      <c r="H33" t="s">
        <v>2831</v>
      </c>
      <c r="I33" t="s">
        <v>2831</v>
      </c>
      <c r="J33" t="s">
        <v>2831</v>
      </c>
      <c r="K33" t="s">
        <v>2832</v>
      </c>
      <c r="L33" t="s">
        <v>144</v>
      </c>
      <c r="M33" t="s">
        <v>172</v>
      </c>
      <c r="N33" t="s">
        <v>298</v>
      </c>
      <c r="O33">
        <v>18</v>
      </c>
    </row>
    <row r="34" spans="1:15" customFormat="1" hidden="1">
      <c r="A34" t="s">
        <v>23</v>
      </c>
      <c r="B34" t="s">
        <v>24</v>
      </c>
      <c r="C34" t="s">
        <v>140</v>
      </c>
      <c r="D34" t="s">
        <v>26</v>
      </c>
      <c r="E34" t="s">
        <v>420</v>
      </c>
      <c r="F34" t="s">
        <v>160</v>
      </c>
      <c r="G34" t="s">
        <v>181</v>
      </c>
      <c r="H34" t="s">
        <v>2829</v>
      </c>
      <c r="I34" t="s">
        <v>2829</v>
      </c>
      <c r="J34" t="s">
        <v>2833</v>
      </c>
      <c r="K34" t="s">
        <v>2834</v>
      </c>
      <c r="L34" t="s">
        <v>144</v>
      </c>
      <c r="M34" t="s">
        <v>172</v>
      </c>
      <c r="N34" t="s">
        <v>296</v>
      </c>
      <c r="O34">
        <v>17</v>
      </c>
    </row>
    <row r="35" spans="1:15" customFormat="1" hidden="1">
      <c r="A35" t="s">
        <v>23</v>
      </c>
      <c r="B35" t="s">
        <v>24</v>
      </c>
      <c r="C35" t="s">
        <v>135</v>
      </c>
      <c r="D35" t="s">
        <v>933</v>
      </c>
      <c r="E35" t="s">
        <v>1905</v>
      </c>
      <c r="F35" t="s">
        <v>35</v>
      </c>
      <c r="G35" t="s">
        <v>1131</v>
      </c>
      <c r="H35" t="s">
        <v>1758</v>
      </c>
      <c r="I35" t="s">
        <v>2835</v>
      </c>
      <c r="J35" t="s">
        <v>1759</v>
      </c>
      <c r="K35" t="s">
        <v>2836</v>
      </c>
      <c r="L35" t="s">
        <v>137</v>
      </c>
      <c r="O35">
        <v>29727</v>
      </c>
    </row>
    <row r="36" spans="1:15" customFormat="1" hidden="1">
      <c r="A36" t="s">
        <v>23</v>
      </c>
      <c r="B36" t="s">
        <v>24</v>
      </c>
      <c r="C36" t="s">
        <v>135</v>
      </c>
      <c r="D36" t="s">
        <v>933</v>
      </c>
      <c r="E36" t="s">
        <v>1905</v>
      </c>
      <c r="F36" t="s">
        <v>35</v>
      </c>
      <c r="G36" t="s">
        <v>1131</v>
      </c>
      <c r="H36" t="s">
        <v>1759</v>
      </c>
      <c r="I36" t="s">
        <v>2835</v>
      </c>
      <c r="J36" t="s">
        <v>2228</v>
      </c>
      <c r="K36" t="s">
        <v>2836</v>
      </c>
      <c r="L36" t="s">
        <v>144</v>
      </c>
      <c r="O36">
        <v>2400</v>
      </c>
    </row>
    <row r="37" spans="1:15" customFormat="1" hidden="1">
      <c r="A37" t="s">
        <v>23</v>
      </c>
      <c r="B37" t="s">
        <v>24</v>
      </c>
      <c r="C37" t="s">
        <v>135</v>
      </c>
      <c r="D37" t="s">
        <v>933</v>
      </c>
      <c r="E37" t="s">
        <v>1905</v>
      </c>
      <c r="F37" t="s">
        <v>35</v>
      </c>
      <c r="G37" t="s">
        <v>1131</v>
      </c>
      <c r="H37" t="s">
        <v>1759</v>
      </c>
      <c r="I37" t="s">
        <v>2835</v>
      </c>
      <c r="J37" t="s">
        <v>2228</v>
      </c>
      <c r="K37" t="s">
        <v>2836</v>
      </c>
      <c r="L37" t="s">
        <v>137</v>
      </c>
      <c r="O37">
        <v>43158</v>
      </c>
    </row>
    <row r="38" spans="1:15" customFormat="1" hidden="1">
      <c r="A38" t="s">
        <v>23</v>
      </c>
      <c r="B38" t="s">
        <v>24</v>
      </c>
      <c r="C38" t="s">
        <v>135</v>
      </c>
      <c r="D38" t="s">
        <v>933</v>
      </c>
      <c r="E38" t="s">
        <v>1905</v>
      </c>
      <c r="F38" t="s">
        <v>35</v>
      </c>
      <c r="G38" t="s">
        <v>1131</v>
      </c>
      <c r="H38" t="s">
        <v>2228</v>
      </c>
      <c r="I38" t="s">
        <v>2835</v>
      </c>
      <c r="J38" t="s">
        <v>2828</v>
      </c>
      <c r="K38" t="s">
        <v>2836</v>
      </c>
      <c r="L38" t="s">
        <v>137</v>
      </c>
      <c r="O38">
        <v>46667</v>
      </c>
    </row>
    <row r="39" spans="1:15" customFormat="1" hidden="1">
      <c r="A39" t="s">
        <v>23</v>
      </c>
      <c r="B39" t="s">
        <v>24</v>
      </c>
      <c r="C39" t="s">
        <v>135</v>
      </c>
      <c r="D39" t="s">
        <v>933</v>
      </c>
      <c r="E39" t="s">
        <v>1905</v>
      </c>
      <c r="F39" t="s">
        <v>35</v>
      </c>
      <c r="G39" t="s">
        <v>1131</v>
      </c>
      <c r="H39" t="s">
        <v>2828</v>
      </c>
      <c r="I39" t="s">
        <v>2835</v>
      </c>
      <c r="J39" t="s">
        <v>2828</v>
      </c>
      <c r="K39" t="s">
        <v>2836</v>
      </c>
      <c r="L39" t="s">
        <v>137</v>
      </c>
      <c r="O39">
        <v>3597</v>
      </c>
    </row>
    <row r="40" spans="1:15" customFormat="1" hidden="1">
      <c r="A40" t="s">
        <v>23</v>
      </c>
      <c r="B40" t="s">
        <v>24</v>
      </c>
      <c r="C40" t="s">
        <v>135</v>
      </c>
      <c r="D40" t="s">
        <v>933</v>
      </c>
      <c r="E40" t="s">
        <v>3006</v>
      </c>
      <c r="F40" t="s">
        <v>35</v>
      </c>
      <c r="G40" t="s">
        <v>1131</v>
      </c>
      <c r="H40" t="s">
        <v>2828</v>
      </c>
      <c r="I40" t="s">
        <v>3291</v>
      </c>
      <c r="J40" t="s">
        <v>2828</v>
      </c>
      <c r="K40" t="s">
        <v>2836</v>
      </c>
      <c r="L40" t="s">
        <v>137</v>
      </c>
      <c r="O40">
        <v>42894</v>
      </c>
    </row>
    <row r="41" spans="1:15" customFormat="1" hidden="1">
      <c r="A41" t="s">
        <v>23</v>
      </c>
      <c r="B41" t="s">
        <v>24</v>
      </c>
      <c r="C41" t="s">
        <v>135</v>
      </c>
      <c r="D41" t="s">
        <v>933</v>
      </c>
      <c r="E41" t="s">
        <v>3006</v>
      </c>
      <c r="F41" t="s">
        <v>35</v>
      </c>
      <c r="G41" t="s">
        <v>1131</v>
      </c>
      <c r="H41" t="s">
        <v>2828</v>
      </c>
      <c r="I41" t="s">
        <v>3291</v>
      </c>
      <c r="J41" t="s">
        <v>2828</v>
      </c>
      <c r="K41" t="s">
        <v>2836</v>
      </c>
      <c r="L41" t="s">
        <v>144</v>
      </c>
      <c r="O41">
        <v>45982</v>
      </c>
    </row>
    <row r="42" spans="1:15" hidden="1">
      <c r="A42" t="s">
        <v>23</v>
      </c>
      <c r="B42" t="s">
        <v>24</v>
      </c>
      <c r="C42" t="s">
        <v>135</v>
      </c>
      <c r="D42" t="s">
        <v>933</v>
      </c>
      <c r="E42" t="s">
        <v>930</v>
      </c>
      <c r="F42" t="s">
        <v>35</v>
      </c>
      <c r="G42" t="s">
        <v>1131</v>
      </c>
      <c r="H42" t="s">
        <v>1758</v>
      </c>
      <c r="I42" t="s">
        <v>2837</v>
      </c>
      <c r="J42" t="s">
        <v>1759</v>
      </c>
      <c r="K42" t="s">
        <v>2836</v>
      </c>
      <c r="L42" t="s">
        <v>137</v>
      </c>
      <c r="M42"/>
      <c r="N42"/>
      <c r="O42">
        <v>23384</v>
      </c>
    </row>
    <row r="43" spans="1:15" hidden="1">
      <c r="A43" t="s">
        <v>23</v>
      </c>
      <c r="B43" t="s">
        <v>24</v>
      </c>
      <c r="C43" t="s">
        <v>135</v>
      </c>
      <c r="D43" t="s">
        <v>933</v>
      </c>
      <c r="E43" t="s">
        <v>930</v>
      </c>
      <c r="F43" t="s">
        <v>35</v>
      </c>
      <c r="G43" t="s">
        <v>1131</v>
      </c>
      <c r="H43" t="s">
        <v>1758</v>
      </c>
      <c r="I43" t="s">
        <v>2837</v>
      </c>
      <c r="J43" t="s">
        <v>1759</v>
      </c>
      <c r="K43" t="s">
        <v>2836</v>
      </c>
      <c r="L43" t="s">
        <v>137</v>
      </c>
      <c r="M43"/>
      <c r="N43"/>
      <c r="O43">
        <v>40468</v>
      </c>
    </row>
  </sheetData>
  <autoFilter ref="A1:O43" xr:uid="{3B04A5C6-5F34-4B30-B69A-B95B1369C147}">
    <filterColumn colId="3">
      <filters>
        <filter val="PAS - Produto Acabado em Sacos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51"/>
  <sheetViews>
    <sheetView workbookViewId="0">
      <pane ySplit="1" topLeftCell="A1236" activePane="bottomLeft" state="frozen"/>
      <selection pane="bottomLeft" activeCell="E1244" sqref="E1244"/>
    </sheetView>
  </sheetViews>
  <sheetFormatPr defaultRowHeight="15.75"/>
  <cols>
    <col min="1" max="1" width="16.25" style="41" bestFit="1" customWidth="1"/>
    <col min="2" max="2" width="10.75" style="41" bestFit="1" customWidth="1"/>
    <col min="3" max="3" width="37.875" style="41" bestFit="1" customWidth="1"/>
    <col min="4" max="5" width="19" style="41" bestFit="1" customWidth="1"/>
    <col min="6" max="6" width="13.625" style="41" customWidth="1"/>
    <col min="7" max="7" width="9.25" style="41" customWidth="1"/>
    <col min="8" max="8" width="11.375" style="41" customWidth="1"/>
    <col min="9" max="9" width="34.25" style="41" customWidth="1"/>
    <col min="10" max="10" width="28.375" style="41" customWidth="1"/>
    <col min="11" max="11" width="22.125" style="41" customWidth="1"/>
    <col min="12" max="12" width="32.625" style="41" customWidth="1"/>
    <col min="13" max="13" width="13.125" style="41" customWidth="1"/>
    <col min="14" max="14" width="10.625" style="41" bestFit="1" customWidth="1"/>
    <col min="15" max="15" width="15" style="41" bestFit="1" customWidth="1"/>
    <col min="16" max="16" width="19.125" style="41" bestFit="1" customWidth="1"/>
    <col min="17" max="17" width="12.5" style="41" customWidth="1"/>
    <col min="18" max="18" width="12.75" style="41" customWidth="1"/>
    <col min="19" max="19" width="19.75" style="41" customWidth="1"/>
    <col min="20" max="20" width="19.125" style="41" customWidth="1"/>
    <col min="21" max="21" width="19.625" style="41" bestFit="1" customWidth="1"/>
    <col min="22" max="22" width="21.875" style="41" bestFit="1" customWidth="1"/>
    <col min="23" max="23" width="27.125" style="41" bestFit="1" customWidth="1"/>
    <col min="24" max="24" width="22.75" style="41" bestFit="1" customWidth="1"/>
    <col min="25" max="25" width="22.125" style="41" bestFit="1" customWidth="1"/>
    <col min="26" max="26" width="17.375" style="41" bestFit="1" customWidth="1"/>
    <col min="27" max="27" width="20" style="41" bestFit="1" customWidth="1"/>
    <col min="28" max="28" width="18.125" style="41" bestFit="1" customWidth="1"/>
    <col min="29" max="29" width="20.875" style="41" bestFit="1" customWidth="1"/>
    <col min="30" max="30" width="24.5" style="41" bestFit="1" customWidth="1"/>
    <col min="31" max="31" width="8.125" style="41" bestFit="1" customWidth="1"/>
    <col min="32" max="32" width="56.875" style="41" bestFit="1" customWidth="1"/>
    <col min="33" max="33" width="34.25" style="41" bestFit="1" customWidth="1"/>
    <col min="34" max="34" width="25.125" style="41" bestFit="1" customWidth="1"/>
    <col min="35" max="35" width="18.125" style="41" bestFit="1" customWidth="1"/>
    <col min="36" max="36" width="17.25" style="41" bestFit="1" customWidth="1"/>
    <col min="37" max="16384" width="9" style="41"/>
  </cols>
  <sheetData>
    <row r="1" spans="1:37" s="40" customFormat="1">
      <c r="A1" s="40" t="s">
        <v>0</v>
      </c>
      <c r="B1" s="40" t="s">
        <v>1</v>
      </c>
      <c r="C1" s="40" t="s">
        <v>5</v>
      </c>
      <c r="D1" s="40" t="s">
        <v>36</v>
      </c>
      <c r="E1" s="40" t="s">
        <v>37</v>
      </c>
      <c r="F1" s="40" t="s">
        <v>8</v>
      </c>
      <c r="G1" s="40" t="s">
        <v>38</v>
      </c>
      <c r="H1" s="40" t="s">
        <v>7</v>
      </c>
      <c r="I1" s="40" t="s">
        <v>39</v>
      </c>
      <c r="J1" s="40" t="s">
        <v>28</v>
      </c>
      <c r="K1" s="40" t="s">
        <v>40</v>
      </c>
      <c r="L1" s="40" t="s">
        <v>41</v>
      </c>
      <c r="M1" s="40" t="s">
        <v>31</v>
      </c>
      <c r="N1" s="40" t="s">
        <v>42</v>
      </c>
      <c r="O1" s="40" t="s">
        <v>43</v>
      </c>
      <c r="P1" s="40" t="s">
        <v>44</v>
      </c>
      <c r="Q1" s="40" t="s">
        <v>45</v>
      </c>
      <c r="R1" s="40" t="s">
        <v>46</v>
      </c>
      <c r="S1" s="40" t="s">
        <v>47</v>
      </c>
      <c r="T1" s="40" t="s">
        <v>48</v>
      </c>
      <c r="U1" s="40" t="s">
        <v>49</v>
      </c>
      <c r="V1" s="40" t="s">
        <v>50</v>
      </c>
      <c r="W1" s="40" t="s">
        <v>51</v>
      </c>
      <c r="X1" s="40" t="s">
        <v>52</v>
      </c>
      <c r="Y1" s="40" t="s">
        <v>53</v>
      </c>
      <c r="Z1" s="40" t="s">
        <v>54</v>
      </c>
      <c r="AA1" s="40" t="s">
        <v>55</v>
      </c>
      <c r="AB1" s="40" t="s">
        <v>56</v>
      </c>
      <c r="AC1" s="40" t="s">
        <v>180</v>
      </c>
      <c r="AD1" s="40" t="s">
        <v>57</v>
      </c>
      <c r="AE1" s="40" t="s">
        <v>58</v>
      </c>
      <c r="AF1" s="40" t="s">
        <v>59</v>
      </c>
      <c r="AG1" s="40" t="s">
        <v>60</v>
      </c>
      <c r="AH1" s="40" t="s">
        <v>61</v>
      </c>
      <c r="AI1" s="40" t="s">
        <v>62</v>
      </c>
      <c r="AJ1" s="40" t="s">
        <v>63</v>
      </c>
      <c r="AK1" s="40" t="s">
        <v>64</v>
      </c>
    </row>
    <row r="2" spans="1:37" customFormat="1">
      <c r="A2" t="s">
        <v>23</v>
      </c>
      <c r="B2" t="s">
        <v>24</v>
      </c>
      <c r="C2" t="s">
        <v>190</v>
      </c>
      <c r="D2" t="s">
        <v>140</v>
      </c>
      <c r="E2" t="s">
        <v>192</v>
      </c>
      <c r="F2" t="s">
        <v>141</v>
      </c>
      <c r="G2" t="s">
        <v>136</v>
      </c>
      <c r="H2" t="s">
        <v>142</v>
      </c>
      <c r="I2" t="s">
        <v>71</v>
      </c>
      <c r="J2" t="s">
        <v>72</v>
      </c>
      <c r="K2" t="s">
        <v>65</v>
      </c>
      <c r="L2" t="s">
        <v>158</v>
      </c>
      <c r="M2" t="s">
        <v>154</v>
      </c>
      <c r="N2" t="s">
        <v>193</v>
      </c>
      <c r="O2">
        <v>0</v>
      </c>
      <c r="P2" t="s">
        <v>35</v>
      </c>
      <c r="R2">
        <v>3</v>
      </c>
      <c r="S2">
        <v>0</v>
      </c>
      <c r="T2" t="s">
        <v>493</v>
      </c>
      <c r="U2" t="s">
        <v>493</v>
      </c>
      <c r="V2" t="s">
        <v>27</v>
      </c>
      <c r="W2" t="s">
        <v>66</v>
      </c>
      <c r="X2" t="s">
        <v>67</v>
      </c>
      <c r="Y2" t="s">
        <v>69</v>
      </c>
      <c r="AA2" t="s">
        <v>494</v>
      </c>
      <c r="AC2" t="s">
        <v>139</v>
      </c>
      <c r="AD2" t="s">
        <v>499</v>
      </c>
      <c r="AF2" t="s">
        <v>70</v>
      </c>
      <c r="AG2" t="s">
        <v>71</v>
      </c>
      <c r="AH2" t="s">
        <v>68</v>
      </c>
      <c r="AI2" t="s">
        <v>493</v>
      </c>
    </row>
    <row r="3" spans="1:37" customFormat="1">
      <c r="A3" t="s">
        <v>23</v>
      </c>
      <c r="B3" t="s">
        <v>24</v>
      </c>
      <c r="C3" t="s">
        <v>190</v>
      </c>
      <c r="D3" t="s">
        <v>140</v>
      </c>
      <c r="E3" t="s">
        <v>192</v>
      </c>
      <c r="F3" t="s">
        <v>141</v>
      </c>
      <c r="G3" t="s">
        <v>136</v>
      </c>
      <c r="H3" t="s">
        <v>142</v>
      </c>
      <c r="I3" t="s">
        <v>71</v>
      </c>
      <c r="J3" t="s">
        <v>72</v>
      </c>
      <c r="K3" t="s">
        <v>65</v>
      </c>
      <c r="L3" t="s">
        <v>158</v>
      </c>
      <c r="M3" t="s">
        <v>154</v>
      </c>
      <c r="N3" t="s">
        <v>194</v>
      </c>
      <c r="O3">
        <v>224.4</v>
      </c>
      <c r="P3" t="s">
        <v>35</v>
      </c>
      <c r="R3">
        <v>227.4</v>
      </c>
      <c r="S3">
        <v>224.4</v>
      </c>
      <c r="T3" t="s">
        <v>493</v>
      </c>
      <c r="U3" t="s">
        <v>493</v>
      </c>
      <c r="V3" t="s">
        <v>27</v>
      </c>
      <c r="W3" t="s">
        <v>66</v>
      </c>
      <c r="X3" t="s">
        <v>67</v>
      </c>
      <c r="Y3" t="s">
        <v>69</v>
      </c>
      <c r="AA3" t="s">
        <v>494</v>
      </c>
      <c r="AC3" t="s">
        <v>139</v>
      </c>
      <c r="AD3" t="s">
        <v>500</v>
      </c>
      <c r="AF3" t="s">
        <v>70</v>
      </c>
      <c r="AG3" t="s">
        <v>71</v>
      </c>
      <c r="AH3" t="s">
        <v>68</v>
      </c>
      <c r="AI3" t="s">
        <v>493</v>
      </c>
    </row>
    <row r="4" spans="1:37" customFormat="1">
      <c r="A4" t="s">
        <v>23</v>
      </c>
      <c r="B4" t="s">
        <v>24</v>
      </c>
      <c r="C4" t="s">
        <v>197</v>
      </c>
      <c r="D4" t="s">
        <v>140</v>
      </c>
      <c r="E4" t="s">
        <v>198</v>
      </c>
      <c r="F4" t="s">
        <v>141</v>
      </c>
      <c r="G4" t="s">
        <v>136</v>
      </c>
      <c r="H4" t="s">
        <v>186</v>
      </c>
      <c r="I4" t="s">
        <v>156</v>
      </c>
      <c r="J4" t="s">
        <v>26</v>
      </c>
      <c r="K4" t="s">
        <v>157</v>
      </c>
      <c r="L4" t="s">
        <v>182</v>
      </c>
      <c r="M4" t="s">
        <v>144</v>
      </c>
      <c r="N4" t="s">
        <v>199</v>
      </c>
      <c r="O4">
        <v>1</v>
      </c>
      <c r="P4" t="s">
        <v>160</v>
      </c>
      <c r="R4">
        <v>693.5</v>
      </c>
      <c r="S4">
        <v>687</v>
      </c>
      <c r="T4" t="s">
        <v>172</v>
      </c>
      <c r="U4" t="s">
        <v>270</v>
      </c>
      <c r="V4" t="s">
        <v>27</v>
      </c>
      <c r="W4" t="s">
        <v>66</v>
      </c>
      <c r="X4" t="s">
        <v>67</v>
      </c>
      <c r="Y4" t="s">
        <v>148</v>
      </c>
      <c r="AA4" t="s">
        <v>494</v>
      </c>
      <c r="AC4" t="s">
        <v>139</v>
      </c>
      <c r="AD4" t="s">
        <v>501</v>
      </c>
      <c r="AF4" t="s">
        <v>493</v>
      </c>
      <c r="AG4" t="s">
        <v>156</v>
      </c>
      <c r="AH4" t="s">
        <v>68</v>
      </c>
      <c r="AI4" t="s">
        <v>493</v>
      </c>
      <c r="AK4" t="s">
        <v>502</v>
      </c>
    </row>
    <row r="5" spans="1:37" customFormat="1">
      <c r="A5" t="s">
        <v>23</v>
      </c>
      <c r="B5" t="s">
        <v>24</v>
      </c>
      <c r="C5" t="s">
        <v>197</v>
      </c>
      <c r="D5" t="s">
        <v>140</v>
      </c>
      <c r="E5" t="s">
        <v>198</v>
      </c>
      <c r="F5" t="s">
        <v>141</v>
      </c>
      <c r="G5" t="s">
        <v>136</v>
      </c>
      <c r="H5" t="s">
        <v>186</v>
      </c>
      <c r="I5" t="s">
        <v>156</v>
      </c>
      <c r="J5" t="s">
        <v>26</v>
      </c>
      <c r="K5" t="s">
        <v>157</v>
      </c>
      <c r="L5" t="s">
        <v>182</v>
      </c>
      <c r="M5" t="s">
        <v>144</v>
      </c>
      <c r="N5" t="s">
        <v>200</v>
      </c>
      <c r="O5">
        <v>1</v>
      </c>
      <c r="P5" t="s">
        <v>160</v>
      </c>
      <c r="R5">
        <v>693.5</v>
      </c>
      <c r="S5">
        <v>687</v>
      </c>
      <c r="T5" t="s">
        <v>172</v>
      </c>
      <c r="U5" t="s">
        <v>270</v>
      </c>
      <c r="V5" t="s">
        <v>67</v>
      </c>
      <c r="W5" t="s">
        <v>66</v>
      </c>
      <c r="X5" t="s">
        <v>67</v>
      </c>
      <c r="Y5" t="s">
        <v>148</v>
      </c>
      <c r="AA5" t="s">
        <v>494</v>
      </c>
      <c r="AC5" t="s">
        <v>139</v>
      </c>
      <c r="AD5" t="s">
        <v>503</v>
      </c>
      <c r="AF5" t="s">
        <v>493</v>
      </c>
      <c r="AG5" t="s">
        <v>156</v>
      </c>
      <c r="AH5" t="s">
        <v>68</v>
      </c>
      <c r="AI5" t="s">
        <v>493</v>
      </c>
      <c r="AK5" t="s">
        <v>504</v>
      </c>
    </row>
    <row r="6" spans="1:37" customFormat="1">
      <c r="A6" t="s">
        <v>23</v>
      </c>
      <c r="B6" t="s">
        <v>24</v>
      </c>
      <c r="C6" t="s">
        <v>197</v>
      </c>
      <c r="D6" t="s">
        <v>140</v>
      </c>
      <c r="E6" t="s">
        <v>198</v>
      </c>
      <c r="F6" t="s">
        <v>141</v>
      </c>
      <c r="G6" t="s">
        <v>136</v>
      </c>
      <c r="H6" t="s">
        <v>186</v>
      </c>
      <c r="I6" t="s">
        <v>156</v>
      </c>
      <c r="J6" t="s">
        <v>26</v>
      </c>
      <c r="K6" t="s">
        <v>157</v>
      </c>
      <c r="L6" t="s">
        <v>182</v>
      </c>
      <c r="M6" t="s">
        <v>144</v>
      </c>
      <c r="N6" t="s">
        <v>201</v>
      </c>
      <c r="O6">
        <v>1</v>
      </c>
      <c r="P6" t="s">
        <v>160</v>
      </c>
      <c r="R6">
        <v>693.5</v>
      </c>
      <c r="S6">
        <v>687</v>
      </c>
      <c r="T6" t="s">
        <v>172</v>
      </c>
      <c r="U6" t="s">
        <v>270</v>
      </c>
      <c r="V6" t="s">
        <v>27</v>
      </c>
      <c r="W6" t="s">
        <v>66</v>
      </c>
      <c r="X6" t="s">
        <v>67</v>
      </c>
      <c r="Y6" t="s">
        <v>148</v>
      </c>
      <c r="AA6" t="s">
        <v>494</v>
      </c>
      <c r="AC6" t="s">
        <v>139</v>
      </c>
      <c r="AD6" t="s">
        <v>497</v>
      </c>
      <c r="AF6" t="s">
        <v>493</v>
      </c>
      <c r="AG6" t="s">
        <v>156</v>
      </c>
      <c r="AH6" t="s">
        <v>68</v>
      </c>
      <c r="AI6" t="s">
        <v>493</v>
      </c>
      <c r="AK6" t="s">
        <v>505</v>
      </c>
    </row>
    <row r="7" spans="1:37" customFormat="1">
      <c r="A7" t="s">
        <v>23</v>
      </c>
      <c r="B7" t="s">
        <v>24</v>
      </c>
      <c r="C7" t="s">
        <v>197</v>
      </c>
      <c r="D7" t="s">
        <v>140</v>
      </c>
      <c r="E7" t="s">
        <v>198</v>
      </c>
      <c r="F7" t="s">
        <v>141</v>
      </c>
      <c r="G7" t="s">
        <v>136</v>
      </c>
      <c r="H7" t="s">
        <v>186</v>
      </c>
      <c r="I7" t="s">
        <v>156</v>
      </c>
      <c r="J7" t="s">
        <v>26</v>
      </c>
      <c r="K7" t="s">
        <v>157</v>
      </c>
      <c r="L7" t="s">
        <v>182</v>
      </c>
      <c r="M7" t="s">
        <v>144</v>
      </c>
      <c r="N7" t="s">
        <v>202</v>
      </c>
      <c r="O7">
        <v>1</v>
      </c>
      <c r="P7" t="s">
        <v>160</v>
      </c>
      <c r="R7">
        <v>689.5</v>
      </c>
      <c r="S7">
        <v>687</v>
      </c>
      <c r="T7" t="s">
        <v>172</v>
      </c>
      <c r="U7" t="s">
        <v>270</v>
      </c>
      <c r="V7" t="s">
        <v>27</v>
      </c>
      <c r="W7" t="s">
        <v>66</v>
      </c>
      <c r="X7" t="s">
        <v>67</v>
      </c>
      <c r="Y7" t="s">
        <v>148</v>
      </c>
      <c r="AA7" t="s">
        <v>494</v>
      </c>
      <c r="AC7" t="s">
        <v>139</v>
      </c>
      <c r="AD7" t="s">
        <v>506</v>
      </c>
      <c r="AF7" t="s">
        <v>493</v>
      </c>
      <c r="AG7" t="s">
        <v>156</v>
      </c>
      <c r="AH7" t="s">
        <v>68</v>
      </c>
      <c r="AI7" t="s">
        <v>493</v>
      </c>
      <c r="AK7" t="s">
        <v>507</v>
      </c>
    </row>
    <row r="8" spans="1:37" customFormat="1">
      <c r="A8" t="s">
        <v>23</v>
      </c>
      <c r="B8" t="s">
        <v>24</v>
      </c>
      <c r="C8" t="s">
        <v>197</v>
      </c>
      <c r="D8" t="s">
        <v>140</v>
      </c>
      <c r="E8" t="s">
        <v>198</v>
      </c>
      <c r="F8" t="s">
        <v>141</v>
      </c>
      <c r="G8" t="s">
        <v>136</v>
      </c>
      <c r="H8" t="s">
        <v>186</v>
      </c>
      <c r="I8" t="s">
        <v>156</v>
      </c>
      <c r="J8" t="s">
        <v>26</v>
      </c>
      <c r="K8" t="s">
        <v>157</v>
      </c>
      <c r="L8" t="s">
        <v>182</v>
      </c>
      <c r="M8" t="s">
        <v>144</v>
      </c>
      <c r="N8" t="s">
        <v>203</v>
      </c>
      <c r="O8">
        <v>1</v>
      </c>
      <c r="P8" t="s">
        <v>160</v>
      </c>
      <c r="R8">
        <v>693</v>
      </c>
      <c r="S8">
        <v>687</v>
      </c>
      <c r="T8" t="s">
        <v>172</v>
      </c>
      <c r="U8" t="s">
        <v>270</v>
      </c>
      <c r="V8" t="s">
        <v>27</v>
      </c>
      <c r="W8" t="s">
        <v>66</v>
      </c>
      <c r="X8" t="s">
        <v>67</v>
      </c>
      <c r="Y8" t="s">
        <v>148</v>
      </c>
      <c r="AA8" t="s">
        <v>494</v>
      </c>
      <c r="AC8" t="s">
        <v>139</v>
      </c>
      <c r="AD8" t="s">
        <v>508</v>
      </c>
      <c r="AF8" t="s">
        <v>493</v>
      </c>
      <c r="AG8" t="s">
        <v>156</v>
      </c>
      <c r="AH8" t="s">
        <v>68</v>
      </c>
      <c r="AI8" t="s">
        <v>493</v>
      </c>
      <c r="AK8" t="s">
        <v>509</v>
      </c>
    </row>
    <row r="9" spans="1:37" customFormat="1">
      <c r="A9" t="s">
        <v>23</v>
      </c>
      <c r="B9" t="s">
        <v>24</v>
      </c>
      <c r="C9" t="s">
        <v>197</v>
      </c>
      <c r="D9" t="s">
        <v>140</v>
      </c>
      <c r="E9" t="s">
        <v>198</v>
      </c>
      <c r="F9" t="s">
        <v>141</v>
      </c>
      <c r="G9" t="s">
        <v>136</v>
      </c>
      <c r="H9" t="s">
        <v>186</v>
      </c>
      <c r="I9" t="s">
        <v>156</v>
      </c>
      <c r="J9" t="s">
        <v>26</v>
      </c>
      <c r="K9" t="s">
        <v>157</v>
      </c>
      <c r="L9" t="s">
        <v>182</v>
      </c>
      <c r="M9" t="s">
        <v>144</v>
      </c>
      <c r="N9" t="s">
        <v>204</v>
      </c>
      <c r="O9">
        <v>1</v>
      </c>
      <c r="P9" t="s">
        <v>160</v>
      </c>
      <c r="R9">
        <v>693.5</v>
      </c>
      <c r="S9">
        <v>687</v>
      </c>
      <c r="T9" t="s">
        <v>172</v>
      </c>
      <c r="U9" t="s">
        <v>270</v>
      </c>
      <c r="V9" t="s">
        <v>67</v>
      </c>
      <c r="W9" t="s">
        <v>66</v>
      </c>
      <c r="X9" t="s">
        <v>67</v>
      </c>
      <c r="Y9" t="s">
        <v>148</v>
      </c>
      <c r="AA9" t="s">
        <v>494</v>
      </c>
      <c r="AC9" t="s">
        <v>139</v>
      </c>
      <c r="AD9" t="s">
        <v>498</v>
      </c>
      <c r="AF9" t="s">
        <v>493</v>
      </c>
      <c r="AG9" t="s">
        <v>156</v>
      </c>
      <c r="AH9" t="s">
        <v>68</v>
      </c>
      <c r="AI9" t="s">
        <v>493</v>
      </c>
      <c r="AK9" t="s">
        <v>510</v>
      </c>
    </row>
    <row r="10" spans="1:37" customFormat="1">
      <c r="A10" t="s">
        <v>23</v>
      </c>
      <c r="B10" t="s">
        <v>24</v>
      </c>
      <c r="C10" t="s">
        <v>197</v>
      </c>
      <c r="D10" t="s">
        <v>140</v>
      </c>
      <c r="E10" t="s">
        <v>198</v>
      </c>
      <c r="F10" t="s">
        <v>141</v>
      </c>
      <c r="G10" t="s">
        <v>136</v>
      </c>
      <c r="H10" t="s">
        <v>186</v>
      </c>
      <c r="I10" t="s">
        <v>156</v>
      </c>
      <c r="J10" t="s">
        <v>26</v>
      </c>
      <c r="K10" t="s">
        <v>157</v>
      </c>
      <c r="L10" t="s">
        <v>182</v>
      </c>
      <c r="M10" t="s">
        <v>144</v>
      </c>
      <c r="N10" t="s">
        <v>205</v>
      </c>
      <c r="O10">
        <v>1</v>
      </c>
      <c r="P10" t="s">
        <v>160</v>
      </c>
      <c r="R10">
        <v>693.5</v>
      </c>
      <c r="S10">
        <v>687</v>
      </c>
      <c r="T10" t="s">
        <v>172</v>
      </c>
      <c r="U10" t="s">
        <v>270</v>
      </c>
      <c r="V10" t="s">
        <v>67</v>
      </c>
      <c r="W10" t="s">
        <v>66</v>
      </c>
      <c r="X10" t="s">
        <v>67</v>
      </c>
      <c r="Y10" t="s">
        <v>148</v>
      </c>
      <c r="AA10" t="s">
        <v>494</v>
      </c>
      <c r="AC10" t="s">
        <v>139</v>
      </c>
      <c r="AD10" t="s">
        <v>496</v>
      </c>
      <c r="AF10" t="s">
        <v>493</v>
      </c>
      <c r="AG10" t="s">
        <v>156</v>
      </c>
      <c r="AH10" t="s">
        <v>68</v>
      </c>
      <c r="AI10" t="s">
        <v>493</v>
      </c>
      <c r="AK10" t="s">
        <v>511</v>
      </c>
    </row>
    <row r="11" spans="1:37" customFormat="1">
      <c r="A11" t="s">
        <v>23</v>
      </c>
      <c r="B11" t="s">
        <v>24</v>
      </c>
      <c r="C11" t="s">
        <v>197</v>
      </c>
      <c r="D11" t="s">
        <v>140</v>
      </c>
      <c r="E11" t="s">
        <v>198</v>
      </c>
      <c r="F11" t="s">
        <v>141</v>
      </c>
      <c r="G11" t="s">
        <v>136</v>
      </c>
      <c r="H11" t="s">
        <v>186</v>
      </c>
      <c r="I11" t="s">
        <v>156</v>
      </c>
      <c r="J11" t="s">
        <v>26</v>
      </c>
      <c r="K11" t="s">
        <v>157</v>
      </c>
      <c r="L11" t="s">
        <v>182</v>
      </c>
      <c r="M11" t="s">
        <v>144</v>
      </c>
      <c r="N11" t="s">
        <v>206</v>
      </c>
      <c r="O11">
        <v>1</v>
      </c>
      <c r="P11" t="s">
        <v>160</v>
      </c>
      <c r="R11">
        <v>693</v>
      </c>
      <c r="S11">
        <v>687</v>
      </c>
      <c r="T11" t="s">
        <v>172</v>
      </c>
      <c r="U11" t="s">
        <v>270</v>
      </c>
      <c r="V11" t="s">
        <v>67</v>
      </c>
      <c r="W11" t="s">
        <v>66</v>
      </c>
      <c r="X11" t="s">
        <v>67</v>
      </c>
      <c r="Y11" t="s">
        <v>148</v>
      </c>
      <c r="AA11" t="s">
        <v>494</v>
      </c>
      <c r="AC11" t="s">
        <v>139</v>
      </c>
      <c r="AD11" t="s">
        <v>512</v>
      </c>
      <c r="AF11" t="s">
        <v>493</v>
      </c>
      <c r="AG11" t="s">
        <v>156</v>
      </c>
      <c r="AH11" t="s">
        <v>68</v>
      </c>
      <c r="AI11" t="s">
        <v>493</v>
      </c>
      <c r="AK11" t="s">
        <v>513</v>
      </c>
    </row>
    <row r="12" spans="1:37" customFormat="1">
      <c r="A12" t="s">
        <v>23</v>
      </c>
      <c r="B12" t="s">
        <v>24</v>
      </c>
      <c r="C12" t="s">
        <v>197</v>
      </c>
      <c r="D12" t="s">
        <v>140</v>
      </c>
      <c r="E12" t="s">
        <v>198</v>
      </c>
      <c r="F12" t="s">
        <v>141</v>
      </c>
      <c r="G12" t="s">
        <v>136</v>
      </c>
      <c r="H12" t="s">
        <v>186</v>
      </c>
      <c r="I12" t="s">
        <v>156</v>
      </c>
      <c r="J12" t="s">
        <v>26</v>
      </c>
      <c r="K12" t="s">
        <v>157</v>
      </c>
      <c r="L12" t="s">
        <v>182</v>
      </c>
      <c r="M12" t="s">
        <v>144</v>
      </c>
      <c r="N12" t="s">
        <v>207</v>
      </c>
      <c r="O12">
        <v>1</v>
      </c>
      <c r="P12" t="s">
        <v>160</v>
      </c>
      <c r="R12">
        <v>693.5</v>
      </c>
      <c r="S12">
        <v>687</v>
      </c>
      <c r="T12" t="s">
        <v>172</v>
      </c>
      <c r="U12" t="s">
        <v>270</v>
      </c>
      <c r="V12" t="s">
        <v>27</v>
      </c>
      <c r="W12" t="s">
        <v>66</v>
      </c>
      <c r="X12" t="s">
        <v>67</v>
      </c>
      <c r="Y12" t="s">
        <v>148</v>
      </c>
      <c r="AA12" t="s">
        <v>494</v>
      </c>
      <c r="AC12" t="s">
        <v>139</v>
      </c>
      <c r="AD12" t="s">
        <v>514</v>
      </c>
      <c r="AF12" t="s">
        <v>493</v>
      </c>
      <c r="AG12" t="s">
        <v>156</v>
      </c>
      <c r="AH12" t="s">
        <v>68</v>
      </c>
      <c r="AI12" t="s">
        <v>493</v>
      </c>
      <c r="AK12" t="s">
        <v>515</v>
      </c>
    </row>
    <row r="13" spans="1:37" customFormat="1">
      <c r="A13" t="s">
        <v>23</v>
      </c>
      <c r="B13" t="s">
        <v>24</v>
      </c>
      <c r="C13" t="s">
        <v>197</v>
      </c>
      <c r="D13" t="s">
        <v>140</v>
      </c>
      <c r="E13" t="s">
        <v>198</v>
      </c>
      <c r="F13" t="s">
        <v>141</v>
      </c>
      <c r="G13" t="s">
        <v>136</v>
      </c>
      <c r="H13" t="s">
        <v>186</v>
      </c>
      <c r="I13" t="s">
        <v>156</v>
      </c>
      <c r="J13" t="s">
        <v>26</v>
      </c>
      <c r="K13" t="s">
        <v>157</v>
      </c>
      <c r="L13" t="s">
        <v>182</v>
      </c>
      <c r="M13" t="s">
        <v>144</v>
      </c>
      <c r="N13" t="s">
        <v>208</v>
      </c>
      <c r="O13">
        <v>1</v>
      </c>
      <c r="P13" t="s">
        <v>160</v>
      </c>
      <c r="R13">
        <v>693.5</v>
      </c>
      <c r="S13">
        <v>687</v>
      </c>
      <c r="T13" t="s">
        <v>172</v>
      </c>
      <c r="U13" t="s">
        <v>270</v>
      </c>
      <c r="V13" t="s">
        <v>27</v>
      </c>
      <c r="W13" t="s">
        <v>66</v>
      </c>
      <c r="X13" t="s">
        <v>67</v>
      </c>
      <c r="Y13" t="s">
        <v>148</v>
      </c>
      <c r="AA13" t="s">
        <v>494</v>
      </c>
      <c r="AC13" t="s">
        <v>139</v>
      </c>
      <c r="AD13" t="s">
        <v>516</v>
      </c>
      <c r="AF13" t="s">
        <v>493</v>
      </c>
      <c r="AG13" t="s">
        <v>156</v>
      </c>
      <c r="AH13" t="s">
        <v>68</v>
      </c>
      <c r="AI13" t="s">
        <v>493</v>
      </c>
      <c r="AK13" t="s">
        <v>517</v>
      </c>
    </row>
    <row r="14" spans="1:37" customFormat="1">
      <c r="A14" t="s">
        <v>23</v>
      </c>
      <c r="B14" t="s">
        <v>24</v>
      </c>
      <c r="C14" t="s">
        <v>197</v>
      </c>
      <c r="D14" t="s">
        <v>140</v>
      </c>
      <c r="E14" t="s">
        <v>198</v>
      </c>
      <c r="F14" t="s">
        <v>141</v>
      </c>
      <c r="G14" t="s">
        <v>136</v>
      </c>
      <c r="H14" t="s">
        <v>186</v>
      </c>
      <c r="I14" t="s">
        <v>156</v>
      </c>
      <c r="J14" t="s">
        <v>26</v>
      </c>
      <c r="K14" t="s">
        <v>157</v>
      </c>
      <c r="L14" t="s">
        <v>182</v>
      </c>
      <c r="M14" t="s">
        <v>144</v>
      </c>
      <c r="N14" t="s">
        <v>209</v>
      </c>
      <c r="O14">
        <v>1</v>
      </c>
      <c r="P14" t="s">
        <v>160</v>
      </c>
      <c r="R14">
        <v>693.5</v>
      </c>
      <c r="S14">
        <v>687</v>
      </c>
      <c r="T14" t="s">
        <v>172</v>
      </c>
      <c r="U14" t="s">
        <v>270</v>
      </c>
      <c r="V14" t="s">
        <v>27</v>
      </c>
      <c r="W14" t="s">
        <v>66</v>
      </c>
      <c r="X14" t="s">
        <v>67</v>
      </c>
      <c r="Y14" t="s">
        <v>148</v>
      </c>
      <c r="AA14" t="s">
        <v>494</v>
      </c>
      <c r="AC14" t="s">
        <v>139</v>
      </c>
      <c r="AD14" t="s">
        <v>518</v>
      </c>
      <c r="AF14" t="s">
        <v>493</v>
      </c>
      <c r="AG14" t="s">
        <v>156</v>
      </c>
      <c r="AH14" t="s">
        <v>68</v>
      </c>
      <c r="AI14" t="s">
        <v>493</v>
      </c>
      <c r="AK14" t="s">
        <v>519</v>
      </c>
    </row>
    <row r="15" spans="1:37" customFormat="1">
      <c r="A15" t="s">
        <v>23</v>
      </c>
      <c r="B15" t="s">
        <v>24</v>
      </c>
      <c r="C15" t="s">
        <v>197</v>
      </c>
      <c r="D15" t="s">
        <v>140</v>
      </c>
      <c r="E15" t="s">
        <v>198</v>
      </c>
      <c r="F15" t="s">
        <v>141</v>
      </c>
      <c r="G15" t="s">
        <v>136</v>
      </c>
      <c r="H15" t="s">
        <v>186</v>
      </c>
      <c r="I15" t="s">
        <v>156</v>
      </c>
      <c r="J15" t="s">
        <v>26</v>
      </c>
      <c r="K15" t="s">
        <v>157</v>
      </c>
      <c r="L15" t="s">
        <v>182</v>
      </c>
      <c r="M15" t="s">
        <v>144</v>
      </c>
      <c r="N15" t="s">
        <v>210</v>
      </c>
      <c r="O15">
        <v>1</v>
      </c>
      <c r="P15" t="s">
        <v>160</v>
      </c>
      <c r="R15">
        <v>690</v>
      </c>
      <c r="S15">
        <v>687</v>
      </c>
      <c r="T15" t="s">
        <v>172</v>
      </c>
      <c r="U15" t="s">
        <v>270</v>
      </c>
      <c r="V15" t="s">
        <v>27</v>
      </c>
      <c r="W15" t="s">
        <v>66</v>
      </c>
      <c r="X15" t="s">
        <v>67</v>
      </c>
      <c r="Y15" t="s">
        <v>148</v>
      </c>
      <c r="AA15" t="s">
        <v>494</v>
      </c>
      <c r="AC15" t="s">
        <v>139</v>
      </c>
      <c r="AD15" t="s">
        <v>520</v>
      </c>
      <c r="AF15" t="s">
        <v>493</v>
      </c>
      <c r="AG15" t="s">
        <v>156</v>
      </c>
      <c r="AH15" t="s">
        <v>68</v>
      </c>
      <c r="AI15" t="s">
        <v>493</v>
      </c>
      <c r="AK15" t="s">
        <v>521</v>
      </c>
    </row>
    <row r="16" spans="1:37" customFormat="1">
      <c r="A16" t="s">
        <v>23</v>
      </c>
      <c r="B16" t="s">
        <v>24</v>
      </c>
      <c r="C16" t="s">
        <v>197</v>
      </c>
      <c r="D16" t="s">
        <v>140</v>
      </c>
      <c r="E16" t="s">
        <v>198</v>
      </c>
      <c r="F16" t="s">
        <v>141</v>
      </c>
      <c r="G16" t="s">
        <v>136</v>
      </c>
      <c r="H16" t="s">
        <v>186</v>
      </c>
      <c r="I16" t="s">
        <v>156</v>
      </c>
      <c r="J16" t="s">
        <v>26</v>
      </c>
      <c r="K16" t="s">
        <v>157</v>
      </c>
      <c r="L16" t="s">
        <v>182</v>
      </c>
      <c r="M16" t="s">
        <v>144</v>
      </c>
      <c r="N16" t="s">
        <v>211</v>
      </c>
      <c r="O16">
        <v>1</v>
      </c>
      <c r="P16" t="s">
        <v>160</v>
      </c>
      <c r="R16">
        <v>693.5</v>
      </c>
      <c r="S16">
        <v>687</v>
      </c>
      <c r="T16" t="s">
        <v>172</v>
      </c>
      <c r="U16" t="s">
        <v>270</v>
      </c>
      <c r="V16" t="s">
        <v>27</v>
      </c>
      <c r="W16" t="s">
        <v>66</v>
      </c>
      <c r="X16" t="s">
        <v>67</v>
      </c>
      <c r="Y16" t="s">
        <v>148</v>
      </c>
      <c r="AA16" t="s">
        <v>494</v>
      </c>
      <c r="AC16" t="s">
        <v>139</v>
      </c>
      <c r="AD16" t="s">
        <v>522</v>
      </c>
      <c r="AF16" t="s">
        <v>493</v>
      </c>
      <c r="AG16" t="s">
        <v>156</v>
      </c>
      <c r="AH16" t="s">
        <v>68</v>
      </c>
      <c r="AI16" t="s">
        <v>493</v>
      </c>
      <c r="AK16" t="s">
        <v>523</v>
      </c>
    </row>
    <row r="17" spans="1:37" customFormat="1">
      <c r="A17" t="s">
        <v>23</v>
      </c>
      <c r="B17" t="s">
        <v>24</v>
      </c>
      <c r="C17" t="s">
        <v>197</v>
      </c>
      <c r="D17" t="s">
        <v>140</v>
      </c>
      <c r="E17" t="s">
        <v>198</v>
      </c>
      <c r="F17" t="s">
        <v>141</v>
      </c>
      <c r="G17" t="s">
        <v>136</v>
      </c>
      <c r="H17" t="s">
        <v>186</v>
      </c>
      <c r="I17" t="s">
        <v>156</v>
      </c>
      <c r="J17" t="s">
        <v>26</v>
      </c>
      <c r="K17" t="s">
        <v>157</v>
      </c>
      <c r="L17" t="s">
        <v>182</v>
      </c>
      <c r="M17" t="s">
        <v>144</v>
      </c>
      <c r="N17" t="s">
        <v>212</v>
      </c>
      <c r="O17">
        <v>1</v>
      </c>
      <c r="P17" t="s">
        <v>160</v>
      </c>
      <c r="R17">
        <v>693.5</v>
      </c>
      <c r="S17">
        <v>687</v>
      </c>
      <c r="T17" t="s">
        <v>172</v>
      </c>
      <c r="U17" t="s">
        <v>270</v>
      </c>
      <c r="V17" t="s">
        <v>27</v>
      </c>
      <c r="W17" t="s">
        <v>66</v>
      </c>
      <c r="X17" t="s">
        <v>67</v>
      </c>
      <c r="Y17" t="s">
        <v>148</v>
      </c>
      <c r="AA17" t="s">
        <v>494</v>
      </c>
      <c r="AC17" t="s">
        <v>139</v>
      </c>
      <c r="AD17" t="s">
        <v>495</v>
      </c>
      <c r="AF17" t="s">
        <v>493</v>
      </c>
      <c r="AG17" t="s">
        <v>156</v>
      </c>
      <c r="AH17" t="s">
        <v>68</v>
      </c>
      <c r="AI17" t="s">
        <v>493</v>
      </c>
      <c r="AK17" t="s">
        <v>524</v>
      </c>
    </row>
    <row r="18" spans="1:37" customFormat="1">
      <c r="A18" t="s">
        <v>23</v>
      </c>
      <c r="B18" t="s">
        <v>24</v>
      </c>
      <c r="C18" t="s">
        <v>213</v>
      </c>
      <c r="D18" t="s">
        <v>140</v>
      </c>
      <c r="E18" t="s">
        <v>214</v>
      </c>
      <c r="F18" t="s">
        <v>141</v>
      </c>
      <c r="G18" t="s">
        <v>136</v>
      </c>
      <c r="H18" t="s">
        <v>186</v>
      </c>
      <c r="I18" t="s">
        <v>156</v>
      </c>
      <c r="J18" t="s">
        <v>25</v>
      </c>
      <c r="K18" t="s">
        <v>157</v>
      </c>
      <c r="L18" t="s">
        <v>147</v>
      </c>
      <c r="M18" t="s">
        <v>144</v>
      </c>
      <c r="N18" t="s">
        <v>215</v>
      </c>
      <c r="O18">
        <v>11</v>
      </c>
      <c r="P18" t="s">
        <v>159</v>
      </c>
      <c r="R18">
        <v>182</v>
      </c>
      <c r="S18">
        <v>151.13999999999999</v>
      </c>
      <c r="T18" t="s">
        <v>172</v>
      </c>
      <c r="U18" t="s">
        <v>216</v>
      </c>
      <c r="V18" t="s">
        <v>67</v>
      </c>
      <c r="W18" t="s">
        <v>66</v>
      </c>
      <c r="X18" t="s">
        <v>67</v>
      </c>
      <c r="Y18" t="s">
        <v>138</v>
      </c>
      <c r="AA18" t="s">
        <v>494</v>
      </c>
      <c r="AC18" t="s">
        <v>139</v>
      </c>
      <c r="AD18" t="s">
        <v>525</v>
      </c>
      <c r="AG18" t="s">
        <v>156</v>
      </c>
      <c r="AH18" t="s">
        <v>68</v>
      </c>
      <c r="AI18" t="s">
        <v>493</v>
      </c>
    </row>
    <row r="19" spans="1:37" customFormat="1">
      <c r="A19" t="s">
        <v>23</v>
      </c>
      <c r="B19" t="s">
        <v>24</v>
      </c>
      <c r="C19" t="s">
        <v>217</v>
      </c>
      <c r="D19" t="s">
        <v>140</v>
      </c>
      <c r="E19" t="s">
        <v>196</v>
      </c>
      <c r="F19" t="s">
        <v>141</v>
      </c>
      <c r="G19" t="s">
        <v>136</v>
      </c>
      <c r="H19" t="s">
        <v>155</v>
      </c>
      <c r="I19" t="s">
        <v>156</v>
      </c>
      <c r="J19" t="s">
        <v>25</v>
      </c>
      <c r="K19" t="s">
        <v>157</v>
      </c>
      <c r="L19" t="s">
        <v>147</v>
      </c>
      <c r="M19" t="s">
        <v>144</v>
      </c>
      <c r="N19" t="s">
        <v>218</v>
      </c>
      <c r="O19">
        <v>9</v>
      </c>
      <c r="P19" t="s">
        <v>159</v>
      </c>
      <c r="R19">
        <v>159.5</v>
      </c>
      <c r="S19">
        <v>127.35</v>
      </c>
      <c r="T19" t="s">
        <v>172</v>
      </c>
      <c r="U19" t="s">
        <v>216</v>
      </c>
      <c r="V19" t="s">
        <v>27</v>
      </c>
      <c r="W19" t="s">
        <v>66</v>
      </c>
      <c r="X19" t="s">
        <v>67</v>
      </c>
      <c r="Y19" t="s">
        <v>138</v>
      </c>
      <c r="AA19" t="s">
        <v>494</v>
      </c>
      <c r="AC19" t="s">
        <v>139</v>
      </c>
      <c r="AD19" t="s">
        <v>526</v>
      </c>
      <c r="AG19" t="s">
        <v>156</v>
      </c>
      <c r="AH19" t="s">
        <v>68</v>
      </c>
      <c r="AI19" t="s">
        <v>493</v>
      </c>
    </row>
    <row r="20" spans="1:37" customFormat="1">
      <c r="A20" t="s">
        <v>23</v>
      </c>
      <c r="B20" t="s">
        <v>24</v>
      </c>
      <c r="C20" t="s">
        <v>219</v>
      </c>
      <c r="D20" t="s">
        <v>140</v>
      </c>
      <c r="E20" t="s">
        <v>220</v>
      </c>
      <c r="F20" t="s">
        <v>141</v>
      </c>
      <c r="G20" t="s">
        <v>136</v>
      </c>
      <c r="H20" t="s">
        <v>151</v>
      </c>
      <c r="I20" t="s">
        <v>156</v>
      </c>
      <c r="J20" t="s">
        <v>26</v>
      </c>
      <c r="K20" t="s">
        <v>157</v>
      </c>
      <c r="L20" t="s">
        <v>147</v>
      </c>
      <c r="M20" t="s">
        <v>144</v>
      </c>
      <c r="N20" t="s">
        <v>221</v>
      </c>
      <c r="O20">
        <v>1</v>
      </c>
      <c r="P20" t="s">
        <v>160</v>
      </c>
      <c r="R20">
        <v>767</v>
      </c>
      <c r="S20">
        <v>760</v>
      </c>
      <c r="T20" t="s">
        <v>172</v>
      </c>
      <c r="U20" t="s">
        <v>255</v>
      </c>
      <c r="V20" t="s">
        <v>67</v>
      </c>
      <c r="W20" t="s">
        <v>66</v>
      </c>
      <c r="X20" t="s">
        <v>67</v>
      </c>
      <c r="Y20" t="s">
        <v>138</v>
      </c>
      <c r="AA20" t="s">
        <v>494</v>
      </c>
      <c r="AC20" t="s">
        <v>139</v>
      </c>
      <c r="AD20" t="s">
        <v>527</v>
      </c>
      <c r="AG20" t="s">
        <v>156</v>
      </c>
      <c r="AH20" t="s">
        <v>68</v>
      </c>
      <c r="AI20" t="s">
        <v>493</v>
      </c>
      <c r="AK20" t="s">
        <v>528</v>
      </c>
    </row>
    <row r="21" spans="1:37" customFormat="1">
      <c r="A21" t="s">
        <v>23</v>
      </c>
      <c r="B21" t="s">
        <v>24</v>
      </c>
      <c r="C21" t="s">
        <v>219</v>
      </c>
      <c r="D21" t="s">
        <v>140</v>
      </c>
      <c r="E21" t="s">
        <v>220</v>
      </c>
      <c r="F21" t="s">
        <v>141</v>
      </c>
      <c r="G21" t="s">
        <v>136</v>
      </c>
      <c r="H21" t="s">
        <v>151</v>
      </c>
      <c r="I21" t="s">
        <v>156</v>
      </c>
      <c r="J21" t="s">
        <v>26</v>
      </c>
      <c r="K21" t="s">
        <v>157</v>
      </c>
      <c r="L21" t="s">
        <v>147</v>
      </c>
      <c r="M21" t="s">
        <v>144</v>
      </c>
      <c r="N21" t="s">
        <v>222</v>
      </c>
      <c r="O21">
        <v>1</v>
      </c>
      <c r="P21" t="s">
        <v>160</v>
      </c>
      <c r="R21">
        <v>766.5</v>
      </c>
      <c r="S21">
        <v>760</v>
      </c>
      <c r="T21" t="s">
        <v>172</v>
      </c>
      <c r="U21" t="s">
        <v>255</v>
      </c>
      <c r="V21" t="s">
        <v>67</v>
      </c>
      <c r="W21" t="s">
        <v>66</v>
      </c>
      <c r="X21" t="s">
        <v>67</v>
      </c>
      <c r="Y21" t="s">
        <v>138</v>
      </c>
      <c r="AA21" t="s">
        <v>494</v>
      </c>
      <c r="AC21" t="s">
        <v>139</v>
      </c>
      <c r="AD21" t="s">
        <v>529</v>
      </c>
      <c r="AG21" t="s">
        <v>156</v>
      </c>
      <c r="AH21" t="s">
        <v>68</v>
      </c>
      <c r="AI21" t="s">
        <v>493</v>
      </c>
      <c r="AK21" t="s">
        <v>530</v>
      </c>
    </row>
    <row r="22" spans="1:37" customFormat="1">
      <c r="A22" t="s">
        <v>23</v>
      </c>
      <c r="B22" t="s">
        <v>24</v>
      </c>
      <c r="C22" t="s">
        <v>219</v>
      </c>
      <c r="D22" t="s">
        <v>140</v>
      </c>
      <c r="E22" t="s">
        <v>220</v>
      </c>
      <c r="F22" t="s">
        <v>141</v>
      </c>
      <c r="G22" t="s">
        <v>136</v>
      </c>
      <c r="H22" t="s">
        <v>151</v>
      </c>
      <c r="I22" t="s">
        <v>156</v>
      </c>
      <c r="J22" t="s">
        <v>26</v>
      </c>
      <c r="K22" t="s">
        <v>157</v>
      </c>
      <c r="L22" t="s">
        <v>147</v>
      </c>
      <c r="M22" t="s">
        <v>144</v>
      </c>
      <c r="N22" t="s">
        <v>223</v>
      </c>
      <c r="O22">
        <v>1</v>
      </c>
      <c r="P22" t="s">
        <v>160</v>
      </c>
      <c r="R22">
        <v>764.5</v>
      </c>
      <c r="S22">
        <v>760</v>
      </c>
      <c r="T22" t="s">
        <v>172</v>
      </c>
      <c r="U22" t="s">
        <v>255</v>
      </c>
      <c r="V22" t="s">
        <v>67</v>
      </c>
      <c r="W22" t="s">
        <v>66</v>
      </c>
      <c r="X22" t="s">
        <v>67</v>
      </c>
      <c r="Y22" t="s">
        <v>138</v>
      </c>
      <c r="AA22" t="s">
        <v>494</v>
      </c>
      <c r="AC22" t="s">
        <v>139</v>
      </c>
      <c r="AD22" t="s">
        <v>531</v>
      </c>
      <c r="AG22" t="s">
        <v>156</v>
      </c>
      <c r="AH22" t="s">
        <v>68</v>
      </c>
      <c r="AI22" t="s">
        <v>493</v>
      </c>
      <c r="AK22" t="s">
        <v>532</v>
      </c>
    </row>
    <row r="23" spans="1:37" customFormat="1">
      <c r="A23" t="s">
        <v>23</v>
      </c>
      <c r="B23" t="s">
        <v>24</v>
      </c>
      <c r="C23" t="s">
        <v>219</v>
      </c>
      <c r="D23" t="s">
        <v>140</v>
      </c>
      <c r="E23" t="s">
        <v>220</v>
      </c>
      <c r="F23" t="s">
        <v>141</v>
      </c>
      <c r="G23" t="s">
        <v>136</v>
      </c>
      <c r="H23" t="s">
        <v>151</v>
      </c>
      <c r="I23" t="s">
        <v>156</v>
      </c>
      <c r="J23" t="s">
        <v>26</v>
      </c>
      <c r="K23" t="s">
        <v>157</v>
      </c>
      <c r="L23" t="s">
        <v>147</v>
      </c>
      <c r="M23" t="s">
        <v>144</v>
      </c>
      <c r="N23" t="s">
        <v>224</v>
      </c>
      <c r="O23">
        <v>1</v>
      </c>
      <c r="P23" t="s">
        <v>160</v>
      </c>
      <c r="R23">
        <v>766</v>
      </c>
      <c r="S23">
        <v>760</v>
      </c>
      <c r="T23" t="s">
        <v>172</v>
      </c>
      <c r="U23" t="s">
        <v>255</v>
      </c>
      <c r="V23" t="s">
        <v>67</v>
      </c>
      <c r="W23" t="s">
        <v>66</v>
      </c>
      <c r="X23" t="s">
        <v>67</v>
      </c>
      <c r="Y23" t="s">
        <v>138</v>
      </c>
      <c r="AA23" t="s">
        <v>494</v>
      </c>
      <c r="AC23" t="s">
        <v>139</v>
      </c>
      <c r="AD23" t="s">
        <v>533</v>
      </c>
      <c r="AG23" t="s">
        <v>156</v>
      </c>
      <c r="AH23" t="s">
        <v>68</v>
      </c>
      <c r="AI23" t="s">
        <v>493</v>
      </c>
      <c r="AK23" t="s">
        <v>534</v>
      </c>
    </row>
    <row r="24" spans="1:37" customFormat="1">
      <c r="A24" t="s">
        <v>23</v>
      </c>
      <c r="B24" t="s">
        <v>24</v>
      </c>
      <c r="C24" t="s">
        <v>219</v>
      </c>
      <c r="D24" t="s">
        <v>140</v>
      </c>
      <c r="E24" t="s">
        <v>220</v>
      </c>
      <c r="F24" t="s">
        <v>141</v>
      </c>
      <c r="G24" t="s">
        <v>136</v>
      </c>
      <c r="H24" t="s">
        <v>151</v>
      </c>
      <c r="I24" t="s">
        <v>156</v>
      </c>
      <c r="J24" t="s">
        <v>26</v>
      </c>
      <c r="K24" t="s">
        <v>157</v>
      </c>
      <c r="L24" t="s">
        <v>147</v>
      </c>
      <c r="M24" t="s">
        <v>144</v>
      </c>
      <c r="N24" t="s">
        <v>225</v>
      </c>
      <c r="O24">
        <v>1</v>
      </c>
      <c r="P24" t="s">
        <v>160</v>
      </c>
      <c r="R24">
        <v>762</v>
      </c>
      <c r="S24">
        <v>760</v>
      </c>
      <c r="T24" t="s">
        <v>172</v>
      </c>
      <c r="U24" t="s">
        <v>255</v>
      </c>
      <c r="V24" t="s">
        <v>67</v>
      </c>
      <c r="W24" t="s">
        <v>66</v>
      </c>
      <c r="X24" t="s">
        <v>67</v>
      </c>
      <c r="Y24" t="s">
        <v>138</v>
      </c>
      <c r="AA24" t="s">
        <v>494</v>
      </c>
      <c r="AC24" t="s">
        <v>139</v>
      </c>
      <c r="AD24" t="s">
        <v>535</v>
      </c>
      <c r="AG24" t="s">
        <v>156</v>
      </c>
      <c r="AH24" t="s">
        <v>68</v>
      </c>
      <c r="AI24" t="s">
        <v>493</v>
      </c>
      <c r="AK24" t="s">
        <v>536</v>
      </c>
    </row>
    <row r="25" spans="1:37" customFormat="1">
      <c r="A25" t="s">
        <v>23</v>
      </c>
      <c r="B25" t="s">
        <v>24</v>
      </c>
      <c r="C25" t="s">
        <v>219</v>
      </c>
      <c r="D25" t="s">
        <v>140</v>
      </c>
      <c r="E25" t="s">
        <v>220</v>
      </c>
      <c r="F25" t="s">
        <v>141</v>
      </c>
      <c r="G25" t="s">
        <v>136</v>
      </c>
      <c r="H25" t="s">
        <v>151</v>
      </c>
      <c r="I25" t="s">
        <v>156</v>
      </c>
      <c r="J25" t="s">
        <v>26</v>
      </c>
      <c r="K25" t="s">
        <v>157</v>
      </c>
      <c r="L25" t="s">
        <v>147</v>
      </c>
      <c r="M25" t="s">
        <v>144</v>
      </c>
      <c r="N25" t="s">
        <v>226</v>
      </c>
      <c r="O25">
        <v>1</v>
      </c>
      <c r="P25" t="s">
        <v>160</v>
      </c>
      <c r="R25">
        <v>765.5</v>
      </c>
      <c r="S25">
        <v>760</v>
      </c>
      <c r="T25" t="s">
        <v>172</v>
      </c>
      <c r="U25" t="s">
        <v>255</v>
      </c>
      <c r="V25" t="s">
        <v>67</v>
      </c>
      <c r="W25" t="s">
        <v>66</v>
      </c>
      <c r="X25" t="s">
        <v>67</v>
      </c>
      <c r="Y25" t="s">
        <v>138</v>
      </c>
      <c r="AA25" t="s">
        <v>494</v>
      </c>
      <c r="AC25" t="s">
        <v>139</v>
      </c>
      <c r="AD25" t="s">
        <v>537</v>
      </c>
      <c r="AG25" t="s">
        <v>156</v>
      </c>
      <c r="AH25" t="s">
        <v>68</v>
      </c>
      <c r="AI25" t="s">
        <v>493</v>
      </c>
      <c r="AK25" t="s">
        <v>538</v>
      </c>
    </row>
    <row r="26" spans="1:37" customFormat="1">
      <c r="A26" t="s">
        <v>23</v>
      </c>
      <c r="B26" t="s">
        <v>24</v>
      </c>
      <c r="C26" t="s">
        <v>219</v>
      </c>
      <c r="D26" t="s">
        <v>140</v>
      </c>
      <c r="E26" t="s">
        <v>220</v>
      </c>
      <c r="F26" t="s">
        <v>141</v>
      </c>
      <c r="G26" t="s">
        <v>136</v>
      </c>
      <c r="H26" t="s">
        <v>151</v>
      </c>
      <c r="I26" t="s">
        <v>156</v>
      </c>
      <c r="J26" t="s">
        <v>26</v>
      </c>
      <c r="K26" t="s">
        <v>157</v>
      </c>
      <c r="L26" t="s">
        <v>147</v>
      </c>
      <c r="M26" t="s">
        <v>144</v>
      </c>
      <c r="N26" t="s">
        <v>227</v>
      </c>
      <c r="O26">
        <v>1</v>
      </c>
      <c r="P26" t="s">
        <v>160</v>
      </c>
      <c r="R26">
        <v>766.5</v>
      </c>
      <c r="S26">
        <v>760</v>
      </c>
      <c r="T26" t="s">
        <v>172</v>
      </c>
      <c r="U26" t="s">
        <v>255</v>
      </c>
      <c r="V26" t="s">
        <v>67</v>
      </c>
      <c r="W26" t="s">
        <v>66</v>
      </c>
      <c r="X26" t="s">
        <v>67</v>
      </c>
      <c r="Y26" t="s">
        <v>138</v>
      </c>
      <c r="AA26" t="s">
        <v>494</v>
      </c>
      <c r="AC26" t="s">
        <v>139</v>
      </c>
      <c r="AD26" t="s">
        <v>539</v>
      </c>
      <c r="AG26" t="s">
        <v>156</v>
      </c>
      <c r="AH26" t="s">
        <v>68</v>
      </c>
      <c r="AI26" t="s">
        <v>493</v>
      </c>
      <c r="AK26" t="s">
        <v>540</v>
      </c>
    </row>
    <row r="27" spans="1:37" customFormat="1">
      <c r="A27" t="s">
        <v>23</v>
      </c>
      <c r="B27" t="s">
        <v>24</v>
      </c>
      <c r="C27" t="s">
        <v>219</v>
      </c>
      <c r="D27" t="s">
        <v>140</v>
      </c>
      <c r="E27" t="s">
        <v>220</v>
      </c>
      <c r="F27" t="s">
        <v>141</v>
      </c>
      <c r="G27" t="s">
        <v>136</v>
      </c>
      <c r="H27" t="s">
        <v>151</v>
      </c>
      <c r="I27" t="s">
        <v>156</v>
      </c>
      <c r="J27" t="s">
        <v>26</v>
      </c>
      <c r="K27" t="s">
        <v>157</v>
      </c>
      <c r="L27" t="s">
        <v>147</v>
      </c>
      <c r="M27" t="s">
        <v>144</v>
      </c>
      <c r="N27" t="s">
        <v>228</v>
      </c>
      <c r="O27">
        <v>1</v>
      </c>
      <c r="P27" t="s">
        <v>160</v>
      </c>
      <c r="R27">
        <v>766</v>
      </c>
      <c r="S27">
        <v>760</v>
      </c>
      <c r="T27" t="s">
        <v>172</v>
      </c>
      <c r="U27" t="s">
        <v>255</v>
      </c>
      <c r="V27" t="s">
        <v>67</v>
      </c>
      <c r="W27" t="s">
        <v>66</v>
      </c>
      <c r="X27" t="s">
        <v>67</v>
      </c>
      <c r="Y27" t="s">
        <v>138</v>
      </c>
      <c r="AA27" t="s">
        <v>494</v>
      </c>
      <c r="AC27" t="s">
        <v>139</v>
      </c>
      <c r="AD27" t="s">
        <v>541</v>
      </c>
      <c r="AG27" t="s">
        <v>156</v>
      </c>
      <c r="AH27" t="s">
        <v>68</v>
      </c>
      <c r="AI27" t="s">
        <v>493</v>
      </c>
      <c r="AK27" t="s">
        <v>542</v>
      </c>
    </row>
    <row r="28" spans="1:37" customFormat="1">
      <c r="A28" t="s">
        <v>23</v>
      </c>
      <c r="B28" t="s">
        <v>24</v>
      </c>
      <c r="C28" t="s">
        <v>219</v>
      </c>
      <c r="D28" t="s">
        <v>140</v>
      </c>
      <c r="E28" t="s">
        <v>220</v>
      </c>
      <c r="F28" t="s">
        <v>141</v>
      </c>
      <c r="G28" t="s">
        <v>136</v>
      </c>
      <c r="H28" t="s">
        <v>151</v>
      </c>
      <c r="I28" t="s">
        <v>156</v>
      </c>
      <c r="J28" t="s">
        <v>26</v>
      </c>
      <c r="K28" t="s">
        <v>157</v>
      </c>
      <c r="L28" t="s">
        <v>147</v>
      </c>
      <c r="M28" t="s">
        <v>144</v>
      </c>
      <c r="N28" t="s">
        <v>229</v>
      </c>
      <c r="O28">
        <v>1</v>
      </c>
      <c r="P28" t="s">
        <v>160</v>
      </c>
      <c r="R28">
        <v>761.5</v>
      </c>
      <c r="S28">
        <v>760</v>
      </c>
      <c r="T28" t="s">
        <v>172</v>
      </c>
      <c r="U28" t="s">
        <v>255</v>
      </c>
      <c r="V28" t="s">
        <v>67</v>
      </c>
      <c r="W28" t="s">
        <v>66</v>
      </c>
      <c r="X28" t="s">
        <v>67</v>
      </c>
      <c r="Y28" t="s">
        <v>138</v>
      </c>
      <c r="AA28" t="s">
        <v>494</v>
      </c>
      <c r="AC28" t="s">
        <v>139</v>
      </c>
      <c r="AD28" t="s">
        <v>543</v>
      </c>
      <c r="AG28" t="s">
        <v>156</v>
      </c>
      <c r="AH28" t="s">
        <v>68</v>
      </c>
      <c r="AI28" t="s">
        <v>493</v>
      </c>
      <c r="AK28" t="s">
        <v>544</v>
      </c>
    </row>
    <row r="29" spans="1:37" customFormat="1">
      <c r="A29" t="s">
        <v>23</v>
      </c>
      <c r="B29" t="s">
        <v>24</v>
      </c>
      <c r="C29" t="s">
        <v>219</v>
      </c>
      <c r="D29" t="s">
        <v>140</v>
      </c>
      <c r="E29" t="s">
        <v>220</v>
      </c>
      <c r="F29" t="s">
        <v>141</v>
      </c>
      <c r="G29" t="s">
        <v>136</v>
      </c>
      <c r="H29" t="s">
        <v>151</v>
      </c>
      <c r="I29" t="s">
        <v>156</v>
      </c>
      <c r="J29" t="s">
        <v>26</v>
      </c>
      <c r="K29" t="s">
        <v>157</v>
      </c>
      <c r="L29" t="s">
        <v>147</v>
      </c>
      <c r="M29" t="s">
        <v>144</v>
      </c>
      <c r="N29" t="s">
        <v>230</v>
      </c>
      <c r="O29">
        <v>1</v>
      </c>
      <c r="P29" t="s">
        <v>160</v>
      </c>
      <c r="R29">
        <v>761.5</v>
      </c>
      <c r="S29">
        <v>760</v>
      </c>
      <c r="T29" t="s">
        <v>172</v>
      </c>
      <c r="U29" t="s">
        <v>255</v>
      </c>
      <c r="V29" t="s">
        <v>67</v>
      </c>
      <c r="W29" t="s">
        <v>66</v>
      </c>
      <c r="X29" t="s">
        <v>67</v>
      </c>
      <c r="Y29" t="s">
        <v>138</v>
      </c>
      <c r="AA29" t="s">
        <v>494</v>
      </c>
      <c r="AC29" t="s">
        <v>139</v>
      </c>
      <c r="AD29" t="s">
        <v>545</v>
      </c>
      <c r="AG29" t="s">
        <v>156</v>
      </c>
      <c r="AH29" t="s">
        <v>68</v>
      </c>
      <c r="AI29" t="s">
        <v>493</v>
      </c>
      <c r="AK29" t="s">
        <v>546</v>
      </c>
    </row>
    <row r="30" spans="1:37" customFormat="1">
      <c r="A30" t="s">
        <v>23</v>
      </c>
      <c r="B30" t="s">
        <v>24</v>
      </c>
      <c r="C30" t="s">
        <v>219</v>
      </c>
      <c r="D30" t="s">
        <v>140</v>
      </c>
      <c r="E30" t="s">
        <v>220</v>
      </c>
      <c r="F30" t="s">
        <v>141</v>
      </c>
      <c r="G30" t="s">
        <v>136</v>
      </c>
      <c r="H30" t="s">
        <v>151</v>
      </c>
      <c r="I30" t="s">
        <v>156</v>
      </c>
      <c r="J30" t="s">
        <v>26</v>
      </c>
      <c r="K30" t="s">
        <v>157</v>
      </c>
      <c r="L30" t="s">
        <v>147</v>
      </c>
      <c r="M30" t="s">
        <v>144</v>
      </c>
      <c r="N30" t="s">
        <v>231</v>
      </c>
      <c r="O30">
        <v>1</v>
      </c>
      <c r="P30" t="s">
        <v>160</v>
      </c>
      <c r="R30">
        <v>760.5</v>
      </c>
      <c r="S30">
        <v>760</v>
      </c>
      <c r="T30" t="s">
        <v>172</v>
      </c>
      <c r="U30" t="s">
        <v>255</v>
      </c>
      <c r="V30" t="s">
        <v>67</v>
      </c>
      <c r="W30" t="s">
        <v>66</v>
      </c>
      <c r="X30" t="s">
        <v>67</v>
      </c>
      <c r="Y30" t="s">
        <v>138</v>
      </c>
      <c r="AA30" t="s">
        <v>494</v>
      </c>
      <c r="AC30" t="s">
        <v>139</v>
      </c>
      <c r="AD30" t="s">
        <v>547</v>
      </c>
      <c r="AG30" t="s">
        <v>156</v>
      </c>
      <c r="AH30" t="s">
        <v>68</v>
      </c>
      <c r="AI30" t="s">
        <v>493</v>
      </c>
      <c r="AK30" t="s">
        <v>548</v>
      </c>
    </row>
    <row r="31" spans="1:37" customFormat="1">
      <c r="A31" t="s">
        <v>23</v>
      </c>
      <c r="B31" t="s">
        <v>24</v>
      </c>
      <c r="C31" t="s">
        <v>219</v>
      </c>
      <c r="D31" t="s">
        <v>140</v>
      </c>
      <c r="E31" t="s">
        <v>220</v>
      </c>
      <c r="F31" t="s">
        <v>141</v>
      </c>
      <c r="G31" t="s">
        <v>136</v>
      </c>
      <c r="H31" t="s">
        <v>151</v>
      </c>
      <c r="I31" t="s">
        <v>156</v>
      </c>
      <c r="J31" t="s">
        <v>26</v>
      </c>
      <c r="K31" t="s">
        <v>157</v>
      </c>
      <c r="L31" t="s">
        <v>147</v>
      </c>
      <c r="M31" t="s">
        <v>144</v>
      </c>
      <c r="N31" t="s">
        <v>232</v>
      </c>
      <c r="O31">
        <v>1</v>
      </c>
      <c r="P31" t="s">
        <v>160</v>
      </c>
      <c r="R31">
        <v>764.5</v>
      </c>
      <c r="S31">
        <v>760</v>
      </c>
      <c r="T31" t="s">
        <v>172</v>
      </c>
      <c r="U31" t="s">
        <v>255</v>
      </c>
      <c r="V31" t="s">
        <v>67</v>
      </c>
      <c r="W31" t="s">
        <v>66</v>
      </c>
      <c r="X31" t="s">
        <v>67</v>
      </c>
      <c r="Y31" t="s">
        <v>138</v>
      </c>
      <c r="AA31" t="s">
        <v>494</v>
      </c>
      <c r="AC31" t="s">
        <v>139</v>
      </c>
      <c r="AD31" t="s">
        <v>549</v>
      </c>
      <c r="AG31" t="s">
        <v>156</v>
      </c>
      <c r="AH31" t="s">
        <v>68</v>
      </c>
      <c r="AI31" t="s">
        <v>493</v>
      </c>
      <c r="AK31" t="s">
        <v>550</v>
      </c>
    </row>
    <row r="32" spans="1:37" customFormat="1">
      <c r="A32" t="s">
        <v>23</v>
      </c>
      <c r="B32" t="s">
        <v>24</v>
      </c>
      <c r="C32" t="s">
        <v>219</v>
      </c>
      <c r="D32" t="s">
        <v>140</v>
      </c>
      <c r="E32" t="s">
        <v>220</v>
      </c>
      <c r="F32" t="s">
        <v>141</v>
      </c>
      <c r="G32" t="s">
        <v>136</v>
      </c>
      <c r="H32" t="s">
        <v>151</v>
      </c>
      <c r="I32" t="s">
        <v>156</v>
      </c>
      <c r="J32" t="s">
        <v>26</v>
      </c>
      <c r="K32" t="s">
        <v>157</v>
      </c>
      <c r="L32" t="s">
        <v>147</v>
      </c>
      <c r="M32" t="s">
        <v>144</v>
      </c>
      <c r="N32" t="s">
        <v>233</v>
      </c>
      <c r="O32">
        <v>1</v>
      </c>
      <c r="P32" t="s">
        <v>160</v>
      </c>
      <c r="R32">
        <v>760.5</v>
      </c>
      <c r="S32">
        <v>760</v>
      </c>
      <c r="T32" t="s">
        <v>172</v>
      </c>
      <c r="U32" t="s">
        <v>255</v>
      </c>
      <c r="V32" t="s">
        <v>67</v>
      </c>
      <c r="W32" t="s">
        <v>66</v>
      </c>
      <c r="X32" t="s">
        <v>67</v>
      </c>
      <c r="Y32" t="s">
        <v>138</v>
      </c>
      <c r="AA32" t="s">
        <v>494</v>
      </c>
      <c r="AC32" t="s">
        <v>139</v>
      </c>
      <c r="AD32" t="s">
        <v>551</v>
      </c>
      <c r="AG32" t="s">
        <v>156</v>
      </c>
      <c r="AH32" t="s">
        <v>68</v>
      </c>
      <c r="AI32" t="s">
        <v>493</v>
      </c>
      <c r="AK32" t="s">
        <v>552</v>
      </c>
    </row>
    <row r="33" spans="1:37" customFormat="1">
      <c r="A33" t="s">
        <v>23</v>
      </c>
      <c r="B33" t="s">
        <v>24</v>
      </c>
      <c r="C33" t="s">
        <v>219</v>
      </c>
      <c r="D33" t="s">
        <v>140</v>
      </c>
      <c r="E33" t="s">
        <v>220</v>
      </c>
      <c r="F33" t="s">
        <v>141</v>
      </c>
      <c r="G33" t="s">
        <v>136</v>
      </c>
      <c r="H33" t="s">
        <v>151</v>
      </c>
      <c r="I33" t="s">
        <v>156</v>
      </c>
      <c r="J33" t="s">
        <v>26</v>
      </c>
      <c r="K33" t="s">
        <v>157</v>
      </c>
      <c r="L33" t="s">
        <v>147</v>
      </c>
      <c r="M33" t="s">
        <v>144</v>
      </c>
      <c r="N33" t="s">
        <v>234</v>
      </c>
      <c r="O33">
        <v>1</v>
      </c>
      <c r="P33" t="s">
        <v>160</v>
      </c>
      <c r="R33">
        <v>764</v>
      </c>
      <c r="S33">
        <v>760</v>
      </c>
      <c r="T33" t="s">
        <v>172</v>
      </c>
      <c r="U33" t="s">
        <v>255</v>
      </c>
      <c r="V33" t="s">
        <v>67</v>
      </c>
      <c r="W33" t="s">
        <v>66</v>
      </c>
      <c r="X33" t="s">
        <v>67</v>
      </c>
      <c r="Y33" t="s">
        <v>138</v>
      </c>
      <c r="AA33" t="s">
        <v>494</v>
      </c>
      <c r="AC33" t="s">
        <v>139</v>
      </c>
      <c r="AD33" t="s">
        <v>553</v>
      </c>
      <c r="AG33" t="s">
        <v>156</v>
      </c>
      <c r="AH33" t="s">
        <v>68</v>
      </c>
      <c r="AI33" t="s">
        <v>493</v>
      </c>
      <c r="AK33" t="s">
        <v>554</v>
      </c>
    </row>
    <row r="34" spans="1:37" customFormat="1">
      <c r="A34" t="s">
        <v>23</v>
      </c>
      <c r="B34" t="s">
        <v>24</v>
      </c>
      <c r="C34" t="s">
        <v>219</v>
      </c>
      <c r="D34" t="s">
        <v>140</v>
      </c>
      <c r="E34" t="s">
        <v>220</v>
      </c>
      <c r="F34" t="s">
        <v>141</v>
      </c>
      <c r="G34" t="s">
        <v>136</v>
      </c>
      <c r="H34" t="s">
        <v>151</v>
      </c>
      <c r="I34" t="s">
        <v>156</v>
      </c>
      <c r="J34" t="s">
        <v>26</v>
      </c>
      <c r="K34" t="s">
        <v>157</v>
      </c>
      <c r="L34" t="s">
        <v>147</v>
      </c>
      <c r="M34" t="s">
        <v>144</v>
      </c>
      <c r="N34" t="s">
        <v>235</v>
      </c>
      <c r="O34">
        <v>1</v>
      </c>
      <c r="P34" t="s">
        <v>160</v>
      </c>
      <c r="R34">
        <v>765</v>
      </c>
      <c r="S34">
        <v>760</v>
      </c>
      <c r="T34" t="s">
        <v>172</v>
      </c>
      <c r="U34" t="s">
        <v>255</v>
      </c>
      <c r="V34" t="s">
        <v>67</v>
      </c>
      <c r="W34" t="s">
        <v>66</v>
      </c>
      <c r="X34" t="s">
        <v>67</v>
      </c>
      <c r="Y34" t="s">
        <v>138</v>
      </c>
      <c r="AA34" t="s">
        <v>494</v>
      </c>
      <c r="AC34" t="s">
        <v>139</v>
      </c>
      <c r="AD34" t="s">
        <v>555</v>
      </c>
      <c r="AG34" t="s">
        <v>156</v>
      </c>
      <c r="AH34" t="s">
        <v>68</v>
      </c>
      <c r="AI34" t="s">
        <v>493</v>
      </c>
      <c r="AK34" t="s">
        <v>556</v>
      </c>
    </row>
    <row r="35" spans="1:37" customFormat="1">
      <c r="A35" t="s">
        <v>23</v>
      </c>
      <c r="B35" t="s">
        <v>24</v>
      </c>
      <c r="C35" t="s">
        <v>219</v>
      </c>
      <c r="D35" t="s">
        <v>140</v>
      </c>
      <c r="E35" t="s">
        <v>220</v>
      </c>
      <c r="F35" t="s">
        <v>141</v>
      </c>
      <c r="G35" t="s">
        <v>136</v>
      </c>
      <c r="H35" t="s">
        <v>151</v>
      </c>
      <c r="I35" t="s">
        <v>156</v>
      </c>
      <c r="J35" t="s">
        <v>26</v>
      </c>
      <c r="K35" t="s">
        <v>157</v>
      </c>
      <c r="L35" t="s">
        <v>147</v>
      </c>
      <c r="M35" t="s">
        <v>144</v>
      </c>
      <c r="N35" t="s">
        <v>236</v>
      </c>
      <c r="O35">
        <v>1</v>
      </c>
      <c r="P35" t="s">
        <v>160</v>
      </c>
      <c r="R35">
        <v>760.5</v>
      </c>
      <c r="S35">
        <v>760</v>
      </c>
      <c r="T35" t="s">
        <v>172</v>
      </c>
      <c r="U35" t="s">
        <v>255</v>
      </c>
      <c r="V35" t="s">
        <v>67</v>
      </c>
      <c r="W35" t="s">
        <v>66</v>
      </c>
      <c r="X35" t="s">
        <v>67</v>
      </c>
      <c r="Y35" t="s">
        <v>138</v>
      </c>
      <c r="AA35" t="s">
        <v>494</v>
      </c>
      <c r="AC35" t="s">
        <v>139</v>
      </c>
      <c r="AD35" t="s">
        <v>557</v>
      </c>
      <c r="AG35" t="s">
        <v>156</v>
      </c>
      <c r="AH35" t="s">
        <v>68</v>
      </c>
      <c r="AI35" t="s">
        <v>493</v>
      </c>
      <c r="AK35" t="s">
        <v>558</v>
      </c>
    </row>
    <row r="36" spans="1:37" customFormat="1">
      <c r="A36" t="s">
        <v>23</v>
      </c>
      <c r="B36" t="s">
        <v>24</v>
      </c>
      <c r="C36" t="s">
        <v>219</v>
      </c>
      <c r="D36" t="s">
        <v>140</v>
      </c>
      <c r="E36" t="s">
        <v>220</v>
      </c>
      <c r="F36" t="s">
        <v>141</v>
      </c>
      <c r="G36" t="s">
        <v>136</v>
      </c>
      <c r="H36" t="s">
        <v>151</v>
      </c>
      <c r="I36" t="s">
        <v>156</v>
      </c>
      <c r="J36" t="s">
        <v>26</v>
      </c>
      <c r="K36" t="s">
        <v>157</v>
      </c>
      <c r="L36" t="s">
        <v>147</v>
      </c>
      <c r="M36" t="s">
        <v>144</v>
      </c>
      <c r="N36" t="s">
        <v>237</v>
      </c>
      <c r="O36">
        <v>1</v>
      </c>
      <c r="P36" t="s">
        <v>160</v>
      </c>
      <c r="R36">
        <v>760</v>
      </c>
      <c r="S36">
        <v>760</v>
      </c>
      <c r="T36" t="s">
        <v>172</v>
      </c>
      <c r="U36" t="s">
        <v>255</v>
      </c>
      <c r="V36" t="s">
        <v>67</v>
      </c>
      <c r="W36" t="s">
        <v>66</v>
      </c>
      <c r="X36" t="s">
        <v>67</v>
      </c>
      <c r="Y36" t="s">
        <v>138</v>
      </c>
      <c r="AA36" t="s">
        <v>494</v>
      </c>
      <c r="AC36" t="s">
        <v>139</v>
      </c>
      <c r="AD36" t="s">
        <v>559</v>
      </c>
      <c r="AG36" t="s">
        <v>156</v>
      </c>
      <c r="AH36" t="s">
        <v>68</v>
      </c>
      <c r="AI36" t="s">
        <v>493</v>
      </c>
      <c r="AK36" t="s">
        <v>560</v>
      </c>
    </row>
    <row r="37" spans="1:37" customFormat="1">
      <c r="A37" t="s">
        <v>23</v>
      </c>
      <c r="B37" t="s">
        <v>24</v>
      </c>
      <c r="C37" t="s">
        <v>238</v>
      </c>
      <c r="D37" t="s">
        <v>140</v>
      </c>
      <c r="E37" t="s">
        <v>239</v>
      </c>
      <c r="F37" t="s">
        <v>141</v>
      </c>
      <c r="G37" t="s">
        <v>136</v>
      </c>
      <c r="H37" t="s">
        <v>151</v>
      </c>
      <c r="I37" t="s">
        <v>156</v>
      </c>
      <c r="J37" t="s">
        <v>25</v>
      </c>
      <c r="K37" t="s">
        <v>157</v>
      </c>
      <c r="L37" t="s">
        <v>147</v>
      </c>
      <c r="M37" t="s">
        <v>144</v>
      </c>
      <c r="N37" t="s">
        <v>240</v>
      </c>
      <c r="O37">
        <v>13</v>
      </c>
      <c r="P37" t="s">
        <v>159</v>
      </c>
      <c r="R37">
        <v>229</v>
      </c>
      <c r="S37">
        <v>197.6</v>
      </c>
      <c r="T37" t="s">
        <v>172</v>
      </c>
      <c r="U37" t="s">
        <v>216</v>
      </c>
      <c r="V37" t="s">
        <v>27</v>
      </c>
      <c r="W37" t="s">
        <v>66</v>
      </c>
      <c r="X37" t="s">
        <v>67</v>
      </c>
      <c r="Y37" t="s">
        <v>138</v>
      </c>
      <c r="AA37" t="s">
        <v>494</v>
      </c>
      <c r="AC37" t="s">
        <v>139</v>
      </c>
      <c r="AD37" t="s">
        <v>561</v>
      </c>
      <c r="AG37" t="s">
        <v>156</v>
      </c>
      <c r="AH37" t="s">
        <v>68</v>
      </c>
      <c r="AI37" t="s">
        <v>493</v>
      </c>
    </row>
    <row r="38" spans="1:37" customFormat="1">
      <c r="A38" t="s">
        <v>23</v>
      </c>
      <c r="B38" t="s">
        <v>24</v>
      </c>
      <c r="C38" t="s">
        <v>219</v>
      </c>
      <c r="D38" t="s">
        <v>140</v>
      </c>
      <c r="E38" t="s">
        <v>241</v>
      </c>
      <c r="F38" t="s">
        <v>141</v>
      </c>
      <c r="G38" t="s">
        <v>136</v>
      </c>
      <c r="H38" t="s">
        <v>151</v>
      </c>
      <c r="I38" t="s">
        <v>156</v>
      </c>
      <c r="J38" t="s">
        <v>26</v>
      </c>
      <c r="K38" t="s">
        <v>157</v>
      </c>
      <c r="L38" t="s">
        <v>162</v>
      </c>
      <c r="M38" t="s">
        <v>144</v>
      </c>
      <c r="N38" t="s">
        <v>242</v>
      </c>
      <c r="O38">
        <v>1</v>
      </c>
      <c r="P38" t="s">
        <v>160</v>
      </c>
      <c r="R38">
        <v>753.5</v>
      </c>
      <c r="S38">
        <v>748.5</v>
      </c>
      <c r="T38" t="s">
        <v>172</v>
      </c>
      <c r="U38" t="s">
        <v>390</v>
      </c>
      <c r="V38" t="s">
        <v>27</v>
      </c>
      <c r="W38" t="s">
        <v>66</v>
      </c>
      <c r="X38" t="s">
        <v>67</v>
      </c>
      <c r="Y38" t="s">
        <v>148</v>
      </c>
      <c r="AA38" t="s">
        <v>494</v>
      </c>
      <c r="AC38" t="s">
        <v>139</v>
      </c>
      <c r="AD38" t="s">
        <v>562</v>
      </c>
      <c r="AF38" t="s">
        <v>493</v>
      </c>
      <c r="AG38" t="s">
        <v>156</v>
      </c>
      <c r="AH38" t="s">
        <v>68</v>
      </c>
      <c r="AI38" t="s">
        <v>493</v>
      </c>
      <c r="AK38" t="s">
        <v>563</v>
      </c>
    </row>
    <row r="39" spans="1:37" customFormat="1">
      <c r="A39" t="s">
        <v>23</v>
      </c>
      <c r="B39" t="s">
        <v>24</v>
      </c>
      <c r="C39" t="s">
        <v>219</v>
      </c>
      <c r="D39" t="s">
        <v>140</v>
      </c>
      <c r="E39" t="s">
        <v>241</v>
      </c>
      <c r="F39" t="s">
        <v>141</v>
      </c>
      <c r="G39" t="s">
        <v>136</v>
      </c>
      <c r="H39" t="s">
        <v>151</v>
      </c>
      <c r="I39" t="s">
        <v>156</v>
      </c>
      <c r="J39" t="s">
        <v>26</v>
      </c>
      <c r="K39" t="s">
        <v>157</v>
      </c>
      <c r="L39" t="s">
        <v>162</v>
      </c>
      <c r="M39" t="s">
        <v>144</v>
      </c>
      <c r="N39" t="s">
        <v>243</v>
      </c>
      <c r="O39">
        <v>1</v>
      </c>
      <c r="P39" t="s">
        <v>160</v>
      </c>
      <c r="R39">
        <v>749</v>
      </c>
      <c r="S39">
        <v>748.5</v>
      </c>
      <c r="T39" t="s">
        <v>172</v>
      </c>
      <c r="U39" t="s">
        <v>390</v>
      </c>
      <c r="V39" t="s">
        <v>27</v>
      </c>
      <c r="W39" t="s">
        <v>66</v>
      </c>
      <c r="X39" t="s">
        <v>67</v>
      </c>
      <c r="Y39" t="s">
        <v>148</v>
      </c>
      <c r="AA39" t="s">
        <v>494</v>
      </c>
      <c r="AC39" t="s">
        <v>139</v>
      </c>
      <c r="AD39" t="s">
        <v>564</v>
      </c>
      <c r="AF39" t="s">
        <v>493</v>
      </c>
      <c r="AG39" t="s">
        <v>156</v>
      </c>
      <c r="AH39" t="s">
        <v>68</v>
      </c>
      <c r="AI39" t="s">
        <v>493</v>
      </c>
      <c r="AK39" t="s">
        <v>565</v>
      </c>
    </row>
    <row r="40" spans="1:37" customFormat="1">
      <c r="A40" t="s">
        <v>23</v>
      </c>
      <c r="B40" t="s">
        <v>24</v>
      </c>
      <c r="C40" t="s">
        <v>219</v>
      </c>
      <c r="D40" t="s">
        <v>140</v>
      </c>
      <c r="E40" t="s">
        <v>241</v>
      </c>
      <c r="F40" t="s">
        <v>141</v>
      </c>
      <c r="G40" t="s">
        <v>136</v>
      </c>
      <c r="H40" t="s">
        <v>151</v>
      </c>
      <c r="I40" t="s">
        <v>156</v>
      </c>
      <c r="J40" t="s">
        <v>26</v>
      </c>
      <c r="K40" t="s">
        <v>157</v>
      </c>
      <c r="L40" t="s">
        <v>162</v>
      </c>
      <c r="M40" t="s">
        <v>144</v>
      </c>
      <c r="N40" t="s">
        <v>244</v>
      </c>
      <c r="O40">
        <v>1</v>
      </c>
      <c r="P40" t="s">
        <v>160</v>
      </c>
      <c r="R40">
        <v>752</v>
      </c>
      <c r="S40">
        <v>748.5</v>
      </c>
      <c r="T40" t="s">
        <v>172</v>
      </c>
      <c r="U40" t="s">
        <v>390</v>
      </c>
      <c r="V40" t="s">
        <v>27</v>
      </c>
      <c r="W40" t="s">
        <v>66</v>
      </c>
      <c r="X40" t="s">
        <v>67</v>
      </c>
      <c r="Y40" t="s">
        <v>148</v>
      </c>
      <c r="AA40" t="s">
        <v>494</v>
      </c>
      <c r="AC40" t="s">
        <v>139</v>
      </c>
      <c r="AD40" t="s">
        <v>566</v>
      </c>
      <c r="AF40" t="s">
        <v>493</v>
      </c>
      <c r="AG40" t="s">
        <v>156</v>
      </c>
      <c r="AH40" t="s">
        <v>68</v>
      </c>
      <c r="AI40" t="s">
        <v>493</v>
      </c>
      <c r="AK40" t="s">
        <v>567</v>
      </c>
    </row>
    <row r="41" spans="1:37" customFormat="1">
      <c r="A41" t="s">
        <v>23</v>
      </c>
      <c r="B41" t="s">
        <v>24</v>
      </c>
      <c r="C41" t="s">
        <v>219</v>
      </c>
      <c r="D41" t="s">
        <v>140</v>
      </c>
      <c r="E41" t="s">
        <v>241</v>
      </c>
      <c r="F41" t="s">
        <v>141</v>
      </c>
      <c r="G41" t="s">
        <v>136</v>
      </c>
      <c r="H41" t="s">
        <v>151</v>
      </c>
      <c r="I41" t="s">
        <v>156</v>
      </c>
      <c r="J41" t="s">
        <v>26</v>
      </c>
      <c r="K41" t="s">
        <v>157</v>
      </c>
      <c r="L41" t="s">
        <v>162</v>
      </c>
      <c r="M41" t="s">
        <v>144</v>
      </c>
      <c r="N41" t="s">
        <v>245</v>
      </c>
      <c r="O41">
        <v>1</v>
      </c>
      <c r="P41" t="s">
        <v>160</v>
      </c>
      <c r="R41">
        <v>750</v>
      </c>
      <c r="S41">
        <v>748.5</v>
      </c>
      <c r="T41" t="s">
        <v>172</v>
      </c>
      <c r="U41" t="s">
        <v>390</v>
      </c>
      <c r="V41" t="s">
        <v>27</v>
      </c>
      <c r="W41" t="s">
        <v>66</v>
      </c>
      <c r="X41" t="s">
        <v>67</v>
      </c>
      <c r="Y41" t="s">
        <v>148</v>
      </c>
      <c r="AA41" t="s">
        <v>494</v>
      </c>
      <c r="AC41" t="s">
        <v>139</v>
      </c>
      <c r="AD41" t="s">
        <v>568</v>
      </c>
      <c r="AF41" t="s">
        <v>493</v>
      </c>
      <c r="AG41" t="s">
        <v>156</v>
      </c>
      <c r="AH41" t="s">
        <v>68</v>
      </c>
      <c r="AI41" t="s">
        <v>493</v>
      </c>
      <c r="AK41" t="s">
        <v>569</v>
      </c>
    </row>
    <row r="42" spans="1:37" customFormat="1">
      <c r="A42" t="s">
        <v>23</v>
      </c>
      <c r="B42" t="s">
        <v>24</v>
      </c>
      <c r="C42" t="s">
        <v>219</v>
      </c>
      <c r="D42" t="s">
        <v>140</v>
      </c>
      <c r="E42" t="s">
        <v>241</v>
      </c>
      <c r="F42" t="s">
        <v>141</v>
      </c>
      <c r="G42" t="s">
        <v>136</v>
      </c>
      <c r="H42" t="s">
        <v>151</v>
      </c>
      <c r="I42" t="s">
        <v>156</v>
      </c>
      <c r="J42" t="s">
        <v>26</v>
      </c>
      <c r="K42" t="s">
        <v>157</v>
      </c>
      <c r="L42" t="s">
        <v>162</v>
      </c>
      <c r="M42" t="s">
        <v>144</v>
      </c>
      <c r="N42" t="s">
        <v>246</v>
      </c>
      <c r="O42">
        <v>1</v>
      </c>
      <c r="P42" t="s">
        <v>160</v>
      </c>
      <c r="R42">
        <v>753.5</v>
      </c>
      <c r="S42">
        <v>748.5</v>
      </c>
      <c r="T42" t="s">
        <v>172</v>
      </c>
      <c r="U42" t="s">
        <v>390</v>
      </c>
      <c r="V42" t="s">
        <v>27</v>
      </c>
      <c r="W42" t="s">
        <v>66</v>
      </c>
      <c r="X42" t="s">
        <v>67</v>
      </c>
      <c r="Y42" t="s">
        <v>148</v>
      </c>
      <c r="AA42" t="s">
        <v>494</v>
      </c>
      <c r="AC42" t="s">
        <v>139</v>
      </c>
      <c r="AD42" t="s">
        <v>570</v>
      </c>
      <c r="AF42" t="s">
        <v>493</v>
      </c>
      <c r="AG42" t="s">
        <v>156</v>
      </c>
      <c r="AH42" t="s">
        <v>68</v>
      </c>
      <c r="AI42" t="s">
        <v>493</v>
      </c>
      <c r="AK42" t="s">
        <v>571</v>
      </c>
    </row>
    <row r="43" spans="1:37" customFormat="1">
      <c r="A43" t="s">
        <v>23</v>
      </c>
      <c r="B43" t="s">
        <v>24</v>
      </c>
      <c r="C43" t="s">
        <v>219</v>
      </c>
      <c r="D43" t="s">
        <v>140</v>
      </c>
      <c r="E43" t="s">
        <v>241</v>
      </c>
      <c r="F43" t="s">
        <v>141</v>
      </c>
      <c r="G43" t="s">
        <v>136</v>
      </c>
      <c r="H43" t="s">
        <v>151</v>
      </c>
      <c r="I43" t="s">
        <v>156</v>
      </c>
      <c r="J43" t="s">
        <v>26</v>
      </c>
      <c r="K43" t="s">
        <v>157</v>
      </c>
      <c r="L43" t="s">
        <v>162</v>
      </c>
      <c r="M43" t="s">
        <v>144</v>
      </c>
      <c r="N43" t="s">
        <v>247</v>
      </c>
      <c r="O43">
        <v>1</v>
      </c>
      <c r="P43" t="s">
        <v>160</v>
      </c>
      <c r="R43">
        <v>750</v>
      </c>
      <c r="S43">
        <v>748.5</v>
      </c>
      <c r="T43" t="s">
        <v>172</v>
      </c>
      <c r="U43" t="s">
        <v>390</v>
      </c>
      <c r="V43" t="s">
        <v>27</v>
      </c>
      <c r="W43" t="s">
        <v>66</v>
      </c>
      <c r="X43" t="s">
        <v>67</v>
      </c>
      <c r="Y43" t="s">
        <v>148</v>
      </c>
      <c r="AA43" t="s">
        <v>494</v>
      </c>
      <c r="AC43" t="s">
        <v>139</v>
      </c>
      <c r="AD43" t="s">
        <v>572</v>
      </c>
      <c r="AF43" t="s">
        <v>493</v>
      </c>
      <c r="AG43" t="s">
        <v>156</v>
      </c>
      <c r="AH43" t="s">
        <v>68</v>
      </c>
      <c r="AI43" t="s">
        <v>493</v>
      </c>
      <c r="AK43" t="s">
        <v>573</v>
      </c>
    </row>
    <row r="44" spans="1:37" customFormat="1">
      <c r="A44" t="s">
        <v>23</v>
      </c>
      <c r="B44" t="s">
        <v>24</v>
      </c>
      <c r="C44" t="s">
        <v>219</v>
      </c>
      <c r="D44" t="s">
        <v>140</v>
      </c>
      <c r="E44" t="s">
        <v>241</v>
      </c>
      <c r="F44" t="s">
        <v>141</v>
      </c>
      <c r="G44" t="s">
        <v>136</v>
      </c>
      <c r="H44" t="s">
        <v>151</v>
      </c>
      <c r="I44" t="s">
        <v>156</v>
      </c>
      <c r="J44" t="s">
        <v>26</v>
      </c>
      <c r="K44" t="s">
        <v>157</v>
      </c>
      <c r="L44" t="s">
        <v>162</v>
      </c>
      <c r="M44" t="s">
        <v>144</v>
      </c>
      <c r="N44" t="s">
        <v>248</v>
      </c>
      <c r="O44">
        <v>1</v>
      </c>
      <c r="P44" t="s">
        <v>160</v>
      </c>
      <c r="R44">
        <v>753</v>
      </c>
      <c r="S44">
        <v>748.5</v>
      </c>
      <c r="T44" t="s">
        <v>172</v>
      </c>
      <c r="U44" t="s">
        <v>390</v>
      </c>
      <c r="V44" t="s">
        <v>27</v>
      </c>
      <c r="W44" t="s">
        <v>66</v>
      </c>
      <c r="X44" t="s">
        <v>67</v>
      </c>
      <c r="Y44" t="s">
        <v>148</v>
      </c>
      <c r="AA44" t="s">
        <v>494</v>
      </c>
      <c r="AC44" t="s">
        <v>139</v>
      </c>
      <c r="AD44" t="s">
        <v>574</v>
      </c>
      <c r="AF44" t="s">
        <v>493</v>
      </c>
      <c r="AG44" t="s">
        <v>156</v>
      </c>
      <c r="AH44" t="s">
        <v>68</v>
      </c>
      <c r="AI44" t="s">
        <v>493</v>
      </c>
      <c r="AK44" t="s">
        <v>575</v>
      </c>
    </row>
    <row r="45" spans="1:37" customFormat="1">
      <c r="A45" t="s">
        <v>23</v>
      </c>
      <c r="B45" t="s">
        <v>24</v>
      </c>
      <c r="C45" t="s">
        <v>219</v>
      </c>
      <c r="D45" t="s">
        <v>140</v>
      </c>
      <c r="E45" t="s">
        <v>241</v>
      </c>
      <c r="F45" t="s">
        <v>141</v>
      </c>
      <c r="G45" t="s">
        <v>136</v>
      </c>
      <c r="H45" t="s">
        <v>151</v>
      </c>
      <c r="I45" t="s">
        <v>156</v>
      </c>
      <c r="J45" t="s">
        <v>26</v>
      </c>
      <c r="K45" t="s">
        <v>157</v>
      </c>
      <c r="L45" t="s">
        <v>162</v>
      </c>
      <c r="M45" t="s">
        <v>144</v>
      </c>
      <c r="N45" t="s">
        <v>249</v>
      </c>
      <c r="O45">
        <v>1</v>
      </c>
      <c r="P45" t="s">
        <v>160</v>
      </c>
      <c r="R45">
        <v>753.5</v>
      </c>
      <c r="S45">
        <v>748.5</v>
      </c>
      <c r="T45" t="s">
        <v>172</v>
      </c>
      <c r="U45" t="s">
        <v>390</v>
      </c>
      <c r="V45" t="s">
        <v>27</v>
      </c>
      <c r="W45" t="s">
        <v>66</v>
      </c>
      <c r="X45" t="s">
        <v>67</v>
      </c>
      <c r="Y45" t="s">
        <v>148</v>
      </c>
      <c r="AA45" t="s">
        <v>494</v>
      </c>
      <c r="AC45" t="s">
        <v>139</v>
      </c>
      <c r="AD45" t="s">
        <v>576</v>
      </c>
      <c r="AF45" t="s">
        <v>493</v>
      </c>
      <c r="AG45" t="s">
        <v>156</v>
      </c>
      <c r="AH45" t="s">
        <v>68</v>
      </c>
      <c r="AI45" t="s">
        <v>493</v>
      </c>
      <c r="AK45" t="s">
        <v>577</v>
      </c>
    </row>
    <row r="46" spans="1:37" customFormat="1">
      <c r="A46" t="s">
        <v>23</v>
      </c>
      <c r="B46" t="s">
        <v>24</v>
      </c>
      <c r="C46" t="s">
        <v>219</v>
      </c>
      <c r="D46" t="s">
        <v>140</v>
      </c>
      <c r="E46" t="s">
        <v>241</v>
      </c>
      <c r="F46" t="s">
        <v>141</v>
      </c>
      <c r="G46" t="s">
        <v>136</v>
      </c>
      <c r="H46" t="s">
        <v>151</v>
      </c>
      <c r="I46" t="s">
        <v>156</v>
      </c>
      <c r="J46" t="s">
        <v>26</v>
      </c>
      <c r="K46" t="s">
        <v>157</v>
      </c>
      <c r="L46" t="s">
        <v>162</v>
      </c>
      <c r="M46" t="s">
        <v>144</v>
      </c>
      <c r="N46" t="s">
        <v>250</v>
      </c>
      <c r="O46">
        <v>1</v>
      </c>
      <c r="P46" t="s">
        <v>160</v>
      </c>
      <c r="R46">
        <v>754.5</v>
      </c>
      <c r="S46">
        <v>748.5</v>
      </c>
      <c r="T46" t="s">
        <v>172</v>
      </c>
      <c r="U46" t="s">
        <v>390</v>
      </c>
      <c r="V46" t="s">
        <v>27</v>
      </c>
      <c r="W46" t="s">
        <v>66</v>
      </c>
      <c r="X46" t="s">
        <v>67</v>
      </c>
      <c r="Y46" t="s">
        <v>148</v>
      </c>
      <c r="AA46" t="s">
        <v>494</v>
      </c>
      <c r="AC46" t="s">
        <v>139</v>
      </c>
      <c r="AD46" t="s">
        <v>578</v>
      </c>
      <c r="AF46" t="s">
        <v>493</v>
      </c>
      <c r="AG46" t="s">
        <v>156</v>
      </c>
      <c r="AH46" t="s">
        <v>68</v>
      </c>
      <c r="AI46" t="s">
        <v>493</v>
      </c>
      <c r="AK46" t="s">
        <v>579</v>
      </c>
    </row>
    <row r="47" spans="1:37" customFormat="1">
      <c r="A47" t="s">
        <v>23</v>
      </c>
      <c r="B47" t="s">
        <v>24</v>
      </c>
      <c r="C47" t="s">
        <v>219</v>
      </c>
      <c r="D47" t="s">
        <v>140</v>
      </c>
      <c r="E47" t="s">
        <v>241</v>
      </c>
      <c r="F47" t="s">
        <v>141</v>
      </c>
      <c r="G47" t="s">
        <v>136</v>
      </c>
      <c r="H47" t="s">
        <v>151</v>
      </c>
      <c r="I47" t="s">
        <v>156</v>
      </c>
      <c r="J47" t="s">
        <v>26</v>
      </c>
      <c r="K47" t="s">
        <v>157</v>
      </c>
      <c r="L47" t="s">
        <v>162</v>
      </c>
      <c r="M47" t="s">
        <v>144</v>
      </c>
      <c r="N47" t="s">
        <v>251</v>
      </c>
      <c r="O47">
        <v>1</v>
      </c>
      <c r="P47" t="s">
        <v>160</v>
      </c>
      <c r="R47">
        <v>752</v>
      </c>
      <c r="S47">
        <v>748.5</v>
      </c>
      <c r="T47" t="s">
        <v>172</v>
      </c>
      <c r="U47" t="s">
        <v>390</v>
      </c>
      <c r="V47" t="s">
        <v>27</v>
      </c>
      <c r="W47" t="s">
        <v>66</v>
      </c>
      <c r="X47" t="s">
        <v>67</v>
      </c>
      <c r="Y47" t="s">
        <v>148</v>
      </c>
      <c r="AA47" t="s">
        <v>494</v>
      </c>
      <c r="AC47" t="s">
        <v>139</v>
      </c>
      <c r="AD47" t="s">
        <v>580</v>
      </c>
      <c r="AF47" t="s">
        <v>493</v>
      </c>
      <c r="AG47" t="s">
        <v>156</v>
      </c>
      <c r="AH47" t="s">
        <v>68</v>
      </c>
      <c r="AI47" t="s">
        <v>493</v>
      </c>
      <c r="AK47" t="s">
        <v>581</v>
      </c>
    </row>
    <row r="48" spans="1:37" customFormat="1">
      <c r="A48" t="s">
        <v>23</v>
      </c>
      <c r="B48" t="s">
        <v>24</v>
      </c>
      <c r="C48" t="s">
        <v>219</v>
      </c>
      <c r="D48" t="s">
        <v>140</v>
      </c>
      <c r="E48" t="s">
        <v>241</v>
      </c>
      <c r="F48" t="s">
        <v>141</v>
      </c>
      <c r="G48" t="s">
        <v>136</v>
      </c>
      <c r="H48" t="s">
        <v>151</v>
      </c>
      <c r="I48" t="s">
        <v>156</v>
      </c>
      <c r="J48" t="s">
        <v>26</v>
      </c>
      <c r="K48" t="s">
        <v>157</v>
      </c>
      <c r="L48" t="s">
        <v>162</v>
      </c>
      <c r="M48" t="s">
        <v>144</v>
      </c>
      <c r="N48" t="s">
        <v>252</v>
      </c>
      <c r="O48">
        <v>1</v>
      </c>
      <c r="P48" t="s">
        <v>160</v>
      </c>
      <c r="R48">
        <v>753</v>
      </c>
      <c r="S48">
        <v>748.5</v>
      </c>
      <c r="T48" t="s">
        <v>172</v>
      </c>
      <c r="U48" t="s">
        <v>390</v>
      </c>
      <c r="V48" t="s">
        <v>27</v>
      </c>
      <c r="W48" t="s">
        <v>66</v>
      </c>
      <c r="X48" t="s">
        <v>67</v>
      </c>
      <c r="Y48" t="s">
        <v>148</v>
      </c>
      <c r="AA48" t="s">
        <v>494</v>
      </c>
      <c r="AC48" t="s">
        <v>139</v>
      </c>
      <c r="AD48" t="s">
        <v>582</v>
      </c>
      <c r="AF48" t="s">
        <v>493</v>
      </c>
      <c r="AG48" t="s">
        <v>156</v>
      </c>
      <c r="AH48" t="s">
        <v>68</v>
      </c>
      <c r="AI48" t="s">
        <v>493</v>
      </c>
      <c r="AK48" t="s">
        <v>583</v>
      </c>
    </row>
    <row r="49" spans="1:37" customFormat="1">
      <c r="A49" t="s">
        <v>23</v>
      </c>
      <c r="B49" t="s">
        <v>24</v>
      </c>
      <c r="C49" t="s">
        <v>219</v>
      </c>
      <c r="D49" t="s">
        <v>140</v>
      </c>
      <c r="E49" t="s">
        <v>241</v>
      </c>
      <c r="F49" t="s">
        <v>141</v>
      </c>
      <c r="G49" t="s">
        <v>136</v>
      </c>
      <c r="H49" t="s">
        <v>151</v>
      </c>
      <c r="I49" t="s">
        <v>156</v>
      </c>
      <c r="J49" t="s">
        <v>26</v>
      </c>
      <c r="K49" t="s">
        <v>157</v>
      </c>
      <c r="L49" t="s">
        <v>162</v>
      </c>
      <c r="M49" t="s">
        <v>144</v>
      </c>
      <c r="N49" t="s">
        <v>253</v>
      </c>
      <c r="O49">
        <v>1</v>
      </c>
      <c r="P49" t="s">
        <v>160</v>
      </c>
      <c r="R49">
        <v>754.5</v>
      </c>
      <c r="S49">
        <v>748.5</v>
      </c>
      <c r="T49" t="s">
        <v>172</v>
      </c>
      <c r="U49" t="s">
        <v>390</v>
      </c>
      <c r="V49" t="s">
        <v>27</v>
      </c>
      <c r="W49" t="s">
        <v>66</v>
      </c>
      <c r="X49" t="s">
        <v>67</v>
      </c>
      <c r="Y49" t="s">
        <v>148</v>
      </c>
      <c r="AA49" t="s">
        <v>494</v>
      </c>
      <c r="AC49" t="s">
        <v>139</v>
      </c>
      <c r="AD49" t="s">
        <v>584</v>
      </c>
      <c r="AF49" t="s">
        <v>493</v>
      </c>
      <c r="AG49" t="s">
        <v>156</v>
      </c>
      <c r="AH49" t="s">
        <v>68</v>
      </c>
      <c r="AI49" t="s">
        <v>493</v>
      </c>
      <c r="AK49" t="s">
        <v>585</v>
      </c>
    </row>
    <row r="50" spans="1:37" customFormat="1">
      <c r="A50" t="s">
        <v>23</v>
      </c>
      <c r="B50" t="s">
        <v>24</v>
      </c>
      <c r="C50" t="s">
        <v>219</v>
      </c>
      <c r="D50" t="s">
        <v>140</v>
      </c>
      <c r="E50" t="s">
        <v>241</v>
      </c>
      <c r="F50" t="s">
        <v>141</v>
      </c>
      <c r="G50" t="s">
        <v>136</v>
      </c>
      <c r="H50" t="s">
        <v>151</v>
      </c>
      <c r="I50" t="s">
        <v>156</v>
      </c>
      <c r="J50" t="s">
        <v>26</v>
      </c>
      <c r="K50" t="s">
        <v>157</v>
      </c>
      <c r="L50" t="s">
        <v>162</v>
      </c>
      <c r="M50" t="s">
        <v>144</v>
      </c>
      <c r="N50" t="s">
        <v>254</v>
      </c>
      <c r="O50">
        <v>1</v>
      </c>
      <c r="P50" t="s">
        <v>160</v>
      </c>
      <c r="R50">
        <v>755.5</v>
      </c>
      <c r="S50">
        <v>748.5</v>
      </c>
      <c r="T50" t="s">
        <v>172</v>
      </c>
      <c r="U50" t="s">
        <v>390</v>
      </c>
      <c r="V50" t="s">
        <v>27</v>
      </c>
      <c r="W50" t="s">
        <v>66</v>
      </c>
      <c r="X50" t="s">
        <v>67</v>
      </c>
      <c r="Y50" t="s">
        <v>148</v>
      </c>
      <c r="AA50" t="s">
        <v>494</v>
      </c>
      <c r="AC50" t="s">
        <v>139</v>
      </c>
      <c r="AD50" t="s">
        <v>586</v>
      </c>
      <c r="AF50" t="s">
        <v>493</v>
      </c>
      <c r="AG50" t="s">
        <v>156</v>
      </c>
      <c r="AH50" t="s">
        <v>68</v>
      </c>
      <c r="AI50" t="s">
        <v>493</v>
      </c>
      <c r="AK50" t="s">
        <v>587</v>
      </c>
    </row>
    <row r="51" spans="1:37" customFormat="1">
      <c r="A51" t="s">
        <v>23</v>
      </c>
      <c r="B51" t="s">
        <v>24</v>
      </c>
      <c r="C51" t="s">
        <v>219</v>
      </c>
      <c r="D51" t="s">
        <v>140</v>
      </c>
      <c r="E51" t="s">
        <v>241</v>
      </c>
      <c r="F51" t="s">
        <v>141</v>
      </c>
      <c r="G51" t="s">
        <v>136</v>
      </c>
      <c r="H51" t="s">
        <v>151</v>
      </c>
      <c r="I51" t="s">
        <v>156</v>
      </c>
      <c r="J51" t="s">
        <v>26</v>
      </c>
      <c r="K51" t="s">
        <v>157</v>
      </c>
      <c r="L51" t="s">
        <v>162</v>
      </c>
      <c r="M51" t="s">
        <v>144</v>
      </c>
      <c r="N51" t="s">
        <v>256</v>
      </c>
      <c r="O51">
        <v>1</v>
      </c>
      <c r="P51" t="s">
        <v>160</v>
      </c>
      <c r="R51">
        <v>755.5</v>
      </c>
      <c r="S51">
        <v>748.5</v>
      </c>
      <c r="T51" t="s">
        <v>172</v>
      </c>
      <c r="U51" t="s">
        <v>390</v>
      </c>
      <c r="V51" t="s">
        <v>27</v>
      </c>
      <c r="W51" t="s">
        <v>66</v>
      </c>
      <c r="X51" t="s">
        <v>67</v>
      </c>
      <c r="Y51" t="s">
        <v>148</v>
      </c>
      <c r="AA51" t="s">
        <v>494</v>
      </c>
      <c r="AC51" t="s">
        <v>139</v>
      </c>
      <c r="AD51" t="s">
        <v>588</v>
      </c>
      <c r="AF51" t="s">
        <v>493</v>
      </c>
      <c r="AG51" t="s">
        <v>156</v>
      </c>
      <c r="AH51" t="s">
        <v>68</v>
      </c>
      <c r="AI51" t="s">
        <v>493</v>
      </c>
      <c r="AK51" t="s">
        <v>589</v>
      </c>
    </row>
    <row r="52" spans="1:37" customFormat="1">
      <c r="A52" t="s">
        <v>23</v>
      </c>
      <c r="B52" t="s">
        <v>24</v>
      </c>
      <c r="C52" t="s">
        <v>219</v>
      </c>
      <c r="D52" t="s">
        <v>140</v>
      </c>
      <c r="E52" t="s">
        <v>241</v>
      </c>
      <c r="F52" t="s">
        <v>141</v>
      </c>
      <c r="G52" t="s">
        <v>136</v>
      </c>
      <c r="H52" t="s">
        <v>151</v>
      </c>
      <c r="I52" t="s">
        <v>156</v>
      </c>
      <c r="J52" t="s">
        <v>26</v>
      </c>
      <c r="K52" t="s">
        <v>157</v>
      </c>
      <c r="L52" t="s">
        <v>162</v>
      </c>
      <c r="M52" t="s">
        <v>144</v>
      </c>
      <c r="N52" t="s">
        <v>257</v>
      </c>
      <c r="O52">
        <v>1</v>
      </c>
      <c r="P52" t="s">
        <v>160</v>
      </c>
      <c r="R52">
        <v>755.5</v>
      </c>
      <c r="S52">
        <v>748.5</v>
      </c>
      <c r="T52" t="s">
        <v>172</v>
      </c>
      <c r="U52" t="s">
        <v>390</v>
      </c>
      <c r="V52" t="s">
        <v>27</v>
      </c>
      <c r="W52" t="s">
        <v>66</v>
      </c>
      <c r="X52" t="s">
        <v>67</v>
      </c>
      <c r="Y52" t="s">
        <v>148</v>
      </c>
      <c r="AA52" t="s">
        <v>494</v>
      </c>
      <c r="AC52" t="s">
        <v>139</v>
      </c>
      <c r="AD52" t="s">
        <v>590</v>
      </c>
      <c r="AF52" t="s">
        <v>493</v>
      </c>
      <c r="AG52" t="s">
        <v>156</v>
      </c>
      <c r="AH52" t="s">
        <v>68</v>
      </c>
      <c r="AI52" t="s">
        <v>493</v>
      </c>
      <c r="AK52" t="s">
        <v>591</v>
      </c>
    </row>
    <row r="53" spans="1:37" customFormat="1">
      <c r="A53" t="s">
        <v>23</v>
      </c>
      <c r="B53" t="s">
        <v>24</v>
      </c>
      <c r="C53" t="s">
        <v>219</v>
      </c>
      <c r="D53" t="s">
        <v>140</v>
      </c>
      <c r="E53" t="s">
        <v>241</v>
      </c>
      <c r="F53" t="s">
        <v>141</v>
      </c>
      <c r="G53" t="s">
        <v>136</v>
      </c>
      <c r="H53" t="s">
        <v>151</v>
      </c>
      <c r="I53" t="s">
        <v>156</v>
      </c>
      <c r="J53" t="s">
        <v>26</v>
      </c>
      <c r="K53" t="s">
        <v>157</v>
      </c>
      <c r="L53" t="s">
        <v>162</v>
      </c>
      <c r="M53" t="s">
        <v>144</v>
      </c>
      <c r="N53" t="s">
        <v>258</v>
      </c>
      <c r="O53">
        <v>1</v>
      </c>
      <c r="P53" t="s">
        <v>160</v>
      </c>
      <c r="R53">
        <v>755</v>
      </c>
      <c r="S53">
        <v>748.5</v>
      </c>
      <c r="T53" t="s">
        <v>172</v>
      </c>
      <c r="U53" t="s">
        <v>390</v>
      </c>
      <c r="V53" t="s">
        <v>27</v>
      </c>
      <c r="W53" t="s">
        <v>66</v>
      </c>
      <c r="X53" t="s">
        <v>67</v>
      </c>
      <c r="Y53" t="s">
        <v>148</v>
      </c>
      <c r="AA53" t="s">
        <v>494</v>
      </c>
      <c r="AC53" t="s">
        <v>139</v>
      </c>
      <c r="AD53" t="s">
        <v>592</v>
      </c>
      <c r="AF53" t="s">
        <v>493</v>
      </c>
      <c r="AG53" t="s">
        <v>156</v>
      </c>
      <c r="AH53" t="s">
        <v>68</v>
      </c>
      <c r="AI53" t="s">
        <v>493</v>
      </c>
      <c r="AK53" t="s">
        <v>593</v>
      </c>
    </row>
    <row r="54" spans="1:37" customFormat="1">
      <c r="A54" t="s">
        <v>23</v>
      </c>
      <c r="B54" t="s">
        <v>24</v>
      </c>
      <c r="C54" t="s">
        <v>219</v>
      </c>
      <c r="D54" t="s">
        <v>140</v>
      </c>
      <c r="E54" t="s">
        <v>241</v>
      </c>
      <c r="F54" t="s">
        <v>141</v>
      </c>
      <c r="G54" t="s">
        <v>136</v>
      </c>
      <c r="H54" t="s">
        <v>151</v>
      </c>
      <c r="I54" t="s">
        <v>156</v>
      </c>
      <c r="J54" t="s">
        <v>26</v>
      </c>
      <c r="K54" t="s">
        <v>157</v>
      </c>
      <c r="L54" t="s">
        <v>162</v>
      </c>
      <c r="M54" t="s">
        <v>144</v>
      </c>
      <c r="N54" t="s">
        <v>259</v>
      </c>
      <c r="O54">
        <v>1</v>
      </c>
      <c r="P54" t="s">
        <v>160</v>
      </c>
      <c r="R54">
        <v>750.5</v>
      </c>
      <c r="S54">
        <v>748.5</v>
      </c>
      <c r="T54" t="s">
        <v>172</v>
      </c>
      <c r="U54" t="s">
        <v>390</v>
      </c>
      <c r="V54" t="s">
        <v>27</v>
      </c>
      <c r="W54" t="s">
        <v>66</v>
      </c>
      <c r="X54" t="s">
        <v>67</v>
      </c>
      <c r="Y54" t="s">
        <v>148</v>
      </c>
      <c r="AA54" t="s">
        <v>494</v>
      </c>
      <c r="AC54" t="s">
        <v>139</v>
      </c>
      <c r="AD54" t="s">
        <v>594</v>
      </c>
      <c r="AF54" t="s">
        <v>493</v>
      </c>
      <c r="AG54" t="s">
        <v>156</v>
      </c>
      <c r="AH54" t="s">
        <v>68</v>
      </c>
      <c r="AI54" t="s">
        <v>493</v>
      </c>
      <c r="AK54" t="s">
        <v>595</v>
      </c>
    </row>
    <row r="55" spans="1:37" customFormat="1">
      <c r="A55" t="s">
        <v>23</v>
      </c>
      <c r="B55" t="s">
        <v>24</v>
      </c>
      <c r="C55" t="s">
        <v>238</v>
      </c>
      <c r="D55" t="s">
        <v>140</v>
      </c>
      <c r="E55" t="s">
        <v>260</v>
      </c>
      <c r="F55" t="s">
        <v>141</v>
      </c>
      <c r="G55" t="s">
        <v>136</v>
      </c>
      <c r="H55" t="s">
        <v>151</v>
      </c>
      <c r="I55" t="s">
        <v>156</v>
      </c>
      <c r="J55" t="s">
        <v>25</v>
      </c>
      <c r="K55" t="s">
        <v>157</v>
      </c>
      <c r="L55" t="s">
        <v>147</v>
      </c>
      <c r="M55" t="s">
        <v>144</v>
      </c>
      <c r="N55" t="s">
        <v>261</v>
      </c>
      <c r="O55">
        <v>49</v>
      </c>
      <c r="P55" t="s">
        <v>159</v>
      </c>
      <c r="R55">
        <v>772</v>
      </c>
      <c r="S55">
        <v>733.53</v>
      </c>
      <c r="T55" t="s">
        <v>172</v>
      </c>
      <c r="U55" t="s">
        <v>216</v>
      </c>
      <c r="V55" t="s">
        <v>27</v>
      </c>
      <c r="W55" t="s">
        <v>66</v>
      </c>
      <c r="X55" t="s">
        <v>67</v>
      </c>
      <c r="Y55" t="s">
        <v>138</v>
      </c>
      <c r="AA55" t="s">
        <v>494</v>
      </c>
      <c r="AC55" t="s">
        <v>139</v>
      </c>
      <c r="AD55" t="s">
        <v>596</v>
      </c>
      <c r="AG55" t="s">
        <v>156</v>
      </c>
      <c r="AH55" t="s">
        <v>68</v>
      </c>
      <c r="AI55" t="s">
        <v>493</v>
      </c>
    </row>
    <row r="56" spans="1:37" customFormat="1">
      <c r="A56" t="s">
        <v>23</v>
      </c>
      <c r="B56" t="s">
        <v>24</v>
      </c>
      <c r="C56" t="s">
        <v>262</v>
      </c>
      <c r="D56" t="s">
        <v>140</v>
      </c>
      <c r="E56" t="s">
        <v>263</v>
      </c>
      <c r="F56" t="s">
        <v>141</v>
      </c>
      <c r="G56" t="s">
        <v>136</v>
      </c>
      <c r="H56" t="s">
        <v>153</v>
      </c>
      <c r="I56" t="s">
        <v>156</v>
      </c>
      <c r="J56" t="s">
        <v>26</v>
      </c>
      <c r="K56" t="s">
        <v>157</v>
      </c>
      <c r="L56" t="s">
        <v>147</v>
      </c>
      <c r="M56" t="s">
        <v>144</v>
      </c>
      <c r="N56" t="s">
        <v>264</v>
      </c>
      <c r="O56">
        <v>1</v>
      </c>
      <c r="P56" t="s">
        <v>160</v>
      </c>
      <c r="R56">
        <v>685</v>
      </c>
      <c r="S56">
        <v>678.5</v>
      </c>
      <c r="T56" t="s">
        <v>172</v>
      </c>
      <c r="U56" t="s">
        <v>271</v>
      </c>
      <c r="V56" t="s">
        <v>67</v>
      </c>
      <c r="W56" t="s">
        <v>66</v>
      </c>
      <c r="X56" t="s">
        <v>67</v>
      </c>
      <c r="Y56" t="s">
        <v>138</v>
      </c>
      <c r="AA56" t="s">
        <v>494</v>
      </c>
      <c r="AC56" t="s">
        <v>139</v>
      </c>
      <c r="AD56" t="s">
        <v>597</v>
      </c>
      <c r="AG56" t="s">
        <v>156</v>
      </c>
      <c r="AH56" t="s">
        <v>68</v>
      </c>
      <c r="AI56" t="s">
        <v>493</v>
      </c>
      <c r="AK56" t="s">
        <v>598</v>
      </c>
    </row>
    <row r="57" spans="1:37" customFormat="1">
      <c r="A57" t="s">
        <v>23</v>
      </c>
      <c r="B57" t="s">
        <v>24</v>
      </c>
      <c r="C57" t="s">
        <v>262</v>
      </c>
      <c r="D57" t="s">
        <v>140</v>
      </c>
      <c r="E57" t="s">
        <v>263</v>
      </c>
      <c r="F57" t="s">
        <v>141</v>
      </c>
      <c r="G57" t="s">
        <v>136</v>
      </c>
      <c r="H57" t="s">
        <v>153</v>
      </c>
      <c r="I57" t="s">
        <v>156</v>
      </c>
      <c r="J57" t="s">
        <v>26</v>
      </c>
      <c r="K57" t="s">
        <v>157</v>
      </c>
      <c r="L57" t="s">
        <v>147</v>
      </c>
      <c r="M57" t="s">
        <v>144</v>
      </c>
      <c r="N57" t="s">
        <v>265</v>
      </c>
      <c r="O57">
        <v>1</v>
      </c>
      <c r="P57" t="s">
        <v>160</v>
      </c>
      <c r="R57">
        <v>685</v>
      </c>
      <c r="S57">
        <v>678.5</v>
      </c>
      <c r="T57" t="s">
        <v>172</v>
      </c>
      <c r="U57" t="s">
        <v>271</v>
      </c>
      <c r="V57" t="s">
        <v>27</v>
      </c>
      <c r="W57" t="s">
        <v>66</v>
      </c>
      <c r="X57" t="s">
        <v>67</v>
      </c>
      <c r="Y57" t="s">
        <v>138</v>
      </c>
      <c r="AA57" t="s">
        <v>494</v>
      </c>
      <c r="AC57" t="s">
        <v>139</v>
      </c>
      <c r="AD57" t="s">
        <v>599</v>
      </c>
      <c r="AG57" t="s">
        <v>156</v>
      </c>
      <c r="AH57" t="s">
        <v>68</v>
      </c>
      <c r="AI57" t="s">
        <v>493</v>
      </c>
      <c r="AK57" t="s">
        <v>600</v>
      </c>
    </row>
    <row r="58" spans="1:37" customFormat="1">
      <c r="A58" t="s">
        <v>23</v>
      </c>
      <c r="B58" t="s">
        <v>24</v>
      </c>
      <c r="C58" t="s">
        <v>262</v>
      </c>
      <c r="D58" t="s">
        <v>140</v>
      </c>
      <c r="E58" t="s">
        <v>263</v>
      </c>
      <c r="F58" t="s">
        <v>141</v>
      </c>
      <c r="G58" t="s">
        <v>136</v>
      </c>
      <c r="H58" t="s">
        <v>153</v>
      </c>
      <c r="I58" t="s">
        <v>156</v>
      </c>
      <c r="J58" t="s">
        <v>26</v>
      </c>
      <c r="K58" t="s">
        <v>157</v>
      </c>
      <c r="L58" t="s">
        <v>147</v>
      </c>
      <c r="M58" t="s">
        <v>144</v>
      </c>
      <c r="N58" t="s">
        <v>272</v>
      </c>
      <c r="O58">
        <v>1</v>
      </c>
      <c r="P58" t="s">
        <v>160</v>
      </c>
      <c r="R58">
        <v>679</v>
      </c>
      <c r="S58">
        <v>678.5</v>
      </c>
      <c r="T58" t="s">
        <v>172</v>
      </c>
      <c r="U58" t="s">
        <v>271</v>
      </c>
      <c r="V58" t="s">
        <v>27</v>
      </c>
      <c r="W58" t="s">
        <v>66</v>
      </c>
      <c r="X58" t="s">
        <v>67</v>
      </c>
      <c r="Y58" t="s">
        <v>138</v>
      </c>
      <c r="AA58" t="s">
        <v>494</v>
      </c>
      <c r="AC58" t="s">
        <v>139</v>
      </c>
      <c r="AD58" t="s">
        <v>601</v>
      </c>
      <c r="AG58" t="s">
        <v>156</v>
      </c>
      <c r="AH58" t="s">
        <v>68</v>
      </c>
      <c r="AI58" t="s">
        <v>493</v>
      </c>
      <c r="AK58" t="s">
        <v>602</v>
      </c>
    </row>
    <row r="59" spans="1:37" customFormat="1">
      <c r="A59" t="s">
        <v>23</v>
      </c>
      <c r="B59" t="s">
        <v>24</v>
      </c>
      <c r="C59" t="s">
        <v>262</v>
      </c>
      <c r="D59" t="s">
        <v>140</v>
      </c>
      <c r="E59" t="s">
        <v>263</v>
      </c>
      <c r="F59" t="s">
        <v>141</v>
      </c>
      <c r="G59" t="s">
        <v>136</v>
      </c>
      <c r="H59" t="s">
        <v>153</v>
      </c>
      <c r="I59" t="s">
        <v>156</v>
      </c>
      <c r="J59" t="s">
        <v>26</v>
      </c>
      <c r="K59" t="s">
        <v>157</v>
      </c>
      <c r="L59" t="s">
        <v>147</v>
      </c>
      <c r="M59" t="s">
        <v>144</v>
      </c>
      <c r="N59" t="s">
        <v>273</v>
      </c>
      <c r="O59">
        <v>1</v>
      </c>
      <c r="P59" t="s">
        <v>160</v>
      </c>
      <c r="R59">
        <v>681.5</v>
      </c>
      <c r="S59">
        <v>678.5</v>
      </c>
      <c r="T59" t="s">
        <v>172</v>
      </c>
      <c r="U59" t="s">
        <v>271</v>
      </c>
      <c r="V59" t="s">
        <v>27</v>
      </c>
      <c r="W59" t="s">
        <v>66</v>
      </c>
      <c r="X59" t="s">
        <v>67</v>
      </c>
      <c r="Y59" t="s">
        <v>138</v>
      </c>
      <c r="AA59" t="s">
        <v>494</v>
      </c>
      <c r="AC59" t="s">
        <v>139</v>
      </c>
      <c r="AD59" t="s">
        <v>603</v>
      </c>
      <c r="AG59" t="s">
        <v>156</v>
      </c>
      <c r="AH59" t="s">
        <v>68</v>
      </c>
      <c r="AI59" t="s">
        <v>493</v>
      </c>
      <c r="AK59" t="s">
        <v>604</v>
      </c>
    </row>
    <row r="60" spans="1:37" customFormat="1">
      <c r="A60" t="s">
        <v>23</v>
      </c>
      <c r="B60" t="s">
        <v>24</v>
      </c>
      <c r="C60" t="s">
        <v>262</v>
      </c>
      <c r="D60" t="s">
        <v>140</v>
      </c>
      <c r="E60" t="s">
        <v>263</v>
      </c>
      <c r="F60" t="s">
        <v>141</v>
      </c>
      <c r="G60" t="s">
        <v>136</v>
      </c>
      <c r="H60" t="s">
        <v>153</v>
      </c>
      <c r="I60" t="s">
        <v>156</v>
      </c>
      <c r="J60" t="s">
        <v>26</v>
      </c>
      <c r="K60" t="s">
        <v>157</v>
      </c>
      <c r="L60" t="s">
        <v>147</v>
      </c>
      <c r="M60" t="s">
        <v>144</v>
      </c>
      <c r="N60" t="s">
        <v>274</v>
      </c>
      <c r="O60">
        <v>1</v>
      </c>
      <c r="P60" t="s">
        <v>160</v>
      </c>
      <c r="R60">
        <v>682.5</v>
      </c>
      <c r="S60">
        <v>678.5</v>
      </c>
      <c r="T60" t="s">
        <v>172</v>
      </c>
      <c r="U60" t="s">
        <v>271</v>
      </c>
      <c r="V60" t="s">
        <v>27</v>
      </c>
      <c r="W60" t="s">
        <v>66</v>
      </c>
      <c r="X60" t="s">
        <v>67</v>
      </c>
      <c r="Y60" t="s">
        <v>138</v>
      </c>
      <c r="AA60" t="s">
        <v>494</v>
      </c>
      <c r="AC60" t="s">
        <v>139</v>
      </c>
      <c r="AD60" t="s">
        <v>605</v>
      </c>
      <c r="AG60" t="s">
        <v>156</v>
      </c>
      <c r="AH60" t="s">
        <v>68</v>
      </c>
      <c r="AI60" t="s">
        <v>493</v>
      </c>
      <c r="AK60" t="s">
        <v>606</v>
      </c>
    </row>
    <row r="61" spans="1:37" customFormat="1">
      <c r="A61" t="s">
        <v>23</v>
      </c>
      <c r="B61" t="s">
        <v>24</v>
      </c>
      <c r="C61" t="s">
        <v>262</v>
      </c>
      <c r="D61" t="s">
        <v>140</v>
      </c>
      <c r="E61" t="s">
        <v>263</v>
      </c>
      <c r="F61" t="s">
        <v>141</v>
      </c>
      <c r="G61" t="s">
        <v>136</v>
      </c>
      <c r="H61" t="s">
        <v>153</v>
      </c>
      <c r="I61" t="s">
        <v>156</v>
      </c>
      <c r="J61" t="s">
        <v>26</v>
      </c>
      <c r="K61" t="s">
        <v>157</v>
      </c>
      <c r="L61" t="s">
        <v>147</v>
      </c>
      <c r="M61" t="s">
        <v>144</v>
      </c>
      <c r="N61" t="s">
        <v>275</v>
      </c>
      <c r="O61">
        <v>1</v>
      </c>
      <c r="P61" t="s">
        <v>160</v>
      </c>
      <c r="R61">
        <v>681</v>
      </c>
      <c r="S61">
        <v>678.5</v>
      </c>
      <c r="T61" t="s">
        <v>172</v>
      </c>
      <c r="U61" t="s">
        <v>271</v>
      </c>
      <c r="V61" t="s">
        <v>27</v>
      </c>
      <c r="W61" t="s">
        <v>66</v>
      </c>
      <c r="X61" t="s">
        <v>67</v>
      </c>
      <c r="Y61" t="s">
        <v>138</v>
      </c>
      <c r="AA61" t="s">
        <v>494</v>
      </c>
      <c r="AC61" t="s">
        <v>139</v>
      </c>
      <c r="AD61" t="s">
        <v>607</v>
      </c>
      <c r="AG61" t="s">
        <v>156</v>
      </c>
      <c r="AH61" t="s">
        <v>68</v>
      </c>
      <c r="AI61" t="s">
        <v>493</v>
      </c>
      <c r="AK61" t="s">
        <v>608</v>
      </c>
    </row>
    <row r="62" spans="1:37" customFormat="1">
      <c r="A62" t="s">
        <v>23</v>
      </c>
      <c r="B62" t="s">
        <v>24</v>
      </c>
      <c r="C62" t="s">
        <v>262</v>
      </c>
      <c r="D62" t="s">
        <v>140</v>
      </c>
      <c r="E62" t="s">
        <v>263</v>
      </c>
      <c r="F62" t="s">
        <v>141</v>
      </c>
      <c r="G62" t="s">
        <v>136</v>
      </c>
      <c r="H62" t="s">
        <v>153</v>
      </c>
      <c r="I62" t="s">
        <v>156</v>
      </c>
      <c r="J62" t="s">
        <v>26</v>
      </c>
      <c r="K62" t="s">
        <v>157</v>
      </c>
      <c r="L62" t="s">
        <v>147</v>
      </c>
      <c r="M62" t="s">
        <v>144</v>
      </c>
      <c r="N62" t="s">
        <v>276</v>
      </c>
      <c r="O62">
        <v>1</v>
      </c>
      <c r="P62" t="s">
        <v>160</v>
      </c>
      <c r="R62">
        <v>684.5</v>
      </c>
      <c r="S62">
        <v>678.5</v>
      </c>
      <c r="T62" t="s">
        <v>172</v>
      </c>
      <c r="U62" t="s">
        <v>271</v>
      </c>
      <c r="V62" t="s">
        <v>27</v>
      </c>
      <c r="W62" t="s">
        <v>66</v>
      </c>
      <c r="X62" t="s">
        <v>67</v>
      </c>
      <c r="Y62" t="s">
        <v>138</v>
      </c>
      <c r="AA62" t="s">
        <v>494</v>
      </c>
      <c r="AC62" t="s">
        <v>139</v>
      </c>
      <c r="AD62" t="s">
        <v>609</v>
      </c>
      <c r="AG62" t="s">
        <v>156</v>
      </c>
      <c r="AH62" t="s">
        <v>68</v>
      </c>
      <c r="AI62" t="s">
        <v>493</v>
      </c>
      <c r="AK62" t="s">
        <v>610</v>
      </c>
    </row>
    <row r="63" spans="1:37" customFormat="1">
      <c r="A63" t="s">
        <v>23</v>
      </c>
      <c r="B63" t="s">
        <v>24</v>
      </c>
      <c r="C63" t="s">
        <v>262</v>
      </c>
      <c r="D63" t="s">
        <v>140</v>
      </c>
      <c r="E63" t="s">
        <v>263</v>
      </c>
      <c r="F63" t="s">
        <v>141</v>
      </c>
      <c r="G63" t="s">
        <v>136</v>
      </c>
      <c r="H63" t="s">
        <v>153</v>
      </c>
      <c r="I63" t="s">
        <v>156</v>
      </c>
      <c r="J63" t="s">
        <v>26</v>
      </c>
      <c r="K63" t="s">
        <v>157</v>
      </c>
      <c r="L63" t="s">
        <v>147</v>
      </c>
      <c r="M63" t="s">
        <v>144</v>
      </c>
      <c r="N63" t="s">
        <v>277</v>
      </c>
      <c r="O63">
        <v>1</v>
      </c>
      <c r="P63" t="s">
        <v>160</v>
      </c>
      <c r="R63">
        <v>682.5</v>
      </c>
      <c r="S63">
        <v>678.5</v>
      </c>
      <c r="T63" t="s">
        <v>172</v>
      </c>
      <c r="U63" t="s">
        <v>271</v>
      </c>
      <c r="V63" t="s">
        <v>67</v>
      </c>
      <c r="W63" t="s">
        <v>66</v>
      </c>
      <c r="X63" t="s">
        <v>67</v>
      </c>
      <c r="Y63" t="s">
        <v>138</v>
      </c>
      <c r="AA63" t="s">
        <v>494</v>
      </c>
      <c r="AC63" t="s">
        <v>139</v>
      </c>
      <c r="AD63" t="s">
        <v>611</v>
      </c>
      <c r="AG63" t="s">
        <v>156</v>
      </c>
      <c r="AH63" t="s">
        <v>68</v>
      </c>
      <c r="AI63" t="s">
        <v>493</v>
      </c>
      <c r="AK63" t="s">
        <v>612</v>
      </c>
    </row>
    <row r="64" spans="1:37" customFormat="1">
      <c r="A64" t="s">
        <v>23</v>
      </c>
      <c r="B64" t="s">
        <v>24</v>
      </c>
      <c r="C64" t="s">
        <v>262</v>
      </c>
      <c r="D64" t="s">
        <v>140</v>
      </c>
      <c r="E64" t="s">
        <v>263</v>
      </c>
      <c r="F64" t="s">
        <v>141</v>
      </c>
      <c r="G64" t="s">
        <v>136</v>
      </c>
      <c r="H64" t="s">
        <v>153</v>
      </c>
      <c r="I64" t="s">
        <v>156</v>
      </c>
      <c r="J64" t="s">
        <v>26</v>
      </c>
      <c r="K64" t="s">
        <v>157</v>
      </c>
      <c r="L64" t="s">
        <v>147</v>
      </c>
      <c r="M64" t="s">
        <v>144</v>
      </c>
      <c r="N64" t="s">
        <v>278</v>
      </c>
      <c r="O64">
        <v>1</v>
      </c>
      <c r="P64" t="s">
        <v>160</v>
      </c>
      <c r="R64">
        <v>681.5</v>
      </c>
      <c r="S64">
        <v>678.5</v>
      </c>
      <c r="T64" t="s">
        <v>172</v>
      </c>
      <c r="U64" t="s">
        <v>271</v>
      </c>
      <c r="V64" t="s">
        <v>67</v>
      </c>
      <c r="W64" t="s">
        <v>66</v>
      </c>
      <c r="X64" t="s">
        <v>67</v>
      </c>
      <c r="Y64" t="s">
        <v>138</v>
      </c>
      <c r="AA64" t="s">
        <v>494</v>
      </c>
      <c r="AC64" t="s">
        <v>139</v>
      </c>
      <c r="AD64" t="s">
        <v>613</v>
      </c>
      <c r="AG64" t="s">
        <v>156</v>
      </c>
      <c r="AH64" t="s">
        <v>68</v>
      </c>
      <c r="AI64" t="s">
        <v>493</v>
      </c>
      <c r="AK64" t="s">
        <v>614</v>
      </c>
    </row>
    <row r="65" spans="1:37" customFormat="1">
      <c r="A65" t="s">
        <v>23</v>
      </c>
      <c r="B65" t="s">
        <v>24</v>
      </c>
      <c r="C65" t="s">
        <v>262</v>
      </c>
      <c r="D65" t="s">
        <v>140</v>
      </c>
      <c r="E65" t="s">
        <v>263</v>
      </c>
      <c r="F65" t="s">
        <v>141</v>
      </c>
      <c r="G65" t="s">
        <v>136</v>
      </c>
      <c r="H65" t="s">
        <v>153</v>
      </c>
      <c r="I65" t="s">
        <v>156</v>
      </c>
      <c r="J65" t="s">
        <v>26</v>
      </c>
      <c r="K65" t="s">
        <v>157</v>
      </c>
      <c r="L65" t="s">
        <v>147</v>
      </c>
      <c r="M65" t="s">
        <v>144</v>
      </c>
      <c r="N65" t="s">
        <v>279</v>
      </c>
      <c r="O65">
        <v>1</v>
      </c>
      <c r="P65" t="s">
        <v>160</v>
      </c>
      <c r="R65">
        <v>682.5</v>
      </c>
      <c r="S65">
        <v>678.5</v>
      </c>
      <c r="T65" t="s">
        <v>172</v>
      </c>
      <c r="U65" t="s">
        <v>271</v>
      </c>
      <c r="V65" t="s">
        <v>67</v>
      </c>
      <c r="W65" t="s">
        <v>66</v>
      </c>
      <c r="X65" t="s">
        <v>67</v>
      </c>
      <c r="Y65" t="s">
        <v>138</v>
      </c>
      <c r="AA65" t="s">
        <v>494</v>
      </c>
      <c r="AC65" t="s">
        <v>139</v>
      </c>
      <c r="AD65" t="s">
        <v>615</v>
      </c>
      <c r="AG65" t="s">
        <v>156</v>
      </c>
      <c r="AH65" t="s">
        <v>68</v>
      </c>
      <c r="AI65" t="s">
        <v>493</v>
      </c>
      <c r="AK65" t="s">
        <v>616</v>
      </c>
    </row>
    <row r="66" spans="1:37" customFormat="1">
      <c r="A66" t="s">
        <v>23</v>
      </c>
      <c r="B66" t="s">
        <v>24</v>
      </c>
      <c r="C66" t="s">
        <v>262</v>
      </c>
      <c r="D66" t="s">
        <v>140</v>
      </c>
      <c r="E66" t="s">
        <v>263</v>
      </c>
      <c r="F66" t="s">
        <v>141</v>
      </c>
      <c r="G66" t="s">
        <v>136</v>
      </c>
      <c r="H66" t="s">
        <v>153</v>
      </c>
      <c r="I66" t="s">
        <v>156</v>
      </c>
      <c r="J66" t="s">
        <v>26</v>
      </c>
      <c r="K66" t="s">
        <v>157</v>
      </c>
      <c r="L66" t="s">
        <v>147</v>
      </c>
      <c r="M66" t="s">
        <v>144</v>
      </c>
      <c r="N66" t="s">
        <v>280</v>
      </c>
      <c r="O66">
        <v>1</v>
      </c>
      <c r="P66" t="s">
        <v>160</v>
      </c>
      <c r="R66">
        <v>680.5</v>
      </c>
      <c r="S66">
        <v>678.5</v>
      </c>
      <c r="T66" t="s">
        <v>172</v>
      </c>
      <c r="U66" t="s">
        <v>271</v>
      </c>
      <c r="V66" t="s">
        <v>67</v>
      </c>
      <c r="W66" t="s">
        <v>66</v>
      </c>
      <c r="X66" t="s">
        <v>67</v>
      </c>
      <c r="Y66" t="s">
        <v>138</v>
      </c>
      <c r="AA66" t="s">
        <v>494</v>
      </c>
      <c r="AC66" t="s">
        <v>139</v>
      </c>
      <c r="AD66" t="s">
        <v>617</v>
      </c>
      <c r="AG66" t="s">
        <v>156</v>
      </c>
      <c r="AH66" t="s">
        <v>68</v>
      </c>
      <c r="AI66" t="s">
        <v>493</v>
      </c>
      <c r="AK66" t="s">
        <v>618</v>
      </c>
    </row>
    <row r="67" spans="1:37" customFormat="1">
      <c r="A67" t="s">
        <v>23</v>
      </c>
      <c r="B67" t="s">
        <v>24</v>
      </c>
      <c r="C67" t="s">
        <v>262</v>
      </c>
      <c r="D67" t="s">
        <v>140</v>
      </c>
      <c r="E67" t="s">
        <v>263</v>
      </c>
      <c r="F67" t="s">
        <v>141</v>
      </c>
      <c r="G67" t="s">
        <v>136</v>
      </c>
      <c r="H67" t="s">
        <v>153</v>
      </c>
      <c r="I67" t="s">
        <v>156</v>
      </c>
      <c r="J67" t="s">
        <v>26</v>
      </c>
      <c r="K67" t="s">
        <v>157</v>
      </c>
      <c r="L67" t="s">
        <v>147</v>
      </c>
      <c r="M67" t="s">
        <v>144</v>
      </c>
      <c r="N67" t="s">
        <v>281</v>
      </c>
      <c r="O67">
        <v>1</v>
      </c>
      <c r="P67" t="s">
        <v>160</v>
      </c>
      <c r="R67">
        <v>678.5</v>
      </c>
      <c r="S67">
        <v>678.5</v>
      </c>
      <c r="T67" t="s">
        <v>172</v>
      </c>
      <c r="U67" t="s">
        <v>271</v>
      </c>
      <c r="V67" t="s">
        <v>27</v>
      </c>
      <c r="W67" t="s">
        <v>66</v>
      </c>
      <c r="X67" t="s">
        <v>67</v>
      </c>
      <c r="Y67" t="s">
        <v>138</v>
      </c>
      <c r="AA67" t="s">
        <v>494</v>
      </c>
      <c r="AC67" t="s">
        <v>139</v>
      </c>
      <c r="AD67" t="s">
        <v>619</v>
      </c>
      <c r="AG67" t="s">
        <v>156</v>
      </c>
      <c r="AH67" t="s">
        <v>68</v>
      </c>
      <c r="AI67" t="s">
        <v>493</v>
      </c>
      <c r="AK67" t="s">
        <v>620</v>
      </c>
    </row>
    <row r="68" spans="1:37" customFormat="1">
      <c r="A68" t="s">
        <v>23</v>
      </c>
      <c r="B68" t="s">
        <v>24</v>
      </c>
      <c r="C68" t="s">
        <v>262</v>
      </c>
      <c r="D68" t="s">
        <v>140</v>
      </c>
      <c r="E68" t="s">
        <v>263</v>
      </c>
      <c r="F68" t="s">
        <v>141</v>
      </c>
      <c r="G68" t="s">
        <v>136</v>
      </c>
      <c r="H68" t="s">
        <v>153</v>
      </c>
      <c r="I68" t="s">
        <v>156</v>
      </c>
      <c r="J68" t="s">
        <v>26</v>
      </c>
      <c r="K68" t="s">
        <v>157</v>
      </c>
      <c r="L68" t="s">
        <v>147</v>
      </c>
      <c r="M68" t="s">
        <v>144</v>
      </c>
      <c r="N68" t="s">
        <v>282</v>
      </c>
      <c r="O68">
        <v>1</v>
      </c>
      <c r="P68" t="s">
        <v>160</v>
      </c>
      <c r="R68">
        <v>681</v>
      </c>
      <c r="S68">
        <v>678.5</v>
      </c>
      <c r="T68" t="s">
        <v>172</v>
      </c>
      <c r="U68" t="s">
        <v>271</v>
      </c>
      <c r="V68" t="s">
        <v>67</v>
      </c>
      <c r="W68" t="s">
        <v>66</v>
      </c>
      <c r="X68" t="s">
        <v>67</v>
      </c>
      <c r="Y68" t="s">
        <v>138</v>
      </c>
      <c r="AA68" t="s">
        <v>494</v>
      </c>
      <c r="AC68" t="s">
        <v>139</v>
      </c>
      <c r="AD68" t="s">
        <v>621</v>
      </c>
      <c r="AG68" t="s">
        <v>156</v>
      </c>
      <c r="AH68" t="s">
        <v>68</v>
      </c>
      <c r="AI68" t="s">
        <v>493</v>
      </c>
      <c r="AK68" t="s">
        <v>622</v>
      </c>
    </row>
    <row r="69" spans="1:37" customFormat="1">
      <c r="A69" t="s">
        <v>23</v>
      </c>
      <c r="B69" t="s">
        <v>24</v>
      </c>
      <c r="C69" t="s">
        <v>262</v>
      </c>
      <c r="D69" t="s">
        <v>140</v>
      </c>
      <c r="E69" t="s">
        <v>263</v>
      </c>
      <c r="F69" t="s">
        <v>141</v>
      </c>
      <c r="G69" t="s">
        <v>136</v>
      </c>
      <c r="H69" t="s">
        <v>153</v>
      </c>
      <c r="I69" t="s">
        <v>156</v>
      </c>
      <c r="J69" t="s">
        <v>26</v>
      </c>
      <c r="K69" t="s">
        <v>157</v>
      </c>
      <c r="L69" t="s">
        <v>147</v>
      </c>
      <c r="M69" t="s">
        <v>144</v>
      </c>
      <c r="N69" t="s">
        <v>283</v>
      </c>
      <c r="O69">
        <v>1</v>
      </c>
      <c r="P69" t="s">
        <v>160</v>
      </c>
      <c r="R69">
        <v>681.5</v>
      </c>
      <c r="S69">
        <v>678.5</v>
      </c>
      <c r="T69" t="s">
        <v>172</v>
      </c>
      <c r="U69" t="s">
        <v>271</v>
      </c>
      <c r="V69" t="s">
        <v>67</v>
      </c>
      <c r="W69" t="s">
        <v>66</v>
      </c>
      <c r="X69" t="s">
        <v>67</v>
      </c>
      <c r="Y69" t="s">
        <v>138</v>
      </c>
      <c r="AA69" t="s">
        <v>494</v>
      </c>
      <c r="AC69" t="s">
        <v>139</v>
      </c>
      <c r="AD69" t="s">
        <v>623</v>
      </c>
      <c r="AG69" t="s">
        <v>156</v>
      </c>
      <c r="AH69" t="s">
        <v>68</v>
      </c>
      <c r="AI69" t="s">
        <v>493</v>
      </c>
      <c r="AK69" t="s">
        <v>624</v>
      </c>
    </row>
    <row r="70" spans="1:37" customFormat="1">
      <c r="A70" t="s">
        <v>23</v>
      </c>
      <c r="B70" t="s">
        <v>24</v>
      </c>
      <c r="C70" t="s">
        <v>262</v>
      </c>
      <c r="D70" t="s">
        <v>140</v>
      </c>
      <c r="E70" t="s">
        <v>263</v>
      </c>
      <c r="F70" t="s">
        <v>141</v>
      </c>
      <c r="G70" t="s">
        <v>136</v>
      </c>
      <c r="H70" t="s">
        <v>153</v>
      </c>
      <c r="I70" t="s">
        <v>156</v>
      </c>
      <c r="J70" t="s">
        <v>26</v>
      </c>
      <c r="K70" t="s">
        <v>157</v>
      </c>
      <c r="L70" t="s">
        <v>147</v>
      </c>
      <c r="M70" t="s">
        <v>144</v>
      </c>
      <c r="N70" t="s">
        <v>284</v>
      </c>
      <c r="O70">
        <v>1</v>
      </c>
      <c r="P70" t="s">
        <v>160</v>
      </c>
      <c r="R70">
        <v>684.5</v>
      </c>
      <c r="S70">
        <v>678.5</v>
      </c>
      <c r="T70" t="s">
        <v>172</v>
      </c>
      <c r="U70" t="s">
        <v>271</v>
      </c>
      <c r="V70" t="s">
        <v>27</v>
      </c>
      <c r="W70" t="s">
        <v>66</v>
      </c>
      <c r="X70" t="s">
        <v>67</v>
      </c>
      <c r="Y70" t="s">
        <v>138</v>
      </c>
      <c r="AA70" t="s">
        <v>494</v>
      </c>
      <c r="AC70" t="s">
        <v>139</v>
      </c>
      <c r="AD70" t="s">
        <v>625</v>
      </c>
      <c r="AG70" t="s">
        <v>156</v>
      </c>
      <c r="AH70" t="s">
        <v>68</v>
      </c>
      <c r="AI70" t="s">
        <v>493</v>
      </c>
      <c r="AK70" t="s">
        <v>626</v>
      </c>
    </row>
    <row r="71" spans="1:37" customFormat="1">
      <c r="A71" t="s">
        <v>23</v>
      </c>
      <c r="B71" t="s">
        <v>24</v>
      </c>
      <c r="C71" t="s">
        <v>262</v>
      </c>
      <c r="D71" t="s">
        <v>140</v>
      </c>
      <c r="E71" t="s">
        <v>263</v>
      </c>
      <c r="F71" t="s">
        <v>141</v>
      </c>
      <c r="G71" t="s">
        <v>136</v>
      </c>
      <c r="H71" t="s">
        <v>153</v>
      </c>
      <c r="I71" t="s">
        <v>156</v>
      </c>
      <c r="J71" t="s">
        <v>26</v>
      </c>
      <c r="K71" t="s">
        <v>157</v>
      </c>
      <c r="L71" t="s">
        <v>147</v>
      </c>
      <c r="M71" t="s">
        <v>144</v>
      </c>
      <c r="N71" t="s">
        <v>285</v>
      </c>
      <c r="O71">
        <v>1</v>
      </c>
      <c r="P71" t="s">
        <v>160</v>
      </c>
      <c r="R71">
        <v>682.5</v>
      </c>
      <c r="S71">
        <v>678.5</v>
      </c>
      <c r="T71" t="s">
        <v>172</v>
      </c>
      <c r="U71" t="s">
        <v>271</v>
      </c>
      <c r="V71" t="s">
        <v>67</v>
      </c>
      <c r="W71" t="s">
        <v>66</v>
      </c>
      <c r="X71" t="s">
        <v>67</v>
      </c>
      <c r="Y71" t="s">
        <v>138</v>
      </c>
      <c r="AA71" t="s">
        <v>494</v>
      </c>
      <c r="AC71" t="s">
        <v>139</v>
      </c>
      <c r="AD71" t="s">
        <v>627</v>
      </c>
      <c r="AG71" t="s">
        <v>156</v>
      </c>
      <c r="AH71" t="s">
        <v>68</v>
      </c>
      <c r="AI71" t="s">
        <v>493</v>
      </c>
      <c r="AK71" t="s">
        <v>628</v>
      </c>
    </row>
    <row r="72" spans="1:37" customFormat="1">
      <c r="A72" t="s">
        <v>23</v>
      </c>
      <c r="B72" t="s">
        <v>24</v>
      </c>
      <c r="C72" t="s">
        <v>262</v>
      </c>
      <c r="D72" t="s">
        <v>140</v>
      </c>
      <c r="E72" t="s">
        <v>263</v>
      </c>
      <c r="F72" t="s">
        <v>141</v>
      </c>
      <c r="G72" t="s">
        <v>136</v>
      </c>
      <c r="H72" t="s">
        <v>153</v>
      </c>
      <c r="I72" t="s">
        <v>156</v>
      </c>
      <c r="J72" t="s">
        <v>26</v>
      </c>
      <c r="K72" t="s">
        <v>157</v>
      </c>
      <c r="L72" t="s">
        <v>147</v>
      </c>
      <c r="M72" t="s">
        <v>144</v>
      </c>
      <c r="N72" t="s">
        <v>286</v>
      </c>
      <c r="O72">
        <v>1</v>
      </c>
      <c r="P72" t="s">
        <v>160</v>
      </c>
      <c r="R72">
        <v>682.5</v>
      </c>
      <c r="S72">
        <v>678.5</v>
      </c>
      <c r="T72" t="s">
        <v>172</v>
      </c>
      <c r="U72" t="s">
        <v>271</v>
      </c>
      <c r="V72" t="s">
        <v>27</v>
      </c>
      <c r="W72" t="s">
        <v>66</v>
      </c>
      <c r="X72" t="s">
        <v>67</v>
      </c>
      <c r="Y72" t="s">
        <v>138</v>
      </c>
      <c r="AA72" t="s">
        <v>494</v>
      </c>
      <c r="AC72" t="s">
        <v>139</v>
      </c>
      <c r="AD72" t="s">
        <v>629</v>
      </c>
      <c r="AG72" t="s">
        <v>156</v>
      </c>
      <c r="AH72" t="s">
        <v>68</v>
      </c>
      <c r="AI72" t="s">
        <v>493</v>
      </c>
      <c r="AK72" t="s">
        <v>630</v>
      </c>
    </row>
    <row r="73" spans="1:37" customFormat="1">
      <c r="A73" t="s">
        <v>23</v>
      </c>
      <c r="B73" t="s">
        <v>24</v>
      </c>
      <c r="C73" t="s">
        <v>262</v>
      </c>
      <c r="D73" t="s">
        <v>140</v>
      </c>
      <c r="E73" t="s">
        <v>263</v>
      </c>
      <c r="F73" t="s">
        <v>141</v>
      </c>
      <c r="G73" t="s">
        <v>136</v>
      </c>
      <c r="H73" t="s">
        <v>153</v>
      </c>
      <c r="I73" t="s">
        <v>156</v>
      </c>
      <c r="J73" t="s">
        <v>26</v>
      </c>
      <c r="K73" t="s">
        <v>157</v>
      </c>
      <c r="L73" t="s">
        <v>147</v>
      </c>
      <c r="M73" t="s">
        <v>144</v>
      </c>
      <c r="N73" t="s">
        <v>287</v>
      </c>
      <c r="O73">
        <v>1</v>
      </c>
      <c r="P73" t="s">
        <v>160</v>
      </c>
      <c r="R73">
        <v>681.5</v>
      </c>
      <c r="S73">
        <v>678.5</v>
      </c>
      <c r="T73" t="s">
        <v>172</v>
      </c>
      <c r="U73" t="s">
        <v>271</v>
      </c>
      <c r="V73" t="s">
        <v>67</v>
      </c>
      <c r="W73" t="s">
        <v>66</v>
      </c>
      <c r="X73" t="s">
        <v>67</v>
      </c>
      <c r="Y73" t="s">
        <v>138</v>
      </c>
      <c r="AA73" t="s">
        <v>494</v>
      </c>
      <c r="AC73" t="s">
        <v>139</v>
      </c>
      <c r="AD73" t="s">
        <v>631</v>
      </c>
      <c r="AG73" t="s">
        <v>156</v>
      </c>
      <c r="AH73" t="s">
        <v>68</v>
      </c>
      <c r="AI73" t="s">
        <v>493</v>
      </c>
      <c r="AK73" t="s">
        <v>632</v>
      </c>
    </row>
    <row r="74" spans="1:37" customFormat="1">
      <c r="A74" t="s">
        <v>23</v>
      </c>
      <c r="B74" t="s">
        <v>24</v>
      </c>
      <c r="C74" t="s">
        <v>262</v>
      </c>
      <c r="D74" t="s">
        <v>140</v>
      </c>
      <c r="E74" t="s">
        <v>263</v>
      </c>
      <c r="F74" t="s">
        <v>141</v>
      </c>
      <c r="G74" t="s">
        <v>136</v>
      </c>
      <c r="H74" t="s">
        <v>153</v>
      </c>
      <c r="I74" t="s">
        <v>156</v>
      </c>
      <c r="J74" t="s">
        <v>26</v>
      </c>
      <c r="K74" t="s">
        <v>157</v>
      </c>
      <c r="L74" t="s">
        <v>147</v>
      </c>
      <c r="M74" t="s">
        <v>144</v>
      </c>
      <c r="N74" t="s">
        <v>288</v>
      </c>
      <c r="O74">
        <v>1</v>
      </c>
      <c r="P74" t="s">
        <v>160</v>
      </c>
      <c r="R74">
        <v>680</v>
      </c>
      <c r="S74">
        <v>678.5</v>
      </c>
      <c r="T74" t="s">
        <v>172</v>
      </c>
      <c r="U74" t="s">
        <v>271</v>
      </c>
      <c r="V74" t="s">
        <v>67</v>
      </c>
      <c r="W74" t="s">
        <v>66</v>
      </c>
      <c r="X74" t="s">
        <v>67</v>
      </c>
      <c r="Y74" t="s">
        <v>138</v>
      </c>
      <c r="AA74" t="s">
        <v>494</v>
      </c>
      <c r="AC74" t="s">
        <v>139</v>
      </c>
      <c r="AD74" t="s">
        <v>633</v>
      </c>
      <c r="AG74" t="s">
        <v>156</v>
      </c>
      <c r="AH74" t="s">
        <v>68</v>
      </c>
      <c r="AI74" t="s">
        <v>493</v>
      </c>
      <c r="AK74" t="s">
        <v>634</v>
      </c>
    </row>
    <row r="75" spans="1:37" customFormat="1">
      <c r="A75" t="s">
        <v>23</v>
      </c>
      <c r="B75" t="s">
        <v>24</v>
      </c>
      <c r="C75" t="s">
        <v>262</v>
      </c>
      <c r="D75" t="s">
        <v>140</v>
      </c>
      <c r="E75" t="s">
        <v>263</v>
      </c>
      <c r="F75" t="s">
        <v>141</v>
      </c>
      <c r="G75" t="s">
        <v>136</v>
      </c>
      <c r="H75" t="s">
        <v>153</v>
      </c>
      <c r="I75" t="s">
        <v>156</v>
      </c>
      <c r="J75" t="s">
        <v>26</v>
      </c>
      <c r="K75" t="s">
        <v>157</v>
      </c>
      <c r="L75" t="s">
        <v>147</v>
      </c>
      <c r="M75" t="s">
        <v>144</v>
      </c>
      <c r="N75" t="s">
        <v>289</v>
      </c>
      <c r="O75">
        <v>1</v>
      </c>
      <c r="P75" t="s">
        <v>160</v>
      </c>
      <c r="R75">
        <v>681</v>
      </c>
      <c r="S75">
        <v>678.5</v>
      </c>
      <c r="T75" t="s">
        <v>172</v>
      </c>
      <c r="U75" t="s">
        <v>271</v>
      </c>
      <c r="V75" t="s">
        <v>67</v>
      </c>
      <c r="W75" t="s">
        <v>66</v>
      </c>
      <c r="X75" t="s">
        <v>67</v>
      </c>
      <c r="Y75" t="s">
        <v>138</v>
      </c>
      <c r="AA75" t="s">
        <v>494</v>
      </c>
      <c r="AC75" t="s">
        <v>139</v>
      </c>
      <c r="AD75" t="s">
        <v>635</v>
      </c>
      <c r="AG75" t="s">
        <v>156</v>
      </c>
      <c r="AH75" t="s">
        <v>68</v>
      </c>
      <c r="AI75" t="s">
        <v>493</v>
      </c>
      <c r="AK75" t="s">
        <v>636</v>
      </c>
    </row>
    <row r="76" spans="1:37" customFormat="1">
      <c r="A76" t="s">
        <v>23</v>
      </c>
      <c r="B76" t="s">
        <v>24</v>
      </c>
      <c r="C76" t="s">
        <v>262</v>
      </c>
      <c r="D76" t="s">
        <v>140</v>
      </c>
      <c r="E76" t="s">
        <v>263</v>
      </c>
      <c r="F76" t="s">
        <v>141</v>
      </c>
      <c r="G76" t="s">
        <v>136</v>
      </c>
      <c r="H76" t="s">
        <v>153</v>
      </c>
      <c r="I76" t="s">
        <v>156</v>
      </c>
      <c r="J76" t="s">
        <v>26</v>
      </c>
      <c r="K76" t="s">
        <v>157</v>
      </c>
      <c r="L76" t="s">
        <v>147</v>
      </c>
      <c r="M76" t="s">
        <v>144</v>
      </c>
      <c r="N76" t="s">
        <v>290</v>
      </c>
      <c r="O76">
        <v>1</v>
      </c>
      <c r="P76" t="s">
        <v>160</v>
      </c>
      <c r="R76">
        <v>685</v>
      </c>
      <c r="S76">
        <v>678.5</v>
      </c>
      <c r="T76" t="s">
        <v>172</v>
      </c>
      <c r="U76" t="s">
        <v>271</v>
      </c>
      <c r="V76" t="s">
        <v>27</v>
      </c>
      <c r="W76" t="s">
        <v>66</v>
      </c>
      <c r="X76" t="s">
        <v>67</v>
      </c>
      <c r="Y76" t="s">
        <v>138</v>
      </c>
      <c r="AA76" t="s">
        <v>494</v>
      </c>
      <c r="AC76" t="s">
        <v>139</v>
      </c>
      <c r="AD76" t="s">
        <v>637</v>
      </c>
      <c r="AG76" t="s">
        <v>156</v>
      </c>
      <c r="AH76" t="s">
        <v>68</v>
      </c>
      <c r="AI76" t="s">
        <v>493</v>
      </c>
      <c r="AK76" t="s">
        <v>638</v>
      </c>
    </row>
    <row r="77" spans="1:37" customFormat="1">
      <c r="A77" t="s">
        <v>23</v>
      </c>
      <c r="B77" t="s">
        <v>24</v>
      </c>
      <c r="C77" t="s">
        <v>262</v>
      </c>
      <c r="D77" t="s">
        <v>140</v>
      </c>
      <c r="E77" t="s">
        <v>263</v>
      </c>
      <c r="F77" t="s">
        <v>141</v>
      </c>
      <c r="G77" t="s">
        <v>136</v>
      </c>
      <c r="H77" t="s">
        <v>153</v>
      </c>
      <c r="I77" t="s">
        <v>156</v>
      </c>
      <c r="J77" t="s">
        <v>26</v>
      </c>
      <c r="K77" t="s">
        <v>157</v>
      </c>
      <c r="L77" t="s">
        <v>147</v>
      </c>
      <c r="M77" t="s">
        <v>144</v>
      </c>
      <c r="N77" t="s">
        <v>291</v>
      </c>
      <c r="O77">
        <v>1</v>
      </c>
      <c r="P77" t="s">
        <v>160</v>
      </c>
      <c r="R77">
        <v>679.5</v>
      </c>
      <c r="S77">
        <v>678.5</v>
      </c>
      <c r="T77" t="s">
        <v>172</v>
      </c>
      <c r="U77" t="s">
        <v>271</v>
      </c>
      <c r="V77" t="s">
        <v>27</v>
      </c>
      <c r="W77" t="s">
        <v>66</v>
      </c>
      <c r="X77" t="s">
        <v>67</v>
      </c>
      <c r="Y77" t="s">
        <v>138</v>
      </c>
      <c r="AA77" t="s">
        <v>494</v>
      </c>
      <c r="AC77" t="s">
        <v>139</v>
      </c>
      <c r="AD77" t="s">
        <v>639</v>
      </c>
      <c r="AG77" t="s">
        <v>156</v>
      </c>
      <c r="AH77" t="s">
        <v>68</v>
      </c>
      <c r="AI77" t="s">
        <v>493</v>
      </c>
      <c r="AK77" t="s">
        <v>640</v>
      </c>
    </row>
    <row r="78" spans="1:37" customFormat="1">
      <c r="A78" t="s">
        <v>23</v>
      </c>
      <c r="B78" t="s">
        <v>24</v>
      </c>
      <c r="C78" t="s">
        <v>262</v>
      </c>
      <c r="D78" t="s">
        <v>140</v>
      </c>
      <c r="E78" t="s">
        <v>263</v>
      </c>
      <c r="F78" t="s">
        <v>141</v>
      </c>
      <c r="G78" t="s">
        <v>136</v>
      </c>
      <c r="H78" t="s">
        <v>153</v>
      </c>
      <c r="I78" t="s">
        <v>156</v>
      </c>
      <c r="J78" t="s">
        <v>26</v>
      </c>
      <c r="K78" t="s">
        <v>157</v>
      </c>
      <c r="L78" t="s">
        <v>147</v>
      </c>
      <c r="M78" t="s">
        <v>144</v>
      </c>
      <c r="N78" t="s">
        <v>292</v>
      </c>
      <c r="O78">
        <v>1</v>
      </c>
      <c r="P78" t="s">
        <v>160</v>
      </c>
      <c r="R78">
        <v>685</v>
      </c>
      <c r="S78">
        <v>678.5</v>
      </c>
      <c r="T78" t="s">
        <v>172</v>
      </c>
      <c r="U78" t="s">
        <v>271</v>
      </c>
      <c r="V78" t="s">
        <v>27</v>
      </c>
      <c r="W78" t="s">
        <v>66</v>
      </c>
      <c r="X78" t="s">
        <v>67</v>
      </c>
      <c r="Y78" t="s">
        <v>138</v>
      </c>
      <c r="AA78" t="s">
        <v>494</v>
      </c>
      <c r="AC78" t="s">
        <v>139</v>
      </c>
      <c r="AD78" t="s">
        <v>641</v>
      </c>
      <c r="AG78" t="s">
        <v>156</v>
      </c>
      <c r="AH78" t="s">
        <v>68</v>
      </c>
      <c r="AI78" t="s">
        <v>493</v>
      </c>
      <c r="AK78" t="s">
        <v>642</v>
      </c>
    </row>
    <row r="79" spans="1:37" customFormat="1">
      <c r="A79" t="s">
        <v>23</v>
      </c>
      <c r="B79" t="s">
        <v>24</v>
      </c>
      <c r="C79" t="s">
        <v>262</v>
      </c>
      <c r="D79" t="s">
        <v>140</v>
      </c>
      <c r="E79" t="s">
        <v>263</v>
      </c>
      <c r="F79" t="s">
        <v>141</v>
      </c>
      <c r="G79" t="s">
        <v>136</v>
      </c>
      <c r="H79" t="s">
        <v>153</v>
      </c>
      <c r="I79" t="s">
        <v>156</v>
      </c>
      <c r="J79" t="s">
        <v>26</v>
      </c>
      <c r="K79" t="s">
        <v>157</v>
      </c>
      <c r="L79" t="s">
        <v>147</v>
      </c>
      <c r="M79" t="s">
        <v>144</v>
      </c>
      <c r="N79" t="s">
        <v>293</v>
      </c>
      <c r="O79">
        <v>1</v>
      </c>
      <c r="P79" t="s">
        <v>160</v>
      </c>
      <c r="R79">
        <v>681</v>
      </c>
      <c r="S79">
        <v>678.5</v>
      </c>
      <c r="T79" t="s">
        <v>172</v>
      </c>
      <c r="U79" t="s">
        <v>271</v>
      </c>
      <c r="V79" t="s">
        <v>27</v>
      </c>
      <c r="W79" t="s">
        <v>66</v>
      </c>
      <c r="X79" t="s">
        <v>67</v>
      </c>
      <c r="Y79" t="s">
        <v>138</v>
      </c>
      <c r="AA79" t="s">
        <v>494</v>
      </c>
      <c r="AC79" t="s">
        <v>139</v>
      </c>
      <c r="AD79" t="s">
        <v>643</v>
      </c>
      <c r="AG79" t="s">
        <v>156</v>
      </c>
      <c r="AH79" t="s">
        <v>68</v>
      </c>
      <c r="AI79" t="s">
        <v>493</v>
      </c>
      <c r="AK79" t="s">
        <v>644</v>
      </c>
    </row>
    <row r="80" spans="1:37" customFormat="1">
      <c r="A80" t="s">
        <v>23</v>
      </c>
      <c r="B80" t="s">
        <v>24</v>
      </c>
      <c r="C80" t="s">
        <v>294</v>
      </c>
      <c r="D80" t="s">
        <v>140</v>
      </c>
      <c r="E80" t="s">
        <v>267</v>
      </c>
      <c r="F80" t="s">
        <v>141</v>
      </c>
      <c r="G80" t="s">
        <v>136</v>
      </c>
      <c r="H80" t="s">
        <v>153</v>
      </c>
      <c r="I80" t="s">
        <v>156</v>
      </c>
      <c r="J80" t="s">
        <v>25</v>
      </c>
      <c r="K80" t="s">
        <v>157</v>
      </c>
      <c r="L80" t="s">
        <v>147</v>
      </c>
      <c r="M80" t="s">
        <v>144</v>
      </c>
      <c r="N80" t="s">
        <v>295</v>
      </c>
      <c r="O80">
        <v>42</v>
      </c>
      <c r="P80" t="s">
        <v>159</v>
      </c>
      <c r="R80">
        <v>608</v>
      </c>
      <c r="S80">
        <v>569.94000000000005</v>
      </c>
      <c r="T80" t="s">
        <v>172</v>
      </c>
      <c r="U80" t="s">
        <v>216</v>
      </c>
      <c r="V80" t="s">
        <v>67</v>
      </c>
      <c r="W80" t="s">
        <v>66</v>
      </c>
      <c r="X80" t="s">
        <v>67</v>
      </c>
      <c r="Y80" t="s">
        <v>138</v>
      </c>
      <c r="AA80" t="s">
        <v>494</v>
      </c>
      <c r="AC80" t="s">
        <v>139</v>
      </c>
      <c r="AD80" t="s">
        <v>645</v>
      </c>
      <c r="AG80" t="s">
        <v>156</v>
      </c>
      <c r="AH80" t="s">
        <v>68</v>
      </c>
      <c r="AI80" t="s">
        <v>493</v>
      </c>
    </row>
    <row r="81" spans="1:37" customFormat="1">
      <c r="A81" t="s">
        <v>23</v>
      </c>
      <c r="B81" t="s">
        <v>24</v>
      </c>
      <c r="C81" t="s">
        <v>262</v>
      </c>
      <c r="D81" t="s">
        <v>140</v>
      </c>
      <c r="E81" t="s">
        <v>266</v>
      </c>
      <c r="F81" t="s">
        <v>141</v>
      </c>
      <c r="G81" t="s">
        <v>136</v>
      </c>
      <c r="H81" t="s">
        <v>153</v>
      </c>
      <c r="I81" t="s">
        <v>156</v>
      </c>
      <c r="J81" t="s">
        <v>26</v>
      </c>
      <c r="K81" t="s">
        <v>157</v>
      </c>
      <c r="L81" t="s">
        <v>147</v>
      </c>
      <c r="M81" t="s">
        <v>144</v>
      </c>
      <c r="N81" t="s">
        <v>297</v>
      </c>
      <c r="O81">
        <v>1</v>
      </c>
      <c r="P81" t="s">
        <v>160</v>
      </c>
      <c r="R81">
        <v>683</v>
      </c>
      <c r="S81">
        <v>680.5</v>
      </c>
      <c r="T81" t="s">
        <v>172</v>
      </c>
      <c r="U81" t="s">
        <v>298</v>
      </c>
      <c r="V81" t="s">
        <v>67</v>
      </c>
      <c r="W81" t="s">
        <v>66</v>
      </c>
      <c r="X81" t="s">
        <v>67</v>
      </c>
      <c r="Y81" t="s">
        <v>138</v>
      </c>
      <c r="AA81" t="s">
        <v>494</v>
      </c>
      <c r="AC81" t="s">
        <v>139</v>
      </c>
      <c r="AD81" t="s">
        <v>646</v>
      </c>
      <c r="AG81" t="s">
        <v>156</v>
      </c>
      <c r="AH81" t="s">
        <v>68</v>
      </c>
      <c r="AI81" t="s">
        <v>493</v>
      </c>
      <c r="AK81" t="s">
        <v>647</v>
      </c>
    </row>
    <row r="82" spans="1:37" customFormat="1">
      <c r="A82" t="s">
        <v>23</v>
      </c>
      <c r="B82" t="s">
        <v>24</v>
      </c>
      <c r="C82" t="s">
        <v>262</v>
      </c>
      <c r="D82" t="s">
        <v>140</v>
      </c>
      <c r="E82" t="s">
        <v>266</v>
      </c>
      <c r="F82" t="s">
        <v>141</v>
      </c>
      <c r="G82" t="s">
        <v>136</v>
      </c>
      <c r="H82" t="s">
        <v>153</v>
      </c>
      <c r="I82" t="s">
        <v>156</v>
      </c>
      <c r="J82" t="s">
        <v>26</v>
      </c>
      <c r="K82" t="s">
        <v>157</v>
      </c>
      <c r="L82" t="s">
        <v>147</v>
      </c>
      <c r="M82" t="s">
        <v>144</v>
      </c>
      <c r="N82" t="s">
        <v>299</v>
      </c>
      <c r="O82">
        <v>1</v>
      </c>
      <c r="P82" t="s">
        <v>160</v>
      </c>
      <c r="R82">
        <v>684.5</v>
      </c>
      <c r="S82">
        <v>680.5</v>
      </c>
      <c r="T82" t="s">
        <v>172</v>
      </c>
      <c r="U82" t="s">
        <v>298</v>
      </c>
      <c r="V82" t="s">
        <v>67</v>
      </c>
      <c r="W82" t="s">
        <v>66</v>
      </c>
      <c r="X82" t="s">
        <v>67</v>
      </c>
      <c r="Y82" t="s">
        <v>138</v>
      </c>
      <c r="AA82" t="s">
        <v>494</v>
      </c>
      <c r="AC82" t="s">
        <v>139</v>
      </c>
      <c r="AD82" t="s">
        <v>648</v>
      </c>
      <c r="AG82" t="s">
        <v>156</v>
      </c>
      <c r="AH82" t="s">
        <v>68</v>
      </c>
      <c r="AI82" t="s">
        <v>493</v>
      </c>
      <c r="AK82" t="s">
        <v>649</v>
      </c>
    </row>
    <row r="83" spans="1:37" customFormat="1">
      <c r="A83" t="s">
        <v>23</v>
      </c>
      <c r="B83" t="s">
        <v>24</v>
      </c>
      <c r="C83" t="s">
        <v>294</v>
      </c>
      <c r="D83" t="s">
        <v>140</v>
      </c>
      <c r="E83" t="s">
        <v>268</v>
      </c>
      <c r="F83" t="s">
        <v>141</v>
      </c>
      <c r="G83" t="s">
        <v>136</v>
      </c>
      <c r="H83" t="s">
        <v>153</v>
      </c>
      <c r="I83" t="s">
        <v>156</v>
      </c>
      <c r="J83" t="s">
        <v>25</v>
      </c>
      <c r="K83" t="s">
        <v>157</v>
      </c>
      <c r="L83" t="s">
        <v>147</v>
      </c>
      <c r="M83" t="s">
        <v>144</v>
      </c>
      <c r="N83" t="s">
        <v>300</v>
      </c>
      <c r="O83">
        <v>23</v>
      </c>
      <c r="P83" t="s">
        <v>159</v>
      </c>
      <c r="R83">
        <v>343</v>
      </c>
      <c r="S83">
        <v>311.19</v>
      </c>
      <c r="T83" t="s">
        <v>172</v>
      </c>
      <c r="U83" t="s">
        <v>216</v>
      </c>
      <c r="V83" t="s">
        <v>27</v>
      </c>
      <c r="W83" t="s">
        <v>66</v>
      </c>
      <c r="X83" t="s">
        <v>67</v>
      </c>
      <c r="Y83" t="s">
        <v>138</v>
      </c>
      <c r="AA83" t="s">
        <v>494</v>
      </c>
      <c r="AC83" t="s">
        <v>139</v>
      </c>
      <c r="AD83" t="s">
        <v>650</v>
      </c>
      <c r="AG83" t="s">
        <v>156</v>
      </c>
      <c r="AH83" t="s">
        <v>68</v>
      </c>
      <c r="AI83" t="s">
        <v>493</v>
      </c>
    </row>
    <row r="84" spans="1:37" customFormat="1">
      <c r="A84" t="s">
        <v>23</v>
      </c>
      <c r="B84" t="s">
        <v>24</v>
      </c>
      <c r="C84" t="s">
        <v>262</v>
      </c>
      <c r="D84" t="s">
        <v>140</v>
      </c>
      <c r="E84" t="s">
        <v>266</v>
      </c>
      <c r="F84" t="s">
        <v>141</v>
      </c>
      <c r="G84" t="s">
        <v>136</v>
      </c>
      <c r="H84" t="s">
        <v>153</v>
      </c>
      <c r="I84" t="s">
        <v>156</v>
      </c>
      <c r="J84" t="s">
        <v>26</v>
      </c>
      <c r="K84" t="s">
        <v>157</v>
      </c>
      <c r="L84" t="s">
        <v>147</v>
      </c>
      <c r="M84" t="s">
        <v>144</v>
      </c>
      <c r="N84" t="s">
        <v>301</v>
      </c>
      <c r="O84">
        <v>1</v>
      </c>
      <c r="P84" t="s">
        <v>160</v>
      </c>
      <c r="R84">
        <v>685</v>
      </c>
      <c r="S84">
        <v>680.5</v>
      </c>
      <c r="T84" t="s">
        <v>172</v>
      </c>
      <c r="U84" t="s">
        <v>298</v>
      </c>
      <c r="V84" t="s">
        <v>67</v>
      </c>
      <c r="W84" t="s">
        <v>66</v>
      </c>
      <c r="X84" t="s">
        <v>67</v>
      </c>
      <c r="Y84" t="s">
        <v>138</v>
      </c>
      <c r="AA84" t="s">
        <v>494</v>
      </c>
      <c r="AC84" t="s">
        <v>139</v>
      </c>
      <c r="AD84" t="s">
        <v>651</v>
      </c>
      <c r="AG84" t="s">
        <v>156</v>
      </c>
      <c r="AH84" t="s">
        <v>68</v>
      </c>
      <c r="AI84" t="s">
        <v>493</v>
      </c>
      <c r="AK84" t="s">
        <v>652</v>
      </c>
    </row>
    <row r="85" spans="1:37" customFormat="1">
      <c r="A85" t="s">
        <v>23</v>
      </c>
      <c r="B85" t="s">
        <v>24</v>
      </c>
      <c r="C85" t="s">
        <v>262</v>
      </c>
      <c r="D85" t="s">
        <v>140</v>
      </c>
      <c r="E85" t="s">
        <v>266</v>
      </c>
      <c r="F85" t="s">
        <v>141</v>
      </c>
      <c r="G85" t="s">
        <v>136</v>
      </c>
      <c r="H85" t="s">
        <v>153</v>
      </c>
      <c r="I85" t="s">
        <v>156</v>
      </c>
      <c r="J85" t="s">
        <v>26</v>
      </c>
      <c r="K85" t="s">
        <v>157</v>
      </c>
      <c r="L85" t="s">
        <v>147</v>
      </c>
      <c r="M85" t="s">
        <v>144</v>
      </c>
      <c r="N85" t="s">
        <v>302</v>
      </c>
      <c r="O85">
        <v>1</v>
      </c>
      <c r="P85" t="s">
        <v>160</v>
      </c>
      <c r="R85">
        <v>680.5</v>
      </c>
      <c r="S85">
        <v>680.5</v>
      </c>
      <c r="T85" t="s">
        <v>172</v>
      </c>
      <c r="U85" t="s">
        <v>298</v>
      </c>
      <c r="V85" t="s">
        <v>67</v>
      </c>
      <c r="W85" t="s">
        <v>66</v>
      </c>
      <c r="X85" t="s">
        <v>67</v>
      </c>
      <c r="Y85" t="s">
        <v>138</v>
      </c>
      <c r="AA85" t="s">
        <v>494</v>
      </c>
      <c r="AC85" t="s">
        <v>139</v>
      </c>
      <c r="AD85" t="s">
        <v>653</v>
      </c>
      <c r="AG85" t="s">
        <v>156</v>
      </c>
      <c r="AH85" t="s">
        <v>68</v>
      </c>
      <c r="AI85" t="s">
        <v>493</v>
      </c>
      <c r="AK85" t="s">
        <v>654</v>
      </c>
    </row>
    <row r="86" spans="1:37" customFormat="1">
      <c r="A86" t="s">
        <v>23</v>
      </c>
      <c r="B86" t="s">
        <v>24</v>
      </c>
      <c r="C86" t="s">
        <v>262</v>
      </c>
      <c r="D86" t="s">
        <v>140</v>
      </c>
      <c r="E86" t="s">
        <v>266</v>
      </c>
      <c r="F86" t="s">
        <v>141</v>
      </c>
      <c r="G86" t="s">
        <v>136</v>
      </c>
      <c r="H86" t="s">
        <v>153</v>
      </c>
      <c r="I86" t="s">
        <v>156</v>
      </c>
      <c r="J86" t="s">
        <v>26</v>
      </c>
      <c r="K86" t="s">
        <v>157</v>
      </c>
      <c r="L86" t="s">
        <v>147</v>
      </c>
      <c r="M86" t="s">
        <v>144</v>
      </c>
      <c r="N86" t="s">
        <v>303</v>
      </c>
      <c r="O86">
        <v>1</v>
      </c>
      <c r="P86" t="s">
        <v>160</v>
      </c>
      <c r="R86">
        <v>683</v>
      </c>
      <c r="S86">
        <v>680.5</v>
      </c>
      <c r="T86" t="s">
        <v>172</v>
      </c>
      <c r="U86" t="s">
        <v>298</v>
      </c>
      <c r="V86" t="s">
        <v>67</v>
      </c>
      <c r="W86" t="s">
        <v>66</v>
      </c>
      <c r="X86" t="s">
        <v>67</v>
      </c>
      <c r="Y86" t="s">
        <v>138</v>
      </c>
      <c r="AA86" t="s">
        <v>494</v>
      </c>
      <c r="AC86" t="s">
        <v>139</v>
      </c>
      <c r="AD86" t="s">
        <v>655</v>
      </c>
      <c r="AG86" t="s">
        <v>156</v>
      </c>
      <c r="AH86" t="s">
        <v>68</v>
      </c>
      <c r="AI86" t="s">
        <v>493</v>
      </c>
      <c r="AK86" t="s">
        <v>656</v>
      </c>
    </row>
    <row r="87" spans="1:37" customFormat="1">
      <c r="A87" t="s">
        <v>23</v>
      </c>
      <c r="B87" t="s">
        <v>24</v>
      </c>
      <c r="C87" t="s">
        <v>262</v>
      </c>
      <c r="D87" t="s">
        <v>140</v>
      </c>
      <c r="E87" t="s">
        <v>266</v>
      </c>
      <c r="F87" t="s">
        <v>141</v>
      </c>
      <c r="G87" t="s">
        <v>136</v>
      </c>
      <c r="H87" t="s">
        <v>153</v>
      </c>
      <c r="I87" t="s">
        <v>156</v>
      </c>
      <c r="J87" t="s">
        <v>26</v>
      </c>
      <c r="K87" t="s">
        <v>157</v>
      </c>
      <c r="L87" t="s">
        <v>147</v>
      </c>
      <c r="M87" t="s">
        <v>144</v>
      </c>
      <c r="N87" t="s">
        <v>304</v>
      </c>
      <c r="O87">
        <v>1</v>
      </c>
      <c r="P87" t="s">
        <v>160</v>
      </c>
      <c r="R87">
        <v>683</v>
      </c>
      <c r="S87">
        <v>680.5</v>
      </c>
      <c r="T87" t="s">
        <v>172</v>
      </c>
      <c r="U87" t="s">
        <v>298</v>
      </c>
      <c r="V87" t="s">
        <v>67</v>
      </c>
      <c r="W87" t="s">
        <v>66</v>
      </c>
      <c r="X87" t="s">
        <v>67</v>
      </c>
      <c r="Y87" t="s">
        <v>138</v>
      </c>
      <c r="AA87" t="s">
        <v>494</v>
      </c>
      <c r="AC87" t="s">
        <v>139</v>
      </c>
      <c r="AD87" t="s">
        <v>657</v>
      </c>
      <c r="AG87" t="s">
        <v>156</v>
      </c>
      <c r="AH87" t="s">
        <v>68</v>
      </c>
      <c r="AI87" t="s">
        <v>493</v>
      </c>
      <c r="AK87" t="s">
        <v>658</v>
      </c>
    </row>
    <row r="88" spans="1:37" customFormat="1">
      <c r="A88" t="s">
        <v>23</v>
      </c>
      <c r="B88" t="s">
        <v>24</v>
      </c>
      <c r="C88" t="s">
        <v>262</v>
      </c>
      <c r="D88" t="s">
        <v>140</v>
      </c>
      <c r="E88" t="s">
        <v>266</v>
      </c>
      <c r="F88" t="s">
        <v>141</v>
      </c>
      <c r="G88" t="s">
        <v>136</v>
      </c>
      <c r="H88" t="s">
        <v>153</v>
      </c>
      <c r="I88" t="s">
        <v>156</v>
      </c>
      <c r="J88" t="s">
        <v>26</v>
      </c>
      <c r="K88" t="s">
        <v>157</v>
      </c>
      <c r="L88" t="s">
        <v>147</v>
      </c>
      <c r="M88" t="s">
        <v>144</v>
      </c>
      <c r="N88" t="s">
        <v>305</v>
      </c>
      <c r="O88">
        <v>1</v>
      </c>
      <c r="P88" t="s">
        <v>160</v>
      </c>
      <c r="R88">
        <v>686</v>
      </c>
      <c r="S88">
        <v>680.5</v>
      </c>
      <c r="T88" t="s">
        <v>172</v>
      </c>
      <c r="U88" t="s">
        <v>298</v>
      </c>
      <c r="V88" t="s">
        <v>67</v>
      </c>
      <c r="W88" t="s">
        <v>66</v>
      </c>
      <c r="X88" t="s">
        <v>67</v>
      </c>
      <c r="Y88" t="s">
        <v>138</v>
      </c>
      <c r="AA88" t="s">
        <v>494</v>
      </c>
      <c r="AC88" t="s">
        <v>139</v>
      </c>
      <c r="AD88" t="s">
        <v>659</v>
      </c>
      <c r="AG88" t="s">
        <v>156</v>
      </c>
      <c r="AH88" t="s">
        <v>68</v>
      </c>
      <c r="AI88" t="s">
        <v>493</v>
      </c>
      <c r="AK88" t="s">
        <v>660</v>
      </c>
    </row>
    <row r="89" spans="1:37" customFormat="1">
      <c r="A89" t="s">
        <v>23</v>
      </c>
      <c r="B89" t="s">
        <v>24</v>
      </c>
      <c r="C89" t="s">
        <v>262</v>
      </c>
      <c r="D89" t="s">
        <v>140</v>
      </c>
      <c r="E89" t="s">
        <v>266</v>
      </c>
      <c r="F89" t="s">
        <v>141</v>
      </c>
      <c r="G89" t="s">
        <v>136</v>
      </c>
      <c r="H89" t="s">
        <v>153</v>
      </c>
      <c r="I89" t="s">
        <v>156</v>
      </c>
      <c r="J89" t="s">
        <v>26</v>
      </c>
      <c r="K89" t="s">
        <v>157</v>
      </c>
      <c r="L89" t="s">
        <v>147</v>
      </c>
      <c r="M89" t="s">
        <v>144</v>
      </c>
      <c r="N89" t="s">
        <v>306</v>
      </c>
      <c r="O89">
        <v>1</v>
      </c>
      <c r="P89" t="s">
        <v>160</v>
      </c>
      <c r="R89">
        <v>683</v>
      </c>
      <c r="S89">
        <v>680.5</v>
      </c>
      <c r="T89" t="s">
        <v>172</v>
      </c>
      <c r="U89" t="s">
        <v>298</v>
      </c>
      <c r="V89" t="s">
        <v>67</v>
      </c>
      <c r="W89" t="s">
        <v>66</v>
      </c>
      <c r="X89" t="s">
        <v>67</v>
      </c>
      <c r="Y89" t="s">
        <v>138</v>
      </c>
      <c r="AA89" t="s">
        <v>494</v>
      </c>
      <c r="AC89" t="s">
        <v>139</v>
      </c>
      <c r="AD89" t="s">
        <v>661</v>
      </c>
      <c r="AG89" t="s">
        <v>156</v>
      </c>
      <c r="AH89" t="s">
        <v>68</v>
      </c>
      <c r="AI89" t="s">
        <v>493</v>
      </c>
      <c r="AK89" t="s">
        <v>662</v>
      </c>
    </row>
    <row r="90" spans="1:37" customFormat="1">
      <c r="A90" t="s">
        <v>23</v>
      </c>
      <c r="B90" t="s">
        <v>24</v>
      </c>
      <c r="C90" t="s">
        <v>262</v>
      </c>
      <c r="D90" t="s">
        <v>140</v>
      </c>
      <c r="E90" t="s">
        <v>266</v>
      </c>
      <c r="F90" t="s">
        <v>141</v>
      </c>
      <c r="G90" t="s">
        <v>136</v>
      </c>
      <c r="H90" t="s">
        <v>153</v>
      </c>
      <c r="I90" t="s">
        <v>156</v>
      </c>
      <c r="J90" t="s">
        <v>26</v>
      </c>
      <c r="K90" t="s">
        <v>157</v>
      </c>
      <c r="L90" t="s">
        <v>147</v>
      </c>
      <c r="M90" t="s">
        <v>144</v>
      </c>
      <c r="N90" t="s">
        <v>307</v>
      </c>
      <c r="O90">
        <v>1</v>
      </c>
      <c r="P90" t="s">
        <v>160</v>
      </c>
      <c r="R90">
        <v>681.5</v>
      </c>
      <c r="S90">
        <v>680.5</v>
      </c>
      <c r="T90" t="s">
        <v>172</v>
      </c>
      <c r="U90" t="s">
        <v>298</v>
      </c>
      <c r="V90" t="s">
        <v>67</v>
      </c>
      <c r="W90" t="s">
        <v>66</v>
      </c>
      <c r="X90" t="s">
        <v>67</v>
      </c>
      <c r="Y90" t="s">
        <v>138</v>
      </c>
      <c r="AA90" t="s">
        <v>494</v>
      </c>
      <c r="AC90" t="s">
        <v>139</v>
      </c>
      <c r="AD90" t="s">
        <v>663</v>
      </c>
      <c r="AG90" t="s">
        <v>156</v>
      </c>
      <c r="AH90" t="s">
        <v>68</v>
      </c>
      <c r="AI90" t="s">
        <v>493</v>
      </c>
      <c r="AK90" t="s">
        <v>664</v>
      </c>
    </row>
    <row r="91" spans="1:37" customFormat="1">
      <c r="A91" t="s">
        <v>23</v>
      </c>
      <c r="B91" t="s">
        <v>24</v>
      </c>
      <c r="C91" t="s">
        <v>262</v>
      </c>
      <c r="D91" t="s">
        <v>140</v>
      </c>
      <c r="E91" t="s">
        <v>266</v>
      </c>
      <c r="F91" t="s">
        <v>141</v>
      </c>
      <c r="G91" t="s">
        <v>136</v>
      </c>
      <c r="H91" t="s">
        <v>153</v>
      </c>
      <c r="I91" t="s">
        <v>156</v>
      </c>
      <c r="J91" t="s">
        <v>26</v>
      </c>
      <c r="K91" t="s">
        <v>157</v>
      </c>
      <c r="L91" t="s">
        <v>147</v>
      </c>
      <c r="M91" t="s">
        <v>144</v>
      </c>
      <c r="N91" t="s">
        <v>308</v>
      </c>
      <c r="O91">
        <v>1</v>
      </c>
      <c r="P91" t="s">
        <v>160</v>
      </c>
      <c r="R91">
        <v>682.5</v>
      </c>
      <c r="S91">
        <v>680.5</v>
      </c>
      <c r="T91" t="s">
        <v>172</v>
      </c>
      <c r="U91" t="s">
        <v>298</v>
      </c>
      <c r="V91" t="s">
        <v>67</v>
      </c>
      <c r="W91" t="s">
        <v>66</v>
      </c>
      <c r="X91" t="s">
        <v>67</v>
      </c>
      <c r="Y91" t="s">
        <v>138</v>
      </c>
      <c r="AA91" t="s">
        <v>494</v>
      </c>
      <c r="AC91" t="s">
        <v>139</v>
      </c>
      <c r="AD91" t="s">
        <v>665</v>
      </c>
      <c r="AG91" t="s">
        <v>156</v>
      </c>
      <c r="AH91" t="s">
        <v>68</v>
      </c>
      <c r="AI91" t="s">
        <v>493</v>
      </c>
      <c r="AK91" t="s">
        <v>666</v>
      </c>
    </row>
    <row r="92" spans="1:37" customFormat="1">
      <c r="A92" t="s">
        <v>23</v>
      </c>
      <c r="B92" t="s">
        <v>24</v>
      </c>
      <c r="C92" t="s">
        <v>262</v>
      </c>
      <c r="D92" t="s">
        <v>140</v>
      </c>
      <c r="E92" t="s">
        <v>266</v>
      </c>
      <c r="F92" t="s">
        <v>141</v>
      </c>
      <c r="G92" t="s">
        <v>136</v>
      </c>
      <c r="H92" t="s">
        <v>153</v>
      </c>
      <c r="I92" t="s">
        <v>156</v>
      </c>
      <c r="J92" t="s">
        <v>26</v>
      </c>
      <c r="K92" t="s">
        <v>157</v>
      </c>
      <c r="L92" t="s">
        <v>147</v>
      </c>
      <c r="M92" t="s">
        <v>144</v>
      </c>
      <c r="N92" t="s">
        <v>309</v>
      </c>
      <c r="O92">
        <v>1</v>
      </c>
      <c r="P92" t="s">
        <v>160</v>
      </c>
      <c r="R92">
        <v>684</v>
      </c>
      <c r="S92">
        <v>680.5</v>
      </c>
      <c r="T92" t="s">
        <v>172</v>
      </c>
      <c r="U92" t="s">
        <v>298</v>
      </c>
      <c r="V92" t="s">
        <v>67</v>
      </c>
      <c r="W92" t="s">
        <v>66</v>
      </c>
      <c r="X92" t="s">
        <v>67</v>
      </c>
      <c r="Y92" t="s">
        <v>138</v>
      </c>
      <c r="AA92" t="s">
        <v>494</v>
      </c>
      <c r="AC92" t="s">
        <v>139</v>
      </c>
      <c r="AD92" t="s">
        <v>667</v>
      </c>
      <c r="AG92" t="s">
        <v>156</v>
      </c>
      <c r="AH92" t="s">
        <v>68</v>
      </c>
      <c r="AI92" t="s">
        <v>493</v>
      </c>
      <c r="AK92" t="s">
        <v>668</v>
      </c>
    </row>
    <row r="93" spans="1:37" customFormat="1">
      <c r="A93" t="s">
        <v>23</v>
      </c>
      <c r="B93" t="s">
        <v>24</v>
      </c>
      <c r="C93" t="s">
        <v>262</v>
      </c>
      <c r="D93" t="s">
        <v>140</v>
      </c>
      <c r="E93" t="s">
        <v>266</v>
      </c>
      <c r="F93" t="s">
        <v>141</v>
      </c>
      <c r="G93" t="s">
        <v>136</v>
      </c>
      <c r="H93" t="s">
        <v>153</v>
      </c>
      <c r="I93" t="s">
        <v>156</v>
      </c>
      <c r="J93" t="s">
        <v>26</v>
      </c>
      <c r="K93" t="s">
        <v>157</v>
      </c>
      <c r="L93" t="s">
        <v>147</v>
      </c>
      <c r="M93" t="s">
        <v>144</v>
      </c>
      <c r="N93" t="s">
        <v>310</v>
      </c>
      <c r="O93">
        <v>1</v>
      </c>
      <c r="P93" t="s">
        <v>160</v>
      </c>
      <c r="R93">
        <v>683</v>
      </c>
      <c r="S93">
        <v>680.5</v>
      </c>
      <c r="T93" t="s">
        <v>172</v>
      </c>
      <c r="U93" t="s">
        <v>298</v>
      </c>
      <c r="V93" t="s">
        <v>67</v>
      </c>
      <c r="W93" t="s">
        <v>66</v>
      </c>
      <c r="X93" t="s">
        <v>67</v>
      </c>
      <c r="Y93" t="s">
        <v>138</v>
      </c>
      <c r="AA93" t="s">
        <v>494</v>
      </c>
      <c r="AC93" t="s">
        <v>139</v>
      </c>
      <c r="AD93" t="s">
        <v>669</v>
      </c>
      <c r="AG93" t="s">
        <v>156</v>
      </c>
      <c r="AH93" t="s">
        <v>68</v>
      </c>
      <c r="AI93" t="s">
        <v>493</v>
      </c>
      <c r="AK93" t="s">
        <v>670</v>
      </c>
    </row>
    <row r="94" spans="1:37" customFormat="1">
      <c r="A94" t="s">
        <v>23</v>
      </c>
      <c r="B94" t="s">
        <v>24</v>
      </c>
      <c r="C94" t="s">
        <v>262</v>
      </c>
      <c r="D94" t="s">
        <v>140</v>
      </c>
      <c r="E94" t="s">
        <v>266</v>
      </c>
      <c r="F94" t="s">
        <v>141</v>
      </c>
      <c r="G94" t="s">
        <v>136</v>
      </c>
      <c r="H94" t="s">
        <v>153</v>
      </c>
      <c r="I94" t="s">
        <v>156</v>
      </c>
      <c r="J94" t="s">
        <v>26</v>
      </c>
      <c r="K94" t="s">
        <v>157</v>
      </c>
      <c r="L94" t="s">
        <v>147</v>
      </c>
      <c r="M94" t="s">
        <v>144</v>
      </c>
      <c r="N94" t="s">
        <v>311</v>
      </c>
      <c r="O94">
        <v>1</v>
      </c>
      <c r="P94" t="s">
        <v>160</v>
      </c>
      <c r="R94">
        <v>683</v>
      </c>
      <c r="S94">
        <v>680.5</v>
      </c>
      <c r="T94" t="s">
        <v>172</v>
      </c>
      <c r="U94" t="s">
        <v>298</v>
      </c>
      <c r="V94" t="s">
        <v>67</v>
      </c>
      <c r="W94" t="s">
        <v>66</v>
      </c>
      <c r="X94" t="s">
        <v>67</v>
      </c>
      <c r="Y94" t="s">
        <v>138</v>
      </c>
      <c r="AA94" t="s">
        <v>494</v>
      </c>
      <c r="AC94" t="s">
        <v>139</v>
      </c>
      <c r="AD94" t="s">
        <v>671</v>
      </c>
      <c r="AG94" t="s">
        <v>156</v>
      </c>
      <c r="AH94" t="s">
        <v>68</v>
      </c>
      <c r="AI94" t="s">
        <v>493</v>
      </c>
      <c r="AK94" t="s">
        <v>672</v>
      </c>
    </row>
    <row r="95" spans="1:37" customFormat="1">
      <c r="A95" t="s">
        <v>23</v>
      </c>
      <c r="B95" t="s">
        <v>24</v>
      </c>
      <c r="C95" t="s">
        <v>262</v>
      </c>
      <c r="D95" t="s">
        <v>140</v>
      </c>
      <c r="E95" t="s">
        <v>266</v>
      </c>
      <c r="F95" t="s">
        <v>141</v>
      </c>
      <c r="G95" t="s">
        <v>136</v>
      </c>
      <c r="H95" t="s">
        <v>153</v>
      </c>
      <c r="I95" t="s">
        <v>156</v>
      </c>
      <c r="J95" t="s">
        <v>26</v>
      </c>
      <c r="K95" t="s">
        <v>157</v>
      </c>
      <c r="L95" t="s">
        <v>147</v>
      </c>
      <c r="M95" t="s">
        <v>144</v>
      </c>
      <c r="N95" t="s">
        <v>312</v>
      </c>
      <c r="O95">
        <v>1</v>
      </c>
      <c r="P95" t="s">
        <v>160</v>
      </c>
      <c r="R95">
        <v>682.5</v>
      </c>
      <c r="S95">
        <v>680.5</v>
      </c>
      <c r="T95" t="s">
        <v>172</v>
      </c>
      <c r="U95" t="s">
        <v>298</v>
      </c>
      <c r="V95" t="s">
        <v>67</v>
      </c>
      <c r="W95" t="s">
        <v>66</v>
      </c>
      <c r="X95" t="s">
        <v>67</v>
      </c>
      <c r="Y95" t="s">
        <v>138</v>
      </c>
      <c r="AA95" t="s">
        <v>494</v>
      </c>
      <c r="AC95" t="s">
        <v>139</v>
      </c>
      <c r="AD95" t="s">
        <v>673</v>
      </c>
      <c r="AG95" t="s">
        <v>156</v>
      </c>
      <c r="AH95" t="s">
        <v>68</v>
      </c>
      <c r="AI95" t="s">
        <v>493</v>
      </c>
      <c r="AK95" t="s">
        <v>674</v>
      </c>
    </row>
    <row r="96" spans="1:37" customFormat="1">
      <c r="A96" t="s">
        <v>23</v>
      </c>
      <c r="B96" t="s">
        <v>24</v>
      </c>
      <c r="C96" t="s">
        <v>262</v>
      </c>
      <c r="D96" t="s">
        <v>140</v>
      </c>
      <c r="E96" t="s">
        <v>266</v>
      </c>
      <c r="F96" t="s">
        <v>141</v>
      </c>
      <c r="G96" t="s">
        <v>136</v>
      </c>
      <c r="H96" t="s">
        <v>153</v>
      </c>
      <c r="I96" t="s">
        <v>156</v>
      </c>
      <c r="J96" t="s">
        <v>26</v>
      </c>
      <c r="K96" t="s">
        <v>157</v>
      </c>
      <c r="L96" t="s">
        <v>147</v>
      </c>
      <c r="M96" t="s">
        <v>144</v>
      </c>
      <c r="N96" t="s">
        <v>313</v>
      </c>
      <c r="O96">
        <v>1</v>
      </c>
      <c r="P96" t="s">
        <v>160</v>
      </c>
      <c r="R96">
        <v>681</v>
      </c>
      <c r="S96">
        <v>680.5</v>
      </c>
      <c r="T96" t="s">
        <v>172</v>
      </c>
      <c r="U96" t="s">
        <v>298</v>
      </c>
      <c r="V96" t="s">
        <v>67</v>
      </c>
      <c r="W96" t="s">
        <v>66</v>
      </c>
      <c r="X96" t="s">
        <v>67</v>
      </c>
      <c r="Y96" t="s">
        <v>138</v>
      </c>
      <c r="AA96" t="s">
        <v>494</v>
      </c>
      <c r="AC96" t="s">
        <v>139</v>
      </c>
      <c r="AD96" t="s">
        <v>675</v>
      </c>
      <c r="AG96" t="s">
        <v>156</v>
      </c>
      <c r="AH96" t="s">
        <v>68</v>
      </c>
      <c r="AI96" t="s">
        <v>493</v>
      </c>
      <c r="AK96" t="s">
        <v>676</v>
      </c>
    </row>
    <row r="97" spans="1:37" customFormat="1">
      <c r="A97" t="s">
        <v>23</v>
      </c>
      <c r="B97" t="s">
        <v>24</v>
      </c>
      <c r="C97" t="s">
        <v>262</v>
      </c>
      <c r="D97" t="s">
        <v>140</v>
      </c>
      <c r="E97" t="s">
        <v>266</v>
      </c>
      <c r="F97" t="s">
        <v>141</v>
      </c>
      <c r="G97" t="s">
        <v>136</v>
      </c>
      <c r="H97" t="s">
        <v>153</v>
      </c>
      <c r="I97" t="s">
        <v>156</v>
      </c>
      <c r="J97" t="s">
        <v>26</v>
      </c>
      <c r="K97" t="s">
        <v>157</v>
      </c>
      <c r="L97" t="s">
        <v>147</v>
      </c>
      <c r="M97" t="s">
        <v>144</v>
      </c>
      <c r="N97" t="s">
        <v>314</v>
      </c>
      <c r="O97">
        <v>1</v>
      </c>
      <c r="P97" t="s">
        <v>160</v>
      </c>
      <c r="R97">
        <v>685.5</v>
      </c>
      <c r="S97">
        <v>680.5</v>
      </c>
      <c r="T97" t="s">
        <v>172</v>
      </c>
      <c r="U97" t="s">
        <v>298</v>
      </c>
      <c r="V97" t="s">
        <v>67</v>
      </c>
      <c r="W97" t="s">
        <v>66</v>
      </c>
      <c r="X97" t="s">
        <v>67</v>
      </c>
      <c r="Y97" t="s">
        <v>138</v>
      </c>
      <c r="AA97" t="s">
        <v>494</v>
      </c>
      <c r="AC97" t="s">
        <v>139</v>
      </c>
      <c r="AD97" t="s">
        <v>677</v>
      </c>
      <c r="AG97" t="s">
        <v>156</v>
      </c>
      <c r="AH97" t="s">
        <v>68</v>
      </c>
      <c r="AI97" t="s">
        <v>493</v>
      </c>
      <c r="AK97" t="s">
        <v>678</v>
      </c>
    </row>
    <row r="98" spans="1:37" customFormat="1">
      <c r="A98" t="s">
        <v>23</v>
      </c>
      <c r="B98" t="s">
        <v>24</v>
      </c>
      <c r="C98" t="s">
        <v>262</v>
      </c>
      <c r="D98" t="s">
        <v>140</v>
      </c>
      <c r="E98" t="s">
        <v>266</v>
      </c>
      <c r="F98" t="s">
        <v>141</v>
      </c>
      <c r="G98" t="s">
        <v>136</v>
      </c>
      <c r="H98" t="s">
        <v>153</v>
      </c>
      <c r="I98" t="s">
        <v>156</v>
      </c>
      <c r="J98" t="s">
        <v>26</v>
      </c>
      <c r="K98" t="s">
        <v>157</v>
      </c>
      <c r="L98" t="s">
        <v>147</v>
      </c>
      <c r="M98" t="s">
        <v>144</v>
      </c>
      <c r="N98" t="s">
        <v>315</v>
      </c>
      <c r="O98">
        <v>1</v>
      </c>
      <c r="P98" t="s">
        <v>160</v>
      </c>
      <c r="R98">
        <v>687</v>
      </c>
      <c r="S98">
        <v>680.5</v>
      </c>
      <c r="T98" t="s">
        <v>172</v>
      </c>
      <c r="U98" t="s">
        <v>298</v>
      </c>
      <c r="V98" t="s">
        <v>67</v>
      </c>
      <c r="W98" t="s">
        <v>66</v>
      </c>
      <c r="X98" t="s">
        <v>67</v>
      </c>
      <c r="Y98" t="s">
        <v>138</v>
      </c>
      <c r="AA98" t="s">
        <v>494</v>
      </c>
      <c r="AC98" t="s">
        <v>139</v>
      </c>
      <c r="AD98" t="s">
        <v>679</v>
      </c>
      <c r="AG98" t="s">
        <v>156</v>
      </c>
      <c r="AH98" t="s">
        <v>68</v>
      </c>
      <c r="AI98" t="s">
        <v>493</v>
      </c>
      <c r="AK98" t="s">
        <v>680</v>
      </c>
    </row>
    <row r="99" spans="1:37" customFormat="1">
      <c r="A99" t="s">
        <v>23</v>
      </c>
      <c r="B99" t="s">
        <v>24</v>
      </c>
      <c r="C99" t="s">
        <v>262</v>
      </c>
      <c r="D99" t="s">
        <v>140</v>
      </c>
      <c r="E99" t="s">
        <v>266</v>
      </c>
      <c r="F99" t="s">
        <v>141</v>
      </c>
      <c r="G99" t="s">
        <v>136</v>
      </c>
      <c r="H99" t="s">
        <v>153</v>
      </c>
      <c r="I99" t="s">
        <v>156</v>
      </c>
      <c r="J99" t="s">
        <v>26</v>
      </c>
      <c r="K99" t="s">
        <v>157</v>
      </c>
      <c r="L99" t="s">
        <v>147</v>
      </c>
      <c r="M99" t="s">
        <v>144</v>
      </c>
      <c r="N99" t="s">
        <v>316</v>
      </c>
      <c r="O99">
        <v>1</v>
      </c>
      <c r="P99" t="s">
        <v>160</v>
      </c>
      <c r="R99">
        <v>687</v>
      </c>
      <c r="S99">
        <v>680.5</v>
      </c>
      <c r="T99" t="s">
        <v>172</v>
      </c>
      <c r="U99" t="s">
        <v>298</v>
      </c>
      <c r="V99" t="s">
        <v>67</v>
      </c>
      <c r="W99" t="s">
        <v>66</v>
      </c>
      <c r="X99" t="s">
        <v>67</v>
      </c>
      <c r="Y99" t="s">
        <v>138</v>
      </c>
      <c r="AA99" t="s">
        <v>494</v>
      </c>
      <c r="AC99" t="s">
        <v>139</v>
      </c>
      <c r="AD99" t="s">
        <v>681</v>
      </c>
      <c r="AG99" t="s">
        <v>156</v>
      </c>
      <c r="AH99" t="s">
        <v>68</v>
      </c>
      <c r="AI99" t="s">
        <v>493</v>
      </c>
      <c r="AK99" t="s">
        <v>682</v>
      </c>
    </row>
    <row r="100" spans="1:37" customFormat="1">
      <c r="A100" t="s">
        <v>23</v>
      </c>
      <c r="B100" t="s">
        <v>24</v>
      </c>
      <c r="C100" t="s">
        <v>294</v>
      </c>
      <c r="D100" t="s">
        <v>140</v>
      </c>
      <c r="E100" t="s">
        <v>269</v>
      </c>
      <c r="F100" t="s">
        <v>141</v>
      </c>
      <c r="G100" t="s">
        <v>136</v>
      </c>
      <c r="H100" t="s">
        <v>153</v>
      </c>
      <c r="I100" t="s">
        <v>156</v>
      </c>
      <c r="J100" t="s">
        <v>25</v>
      </c>
      <c r="K100" t="s">
        <v>157</v>
      </c>
      <c r="L100" t="s">
        <v>147</v>
      </c>
      <c r="M100" t="s">
        <v>144</v>
      </c>
      <c r="N100" t="s">
        <v>317</v>
      </c>
      <c r="O100">
        <v>41</v>
      </c>
      <c r="P100" t="s">
        <v>159</v>
      </c>
      <c r="R100">
        <v>593</v>
      </c>
      <c r="S100">
        <v>558.01</v>
      </c>
      <c r="T100" t="s">
        <v>172</v>
      </c>
      <c r="U100" t="s">
        <v>216</v>
      </c>
      <c r="V100" t="s">
        <v>27</v>
      </c>
      <c r="W100" t="s">
        <v>66</v>
      </c>
      <c r="X100" t="s">
        <v>67</v>
      </c>
      <c r="Y100" t="s">
        <v>138</v>
      </c>
      <c r="AA100" t="s">
        <v>494</v>
      </c>
      <c r="AC100" t="s">
        <v>139</v>
      </c>
      <c r="AD100" t="s">
        <v>683</v>
      </c>
      <c r="AG100" t="s">
        <v>156</v>
      </c>
      <c r="AH100" t="s">
        <v>68</v>
      </c>
      <c r="AI100" t="s">
        <v>493</v>
      </c>
    </row>
    <row r="101" spans="1:37" customFormat="1">
      <c r="A101" t="s">
        <v>23</v>
      </c>
      <c r="B101" t="s">
        <v>24</v>
      </c>
      <c r="C101" t="s">
        <v>294</v>
      </c>
      <c r="D101" t="s">
        <v>140</v>
      </c>
      <c r="E101" t="s">
        <v>318</v>
      </c>
      <c r="F101" t="s">
        <v>141</v>
      </c>
      <c r="G101" t="s">
        <v>136</v>
      </c>
      <c r="H101" t="s">
        <v>153</v>
      </c>
      <c r="I101" t="s">
        <v>156</v>
      </c>
      <c r="J101" t="s">
        <v>25</v>
      </c>
      <c r="K101" t="s">
        <v>157</v>
      </c>
      <c r="L101" t="s">
        <v>150</v>
      </c>
      <c r="M101" t="s">
        <v>144</v>
      </c>
      <c r="N101" t="s">
        <v>319</v>
      </c>
      <c r="O101">
        <v>33</v>
      </c>
      <c r="P101" t="s">
        <v>159</v>
      </c>
      <c r="R101">
        <v>477</v>
      </c>
      <c r="S101">
        <v>444.84</v>
      </c>
      <c r="T101" t="s">
        <v>172</v>
      </c>
      <c r="U101" t="s">
        <v>216</v>
      </c>
      <c r="V101" t="s">
        <v>27</v>
      </c>
      <c r="W101" t="s">
        <v>66</v>
      </c>
      <c r="X101" t="s">
        <v>67</v>
      </c>
      <c r="Y101" t="s">
        <v>138</v>
      </c>
      <c r="AA101" t="s">
        <v>494</v>
      </c>
      <c r="AC101" t="s">
        <v>139</v>
      </c>
      <c r="AD101" t="s">
        <v>684</v>
      </c>
      <c r="AG101" t="s">
        <v>156</v>
      </c>
      <c r="AH101" t="s">
        <v>68</v>
      </c>
      <c r="AI101" t="s">
        <v>493</v>
      </c>
    </row>
    <row r="102" spans="1:37" customFormat="1">
      <c r="A102" t="s">
        <v>23</v>
      </c>
      <c r="B102" t="s">
        <v>24</v>
      </c>
      <c r="C102" t="s">
        <v>320</v>
      </c>
      <c r="D102" t="s">
        <v>140</v>
      </c>
      <c r="E102" t="s">
        <v>321</v>
      </c>
      <c r="F102" t="s">
        <v>141</v>
      </c>
      <c r="G102" t="s">
        <v>136</v>
      </c>
      <c r="H102" t="s">
        <v>142</v>
      </c>
      <c r="I102" t="s">
        <v>156</v>
      </c>
      <c r="J102" t="s">
        <v>26</v>
      </c>
      <c r="K102" t="s">
        <v>157</v>
      </c>
      <c r="L102" t="s">
        <v>150</v>
      </c>
      <c r="M102" t="s">
        <v>144</v>
      </c>
      <c r="N102" t="s">
        <v>322</v>
      </c>
      <c r="O102">
        <v>1</v>
      </c>
      <c r="P102" t="s">
        <v>160</v>
      </c>
      <c r="R102">
        <v>756.5</v>
      </c>
      <c r="S102">
        <v>756.5</v>
      </c>
      <c r="T102" t="s">
        <v>172</v>
      </c>
      <c r="U102" t="s">
        <v>191</v>
      </c>
      <c r="V102" t="s">
        <v>67</v>
      </c>
      <c r="W102" t="s">
        <v>66</v>
      </c>
      <c r="X102" t="s">
        <v>67</v>
      </c>
      <c r="Y102" t="s">
        <v>138</v>
      </c>
      <c r="AA102" t="s">
        <v>494</v>
      </c>
      <c r="AC102" t="s">
        <v>139</v>
      </c>
      <c r="AD102" t="s">
        <v>685</v>
      </c>
      <c r="AG102" t="s">
        <v>156</v>
      </c>
      <c r="AH102" t="s">
        <v>68</v>
      </c>
      <c r="AI102" t="s">
        <v>493</v>
      </c>
      <c r="AK102" t="s">
        <v>686</v>
      </c>
    </row>
    <row r="103" spans="1:37" customFormat="1">
      <c r="A103" t="s">
        <v>23</v>
      </c>
      <c r="B103" t="s">
        <v>24</v>
      </c>
      <c r="C103" t="s">
        <v>320</v>
      </c>
      <c r="D103" t="s">
        <v>140</v>
      </c>
      <c r="E103" t="s">
        <v>321</v>
      </c>
      <c r="F103" t="s">
        <v>141</v>
      </c>
      <c r="G103" t="s">
        <v>136</v>
      </c>
      <c r="H103" t="s">
        <v>142</v>
      </c>
      <c r="I103" t="s">
        <v>156</v>
      </c>
      <c r="J103" t="s">
        <v>26</v>
      </c>
      <c r="K103" t="s">
        <v>157</v>
      </c>
      <c r="L103" t="s">
        <v>150</v>
      </c>
      <c r="M103" t="s">
        <v>144</v>
      </c>
      <c r="N103" t="s">
        <v>323</v>
      </c>
      <c r="O103">
        <v>1</v>
      </c>
      <c r="P103" t="s">
        <v>160</v>
      </c>
      <c r="R103">
        <v>762.5</v>
      </c>
      <c r="S103">
        <v>756.5</v>
      </c>
      <c r="T103" t="s">
        <v>172</v>
      </c>
      <c r="U103" t="s">
        <v>191</v>
      </c>
      <c r="V103" t="s">
        <v>67</v>
      </c>
      <c r="W103" t="s">
        <v>66</v>
      </c>
      <c r="X103" t="s">
        <v>67</v>
      </c>
      <c r="Y103" t="s">
        <v>138</v>
      </c>
      <c r="AA103" t="s">
        <v>494</v>
      </c>
      <c r="AC103" t="s">
        <v>139</v>
      </c>
      <c r="AD103" t="s">
        <v>687</v>
      </c>
      <c r="AG103" t="s">
        <v>156</v>
      </c>
      <c r="AH103" t="s">
        <v>68</v>
      </c>
      <c r="AI103" t="s">
        <v>493</v>
      </c>
      <c r="AK103" t="s">
        <v>688</v>
      </c>
    </row>
    <row r="104" spans="1:37" customFormat="1">
      <c r="A104" t="s">
        <v>23</v>
      </c>
      <c r="B104" t="s">
        <v>24</v>
      </c>
      <c r="C104" t="s">
        <v>320</v>
      </c>
      <c r="D104" t="s">
        <v>140</v>
      </c>
      <c r="E104" t="s">
        <v>321</v>
      </c>
      <c r="F104" t="s">
        <v>141</v>
      </c>
      <c r="G104" t="s">
        <v>136</v>
      </c>
      <c r="H104" t="s">
        <v>142</v>
      </c>
      <c r="I104" t="s">
        <v>156</v>
      </c>
      <c r="J104" t="s">
        <v>26</v>
      </c>
      <c r="K104" t="s">
        <v>157</v>
      </c>
      <c r="L104" t="s">
        <v>150</v>
      </c>
      <c r="M104" t="s">
        <v>144</v>
      </c>
      <c r="N104" t="s">
        <v>324</v>
      </c>
      <c r="O104">
        <v>1</v>
      </c>
      <c r="P104" t="s">
        <v>160</v>
      </c>
      <c r="R104">
        <v>761</v>
      </c>
      <c r="S104">
        <v>756.5</v>
      </c>
      <c r="T104" t="s">
        <v>172</v>
      </c>
      <c r="U104" t="s">
        <v>191</v>
      </c>
      <c r="V104" t="s">
        <v>67</v>
      </c>
      <c r="W104" t="s">
        <v>66</v>
      </c>
      <c r="X104" t="s">
        <v>67</v>
      </c>
      <c r="Y104" t="s">
        <v>138</v>
      </c>
      <c r="AA104" t="s">
        <v>494</v>
      </c>
      <c r="AC104" t="s">
        <v>139</v>
      </c>
      <c r="AD104" t="s">
        <v>689</v>
      </c>
      <c r="AG104" t="s">
        <v>156</v>
      </c>
      <c r="AH104" t="s">
        <v>68</v>
      </c>
      <c r="AI104" t="s">
        <v>493</v>
      </c>
      <c r="AK104" t="s">
        <v>690</v>
      </c>
    </row>
    <row r="105" spans="1:37" customFormat="1">
      <c r="A105" t="s">
        <v>23</v>
      </c>
      <c r="B105" t="s">
        <v>24</v>
      </c>
      <c r="C105" t="s">
        <v>320</v>
      </c>
      <c r="D105" t="s">
        <v>140</v>
      </c>
      <c r="E105" t="s">
        <v>321</v>
      </c>
      <c r="F105" t="s">
        <v>141</v>
      </c>
      <c r="G105" t="s">
        <v>136</v>
      </c>
      <c r="H105" t="s">
        <v>142</v>
      </c>
      <c r="I105" t="s">
        <v>156</v>
      </c>
      <c r="J105" t="s">
        <v>26</v>
      </c>
      <c r="K105" t="s">
        <v>157</v>
      </c>
      <c r="L105" t="s">
        <v>150</v>
      </c>
      <c r="M105" t="s">
        <v>144</v>
      </c>
      <c r="N105" t="s">
        <v>330</v>
      </c>
      <c r="O105">
        <v>1</v>
      </c>
      <c r="P105" t="s">
        <v>160</v>
      </c>
      <c r="R105">
        <v>763.5</v>
      </c>
      <c r="S105">
        <v>756.5</v>
      </c>
      <c r="T105" t="s">
        <v>172</v>
      </c>
      <c r="U105" t="s">
        <v>191</v>
      </c>
      <c r="V105" t="s">
        <v>67</v>
      </c>
      <c r="W105" t="s">
        <v>66</v>
      </c>
      <c r="X105" t="s">
        <v>67</v>
      </c>
      <c r="Y105" t="s">
        <v>138</v>
      </c>
      <c r="AA105" t="s">
        <v>494</v>
      </c>
      <c r="AC105" t="s">
        <v>139</v>
      </c>
      <c r="AD105" t="s">
        <v>691</v>
      </c>
      <c r="AG105" t="s">
        <v>156</v>
      </c>
      <c r="AH105" t="s">
        <v>68</v>
      </c>
      <c r="AI105" t="s">
        <v>493</v>
      </c>
      <c r="AK105" t="s">
        <v>692</v>
      </c>
    </row>
    <row r="106" spans="1:37" customFormat="1">
      <c r="A106" t="s">
        <v>23</v>
      </c>
      <c r="B106" t="s">
        <v>24</v>
      </c>
      <c r="C106" t="s">
        <v>320</v>
      </c>
      <c r="D106" t="s">
        <v>140</v>
      </c>
      <c r="E106" t="s">
        <v>321</v>
      </c>
      <c r="F106" t="s">
        <v>141</v>
      </c>
      <c r="G106" t="s">
        <v>136</v>
      </c>
      <c r="H106" t="s">
        <v>142</v>
      </c>
      <c r="I106" t="s">
        <v>156</v>
      </c>
      <c r="J106" t="s">
        <v>26</v>
      </c>
      <c r="K106" t="s">
        <v>157</v>
      </c>
      <c r="L106" t="s">
        <v>150</v>
      </c>
      <c r="M106" t="s">
        <v>144</v>
      </c>
      <c r="N106" t="s">
        <v>331</v>
      </c>
      <c r="O106">
        <v>1</v>
      </c>
      <c r="P106" t="s">
        <v>160</v>
      </c>
      <c r="R106">
        <v>764</v>
      </c>
      <c r="S106">
        <v>756.5</v>
      </c>
      <c r="T106" t="s">
        <v>172</v>
      </c>
      <c r="U106" t="s">
        <v>191</v>
      </c>
      <c r="V106" t="s">
        <v>67</v>
      </c>
      <c r="W106" t="s">
        <v>66</v>
      </c>
      <c r="X106" t="s">
        <v>67</v>
      </c>
      <c r="Y106" t="s">
        <v>138</v>
      </c>
      <c r="AA106" t="s">
        <v>494</v>
      </c>
      <c r="AC106" t="s">
        <v>139</v>
      </c>
      <c r="AD106" t="s">
        <v>693</v>
      </c>
      <c r="AG106" t="s">
        <v>156</v>
      </c>
      <c r="AH106" t="s">
        <v>68</v>
      </c>
      <c r="AI106" t="s">
        <v>493</v>
      </c>
      <c r="AK106" t="s">
        <v>694</v>
      </c>
    </row>
    <row r="107" spans="1:37" customFormat="1">
      <c r="A107" t="s">
        <v>23</v>
      </c>
      <c r="B107" t="s">
        <v>24</v>
      </c>
      <c r="C107" t="s">
        <v>320</v>
      </c>
      <c r="D107" t="s">
        <v>140</v>
      </c>
      <c r="E107" t="s">
        <v>321</v>
      </c>
      <c r="F107" t="s">
        <v>141</v>
      </c>
      <c r="G107" t="s">
        <v>136</v>
      </c>
      <c r="H107" t="s">
        <v>142</v>
      </c>
      <c r="I107" t="s">
        <v>156</v>
      </c>
      <c r="J107" t="s">
        <v>26</v>
      </c>
      <c r="K107" t="s">
        <v>157</v>
      </c>
      <c r="L107" t="s">
        <v>150</v>
      </c>
      <c r="M107" t="s">
        <v>144</v>
      </c>
      <c r="N107" t="s">
        <v>332</v>
      </c>
      <c r="O107">
        <v>1</v>
      </c>
      <c r="P107" t="s">
        <v>160</v>
      </c>
      <c r="R107">
        <v>757</v>
      </c>
      <c r="S107">
        <v>756.5</v>
      </c>
      <c r="T107" t="s">
        <v>172</v>
      </c>
      <c r="U107" t="s">
        <v>191</v>
      </c>
      <c r="V107" t="s">
        <v>67</v>
      </c>
      <c r="W107" t="s">
        <v>66</v>
      </c>
      <c r="X107" t="s">
        <v>67</v>
      </c>
      <c r="Y107" t="s">
        <v>138</v>
      </c>
      <c r="AA107" t="s">
        <v>494</v>
      </c>
      <c r="AC107" t="s">
        <v>139</v>
      </c>
      <c r="AD107" t="s">
        <v>695</v>
      </c>
      <c r="AG107" t="s">
        <v>156</v>
      </c>
      <c r="AH107" t="s">
        <v>68</v>
      </c>
      <c r="AI107" t="s">
        <v>493</v>
      </c>
      <c r="AK107" t="s">
        <v>696</v>
      </c>
    </row>
    <row r="108" spans="1:37" customFormat="1">
      <c r="A108" t="s">
        <v>23</v>
      </c>
      <c r="B108" t="s">
        <v>24</v>
      </c>
      <c r="C108" t="s">
        <v>320</v>
      </c>
      <c r="D108" t="s">
        <v>140</v>
      </c>
      <c r="E108" t="s">
        <v>321</v>
      </c>
      <c r="F108" t="s">
        <v>141</v>
      </c>
      <c r="G108" t="s">
        <v>136</v>
      </c>
      <c r="H108" t="s">
        <v>142</v>
      </c>
      <c r="I108" t="s">
        <v>156</v>
      </c>
      <c r="J108" t="s">
        <v>26</v>
      </c>
      <c r="K108" t="s">
        <v>157</v>
      </c>
      <c r="L108" t="s">
        <v>150</v>
      </c>
      <c r="M108" t="s">
        <v>144</v>
      </c>
      <c r="N108" t="s">
        <v>333</v>
      </c>
      <c r="O108">
        <v>1</v>
      </c>
      <c r="P108" t="s">
        <v>160</v>
      </c>
      <c r="R108">
        <v>764</v>
      </c>
      <c r="S108">
        <v>756.5</v>
      </c>
      <c r="T108" t="s">
        <v>172</v>
      </c>
      <c r="U108" t="s">
        <v>191</v>
      </c>
      <c r="V108" t="s">
        <v>67</v>
      </c>
      <c r="W108" t="s">
        <v>66</v>
      </c>
      <c r="X108" t="s">
        <v>67</v>
      </c>
      <c r="Y108" t="s">
        <v>138</v>
      </c>
      <c r="AA108" t="s">
        <v>494</v>
      </c>
      <c r="AC108" t="s">
        <v>139</v>
      </c>
      <c r="AD108" t="s">
        <v>697</v>
      </c>
      <c r="AG108" t="s">
        <v>156</v>
      </c>
      <c r="AH108" t="s">
        <v>68</v>
      </c>
      <c r="AI108" t="s">
        <v>493</v>
      </c>
      <c r="AK108" t="s">
        <v>698</v>
      </c>
    </row>
    <row r="109" spans="1:37" customFormat="1">
      <c r="A109" t="s">
        <v>23</v>
      </c>
      <c r="B109" t="s">
        <v>24</v>
      </c>
      <c r="C109" t="s">
        <v>320</v>
      </c>
      <c r="D109" t="s">
        <v>140</v>
      </c>
      <c r="E109" t="s">
        <v>321</v>
      </c>
      <c r="F109" t="s">
        <v>141</v>
      </c>
      <c r="G109" t="s">
        <v>136</v>
      </c>
      <c r="H109" t="s">
        <v>142</v>
      </c>
      <c r="I109" t="s">
        <v>156</v>
      </c>
      <c r="J109" t="s">
        <v>26</v>
      </c>
      <c r="K109" t="s">
        <v>157</v>
      </c>
      <c r="L109" t="s">
        <v>150</v>
      </c>
      <c r="M109" t="s">
        <v>144</v>
      </c>
      <c r="N109" t="s">
        <v>334</v>
      </c>
      <c r="O109">
        <v>1</v>
      </c>
      <c r="P109" t="s">
        <v>160</v>
      </c>
      <c r="R109">
        <v>764</v>
      </c>
      <c r="S109">
        <v>756.5</v>
      </c>
      <c r="T109" t="s">
        <v>172</v>
      </c>
      <c r="U109" t="s">
        <v>191</v>
      </c>
      <c r="V109" t="s">
        <v>27</v>
      </c>
      <c r="W109" t="s">
        <v>66</v>
      </c>
      <c r="X109" t="s">
        <v>67</v>
      </c>
      <c r="Y109" t="s">
        <v>138</v>
      </c>
      <c r="AA109" t="s">
        <v>494</v>
      </c>
      <c r="AC109" t="s">
        <v>139</v>
      </c>
      <c r="AD109" t="s">
        <v>699</v>
      </c>
      <c r="AG109" t="s">
        <v>156</v>
      </c>
      <c r="AH109" t="s">
        <v>68</v>
      </c>
      <c r="AI109" t="s">
        <v>493</v>
      </c>
      <c r="AK109" t="s">
        <v>700</v>
      </c>
    </row>
    <row r="110" spans="1:37" customFormat="1">
      <c r="A110" t="s">
        <v>23</v>
      </c>
      <c r="B110" t="s">
        <v>24</v>
      </c>
      <c r="C110" t="s">
        <v>320</v>
      </c>
      <c r="D110" t="s">
        <v>140</v>
      </c>
      <c r="E110" t="s">
        <v>321</v>
      </c>
      <c r="F110" t="s">
        <v>141</v>
      </c>
      <c r="G110" t="s">
        <v>136</v>
      </c>
      <c r="H110" t="s">
        <v>142</v>
      </c>
      <c r="I110" t="s">
        <v>156</v>
      </c>
      <c r="J110" t="s">
        <v>26</v>
      </c>
      <c r="K110" t="s">
        <v>157</v>
      </c>
      <c r="L110" t="s">
        <v>150</v>
      </c>
      <c r="M110" t="s">
        <v>144</v>
      </c>
      <c r="N110" t="s">
        <v>335</v>
      </c>
      <c r="O110">
        <v>1</v>
      </c>
      <c r="P110" t="s">
        <v>160</v>
      </c>
      <c r="R110">
        <v>764</v>
      </c>
      <c r="S110">
        <v>756.5</v>
      </c>
      <c r="T110" t="s">
        <v>172</v>
      </c>
      <c r="U110" t="s">
        <v>191</v>
      </c>
      <c r="V110" t="s">
        <v>27</v>
      </c>
      <c r="W110" t="s">
        <v>66</v>
      </c>
      <c r="X110" t="s">
        <v>67</v>
      </c>
      <c r="Y110" t="s">
        <v>138</v>
      </c>
      <c r="AA110" t="s">
        <v>494</v>
      </c>
      <c r="AC110" t="s">
        <v>139</v>
      </c>
      <c r="AD110" t="s">
        <v>701</v>
      </c>
      <c r="AG110" t="s">
        <v>156</v>
      </c>
      <c r="AH110" t="s">
        <v>68</v>
      </c>
      <c r="AI110" t="s">
        <v>493</v>
      </c>
      <c r="AK110" t="s">
        <v>702</v>
      </c>
    </row>
    <row r="111" spans="1:37" customFormat="1">
      <c r="A111" t="s">
        <v>23</v>
      </c>
      <c r="B111" t="s">
        <v>24</v>
      </c>
      <c r="C111" t="s">
        <v>320</v>
      </c>
      <c r="D111" t="s">
        <v>140</v>
      </c>
      <c r="E111" t="s">
        <v>321</v>
      </c>
      <c r="F111" t="s">
        <v>141</v>
      </c>
      <c r="G111" t="s">
        <v>136</v>
      </c>
      <c r="H111" t="s">
        <v>142</v>
      </c>
      <c r="I111" t="s">
        <v>156</v>
      </c>
      <c r="J111" t="s">
        <v>26</v>
      </c>
      <c r="K111" t="s">
        <v>157</v>
      </c>
      <c r="L111" t="s">
        <v>150</v>
      </c>
      <c r="M111" t="s">
        <v>144</v>
      </c>
      <c r="N111" t="s">
        <v>336</v>
      </c>
      <c r="O111">
        <v>1</v>
      </c>
      <c r="P111" t="s">
        <v>160</v>
      </c>
      <c r="R111">
        <v>757</v>
      </c>
      <c r="S111">
        <v>756.5</v>
      </c>
      <c r="T111" t="s">
        <v>172</v>
      </c>
      <c r="U111" t="s">
        <v>191</v>
      </c>
      <c r="V111" t="s">
        <v>27</v>
      </c>
      <c r="W111" t="s">
        <v>66</v>
      </c>
      <c r="X111" t="s">
        <v>67</v>
      </c>
      <c r="Y111" t="s">
        <v>138</v>
      </c>
      <c r="AA111" t="s">
        <v>494</v>
      </c>
      <c r="AC111" t="s">
        <v>139</v>
      </c>
      <c r="AD111" t="s">
        <v>703</v>
      </c>
      <c r="AG111" t="s">
        <v>156</v>
      </c>
      <c r="AH111" t="s">
        <v>68</v>
      </c>
      <c r="AI111" t="s">
        <v>493</v>
      </c>
      <c r="AK111" t="s">
        <v>704</v>
      </c>
    </row>
    <row r="112" spans="1:37" customFormat="1">
      <c r="A112" t="s">
        <v>23</v>
      </c>
      <c r="B112" t="s">
        <v>24</v>
      </c>
      <c r="C112" t="s">
        <v>320</v>
      </c>
      <c r="D112" t="s">
        <v>140</v>
      </c>
      <c r="E112" t="s">
        <v>321</v>
      </c>
      <c r="F112" t="s">
        <v>141</v>
      </c>
      <c r="G112" t="s">
        <v>136</v>
      </c>
      <c r="H112" t="s">
        <v>142</v>
      </c>
      <c r="I112" t="s">
        <v>156</v>
      </c>
      <c r="J112" t="s">
        <v>26</v>
      </c>
      <c r="K112" t="s">
        <v>157</v>
      </c>
      <c r="L112" t="s">
        <v>150</v>
      </c>
      <c r="M112" t="s">
        <v>144</v>
      </c>
      <c r="N112" t="s">
        <v>337</v>
      </c>
      <c r="O112">
        <v>1</v>
      </c>
      <c r="P112" t="s">
        <v>160</v>
      </c>
      <c r="R112">
        <v>758</v>
      </c>
      <c r="S112">
        <v>756.5</v>
      </c>
      <c r="T112" t="s">
        <v>172</v>
      </c>
      <c r="U112" t="s">
        <v>191</v>
      </c>
      <c r="V112" t="s">
        <v>27</v>
      </c>
      <c r="W112" t="s">
        <v>66</v>
      </c>
      <c r="X112" t="s">
        <v>67</v>
      </c>
      <c r="Y112" t="s">
        <v>138</v>
      </c>
      <c r="AA112" t="s">
        <v>494</v>
      </c>
      <c r="AC112" t="s">
        <v>139</v>
      </c>
      <c r="AD112" t="s">
        <v>705</v>
      </c>
      <c r="AG112" t="s">
        <v>156</v>
      </c>
      <c r="AH112" t="s">
        <v>68</v>
      </c>
      <c r="AI112" t="s">
        <v>493</v>
      </c>
      <c r="AK112" t="s">
        <v>706</v>
      </c>
    </row>
    <row r="113" spans="1:37" customFormat="1">
      <c r="A113" t="s">
        <v>23</v>
      </c>
      <c r="B113" t="s">
        <v>24</v>
      </c>
      <c r="C113" t="s">
        <v>338</v>
      </c>
      <c r="D113" t="s">
        <v>140</v>
      </c>
      <c r="E113" t="s">
        <v>327</v>
      </c>
      <c r="F113" t="s">
        <v>141</v>
      </c>
      <c r="G113" t="s">
        <v>136</v>
      </c>
      <c r="H113" t="s">
        <v>142</v>
      </c>
      <c r="I113" t="s">
        <v>156</v>
      </c>
      <c r="J113" t="s">
        <v>25</v>
      </c>
      <c r="K113" t="s">
        <v>157</v>
      </c>
      <c r="L113" t="s">
        <v>150</v>
      </c>
      <c r="M113" t="s">
        <v>144</v>
      </c>
      <c r="N113" t="s">
        <v>339</v>
      </c>
      <c r="O113">
        <v>18</v>
      </c>
      <c r="P113" t="s">
        <v>159</v>
      </c>
      <c r="R113">
        <v>305</v>
      </c>
      <c r="S113">
        <v>272.33999999999997</v>
      </c>
      <c r="T113" t="s">
        <v>172</v>
      </c>
      <c r="U113" t="s">
        <v>216</v>
      </c>
      <c r="V113" t="s">
        <v>27</v>
      </c>
      <c r="W113" t="s">
        <v>66</v>
      </c>
      <c r="X113" t="s">
        <v>67</v>
      </c>
      <c r="Y113" t="s">
        <v>138</v>
      </c>
      <c r="AA113" t="s">
        <v>494</v>
      </c>
      <c r="AC113" t="s">
        <v>139</v>
      </c>
      <c r="AD113" t="s">
        <v>707</v>
      </c>
      <c r="AG113" t="s">
        <v>156</v>
      </c>
      <c r="AH113" t="s">
        <v>68</v>
      </c>
      <c r="AI113" t="s">
        <v>493</v>
      </c>
    </row>
    <row r="114" spans="1:37" customFormat="1">
      <c r="A114" t="s">
        <v>23</v>
      </c>
      <c r="B114" t="s">
        <v>24</v>
      </c>
      <c r="C114" t="s">
        <v>320</v>
      </c>
      <c r="D114" t="s">
        <v>140</v>
      </c>
      <c r="E114" t="s">
        <v>325</v>
      </c>
      <c r="F114" t="s">
        <v>141</v>
      </c>
      <c r="G114" t="s">
        <v>136</v>
      </c>
      <c r="H114" t="s">
        <v>142</v>
      </c>
      <c r="I114" t="s">
        <v>156</v>
      </c>
      <c r="J114" t="s">
        <v>26</v>
      </c>
      <c r="K114" t="s">
        <v>157</v>
      </c>
      <c r="L114" t="s">
        <v>150</v>
      </c>
      <c r="M114" t="s">
        <v>144</v>
      </c>
      <c r="N114" t="s">
        <v>340</v>
      </c>
      <c r="O114">
        <v>1</v>
      </c>
      <c r="P114" t="s">
        <v>160</v>
      </c>
      <c r="R114">
        <v>751.5</v>
      </c>
      <c r="S114">
        <v>748.5</v>
      </c>
      <c r="T114" t="s">
        <v>172</v>
      </c>
      <c r="U114" t="s">
        <v>191</v>
      </c>
      <c r="V114" t="s">
        <v>27</v>
      </c>
      <c r="W114" t="s">
        <v>66</v>
      </c>
      <c r="X114" t="s">
        <v>67</v>
      </c>
      <c r="Y114" t="s">
        <v>138</v>
      </c>
      <c r="AA114" t="s">
        <v>494</v>
      </c>
      <c r="AC114" t="s">
        <v>139</v>
      </c>
      <c r="AD114" t="s">
        <v>708</v>
      </c>
      <c r="AG114" t="s">
        <v>156</v>
      </c>
      <c r="AH114" t="s">
        <v>68</v>
      </c>
      <c r="AI114" t="s">
        <v>493</v>
      </c>
      <c r="AK114" t="s">
        <v>709</v>
      </c>
    </row>
    <row r="115" spans="1:37" customFormat="1">
      <c r="A115" t="s">
        <v>23</v>
      </c>
      <c r="B115" t="s">
        <v>24</v>
      </c>
      <c r="C115" t="s">
        <v>320</v>
      </c>
      <c r="D115" t="s">
        <v>140</v>
      </c>
      <c r="E115" t="s">
        <v>325</v>
      </c>
      <c r="F115" t="s">
        <v>141</v>
      </c>
      <c r="G115" t="s">
        <v>136</v>
      </c>
      <c r="H115" t="s">
        <v>142</v>
      </c>
      <c r="I115" t="s">
        <v>156</v>
      </c>
      <c r="J115" t="s">
        <v>26</v>
      </c>
      <c r="K115" t="s">
        <v>157</v>
      </c>
      <c r="L115" t="s">
        <v>150</v>
      </c>
      <c r="M115" t="s">
        <v>144</v>
      </c>
      <c r="N115" t="s">
        <v>341</v>
      </c>
      <c r="O115">
        <v>1</v>
      </c>
      <c r="P115" t="s">
        <v>160</v>
      </c>
      <c r="R115">
        <v>749</v>
      </c>
      <c r="S115">
        <v>748.5</v>
      </c>
      <c r="T115" t="s">
        <v>172</v>
      </c>
      <c r="U115" t="s">
        <v>191</v>
      </c>
      <c r="V115" t="s">
        <v>27</v>
      </c>
      <c r="W115" t="s">
        <v>66</v>
      </c>
      <c r="X115" t="s">
        <v>67</v>
      </c>
      <c r="Y115" t="s">
        <v>138</v>
      </c>
      <c r="AA115" t="s">
        <v>494</v>
      </c>
      <c r="AC115" t="s">
        <v>139</v>
      </c>
      <c r="AD115" t="s">
        <v>710</v>
      </c>
      <c r="AG115" t="s">
        <v>156</v>
      </c>
      <c r="AH115" t="s">
        <v>68</v>
      </c>
      <c r="AI115" t="s">
        <v>493</v>
      </c>
      <c r="AK115" t="s">
        <v>711</v>
      </c>
    </row>
    <row r="116" spans="1:37" customFormat="1">
      <c r="A116" t="s">
        <v>23</v>
      </c>
      <c r="B116" t="s">
        <v>24</v>
      </c>
      <c r="C116" t="s">
        <v>320</v>
      </c>
      <c r="D116" t="s">
        <v>140</v>
      </c>
      <c r="E116" t="s">
        <v>325</v>
      </c>
      <c r="F116" t="s">
        <v>141</v>
      </c>
      <c r="G116" t="s">
        <v>136</v>
      </c>
      <c r="H116" t="s">
        <v>142</v>
      </c>
      <c r="I116" t="s">
        <v>156</v>
      </c>
      <c r="J116" t="s">
        <v>26</v>
      </c>
      <c r="K116" t="s">
        <v>157</v>
      </c>
      <c r="L116" t="s">
        <v>150</v>
      </c>
      <c r="M116" t="s">
        <v>144</v>
      </c>
      <c r="N116" t="s">
        <v>342</v>
      </c>
      <c r="O116">
        <v>1</v>
      </c>
      <c r="P116" t="s">
        <v>160</v>
      </c>
      <c r="R116">
        <v>754</v>
      </c>
      <c r="S116">
        <v>748.5</v>
      </c>
      <c r="T116" t="s">
        <v>172</v>
      </c>
      <c r="U116" t="s">
        <v>191</v>
      </c>
      <c r="V116" t="s">
        <v>27</v>
      </c>
      <c r="W116" t="s">
        <v>66</v>
      </c>
      <c r="X116" t="s">
        <v>67</v>
      </c>
      <c r="Y116" t="s">
        <v>138</v>
      </c>
      <c r="AA116" t="s">
        <v>494</v>
      </c>
      <c r="AC116" t="s">
        <v>139</v>
      </c>
      <c r="AD116" t="s">
        <v>712</v>
      </c>
      <c r="AG116" t="s">
        <v>156</v>
      </c>
      <c r="AH116" t="s">
        <v>68</v>
      </c>
      <c r="AI116" t="s">
        <v>493</v>
      </c>
      <c r="AK116" t="s">
        <v>713</v>
      </c>
    </row>
    <row r="117" spans="1:37" customFormat="1">
      <c r="A117" t="s">
        <v>23</v>
      </c>
      <c r="B117" t="s">
        <v>24</v>
      </c>
      <c r="C117" t="s">
        <v>320</v>
      </c>
      <c r="D117" t="s">
        <v>140</v>
      </c>
      <c r="E117" t="s">
        <v>325</v>
      </c>
      <c r="F117" t="s">
        <v>141</v>
      </c>
      <c r="G117" t="s">
        <v>136</v>
      </c>
      <c r="H117" t="s">
        <v>142</v>
      </c>
      <c r="I117" t="s">
        <v>156</v>
      </c>
      <c r="J117" t="s">
        <v>26</v>
      </c>
      <c r="K117" t="s">
        <v>157</v>
      </c>
      <c r="L117" t="s">
        <v>150</v>
      </c>
      <c r="M117" t="s">
        <v>144</v>
      </c>
      <c r="N117" t="s">
        <v>343</v>
      </c>
      <c r="O117">
        <v>1</v>
      </c>
      <c r="P117" t="s">
        <v>160</v>
      </c>
      <c r="R117">
        <v>751.5</v>
      </c>
      <c r="S117">
        <v>748.5</v>
      </c>
      <c r="T117" t="s">
        <v>172</v>
      </c>
      <c r="U117" t="s">
        <v>191</v>
      </c>
      <c r="V117" t="s">
        <v>27</v>
      </c>
      <c r="W117" t="s">
        <v>66</v>
      </c>
      <c r="X117" t="s">
        <v>67</v>
      </c>
      <c r="Y117" t="s">
        <v>138</v>
      </c>
      <c r="AA117" t="s">
        <v>494</v>
      </c>
      <c r="AC117" t="s">
        <v>139</v>
      </c>
      <c r="AD117" t="s">
        <v>714</v>
      </c>
      <c r="AG117" t="s">
        <v>156</v>
      </c>
      <c r="AH117" t="s">
        <v>68</v>
      </c>
      <c r="AI117" t="s">
        <v>493</v>
      </c>
      <c r="AK117" t="s">
        <v>715</v>
      </c>
    </row>
    <row r="118" spans="1:37" customFormat="1">
      <c r="A118" t="s">
        <v>23</v>
      </c>
      <c r="B118" t="s">
        <v>24</v>
      </c>
      <c r="C118" t="s">
        <v>320</v>
      </c>
      <c r="D118" t="s">
        <v>140</v>
      </c>
      <c r="E118" t="s">
        <v>325</v>
      </c>
      <c r="F118" t="s">
        <v>141</v>
      </c>
      <c r="G118" t="s">
        <v>136</v>
      </c>
      <c r="H118" t="s">
        <v>142</v>
      </c>
      <c r="I118" t="s">
        <v>156</v>
      </c>
      <c r="J118" t="s">
        <v>26</v>
      </c>
      <c r="K118" t="s">
        <v>157</v>
      </c>
      <c r="L118" t="s">
        <v>150</v>
      </c>
      <c r="M118" t="s">
        <v>144</v>
      </c>
      <c r="N118" t="s">
        <v>344</v>
      </c>
      <c r="O118">
        <v>1</v>
      </c>
      <c r="P118" t="s">
        <v>160</v>
      </c>
      <c r="R118">
        <v>754.5</v>
      </c>
      <c r="S118">
        <v>748.5</v>
      </c>
      <c r="T118" t="s">
        <v>172</v>
      </c>
      <c r="U118" t="s">
        <v>191</v>
      </c>
      <c r="V118" t="s">
        <v>27</v>
      </c>
      <c r="W118" t="s">
        <v>66</v>
      </c>
      <c r="X118" t="s">
        <v>67</v>
      </c>
      <c r="Y118" t="s">
        <v>138</v>
      </c>
      <c r="AA118" t="s">
        <v>494</v>
      </c>
      <c r="AC118" t="s">
        <v>139</v>
      </c>
      <c r="AD118" t="s">
        <v>716</v>
      </c>
      <c r="AG118" t="s">
        <v>156</v>
      </c>
      <c r="AH118" t="s">
        <v>68</v>
      </c>
      <c r="AI118" t="s">
        <v>493</v>
      </c>
      <c r="AK118" t="s">
        <v>717</v>
      </c>
    </row>
    <row r="119" spans="1:37" customFormat="1">
      <c r="A119" t="s">
        <v>23</v>
      </c>
      <c r="B119" t="s">
        <v>24</v>
      </c>
      <c r="C119" t="s">
        <v>320</v>
      </c>
      <c r="D119" t="s">
        <v>140</v>
      </c>
      <c r="E119" t="s">
        <v>325</v>
      </c>
      <c r="F119" t="s">
        <v>141</v>
      </c>
      <c r="G119" t="s">
        <v>136</v>
      </c>
      <c r="H119" t="s">
        <v>142</v>
      </c>
      <c r="I119" t="s">
        <v>156</v>
      </c>
      <c r="J119" t="s">
        <v>26</v>
      </c>
      <c r="K119" t="s">
        <v>157</v>
      </c>
      <c r="L119" t="s">
        <v>150</v>
      </c>
      <c r="M119" t="s">
        <v>144</v>
      </c>
      <c r="N119" t="s">
        <v>345</v>
      </c>
      <c r="O119">
        <v>1</v>
      </c>
      <c r="P119" t="s">
        <v>160</v>
      </c>
      <c r="R119">
        <v>751</v>
      </c>
      <c r="S119">
        <v>748.5</v>
      </c>
      <c r="T119" t="s">
        <v>172</v>
      </c>
      <c r="U119" t="s">
        <v>191</v>
      </c>
      <c r="V119" t="s">
        <v>27</v>
      </c>
      <c r="W119" t="s">
        <v>66</v>
      </c>
      <c r="X119" t="s">
        <v>67</v>
      </c>
      <c r="Y119" t="s">
        <v>138</v>
      </c>
      <c r="AA119" t="s">
        <v>494</v>
      </c>
      <c r="AC119" t="s">
        <v>139</v>
      </c>
      <c r="AD119" t="s">
        <v>718</v>
      </c>
      <c r="AG119" t="s">
        <v>156</v>
      </c>
      <c r="AH119" t="s">
        <v>68</v>
      </c>
      <c r="AI119" t="s">
        <v>493</v>
      </c>
      <c r="AK119" t="s">
        <v>719</v>
      </c>
    </row>
    <row r="120" spans="1:37" customFormat="1">
      <c r="A120" t="s">
        <v>23</v>
      </c>
      <c r="B120" t="s">
        <v>24</v>
      </c>
      <c r="C120" t="s">
        <v>320</v>
      </c>
      <c r="D120" t="s">
        <v>140</v>
      </c>
      <c r="E120" t="s">
        <v>325</v>
      </c>
      <c r="F120" t="s">
        <v>141</v>
      </c>
      <c r="G120" t="s">
        <v>136</v>
      </c>
      <c r="H120" t="s">
        <v>142</v>
      </c>
      <c r="I120" t="s">
        <v>156</v>
      </c>
      <c r="J120" t="s">
        <v>26</v>
      </c>
      <c r="K120" t="s">
        <v>157</v>
      </c>
      <c r="L120" t="s">
        <v>150</v>
      </c>
      <c r="M120" t="s">
        <v>144</v>
      </c>
      <c r="N120" t="s">
        <v>346</v>
      </c>
      <c r="O120">
        <v>1</v>
      </c>
      <c r="P120" t="s">
        <v>160</v>
      </c>
      <c r="R120">
        <v>753.5</v>
      </c>
      <c r="S120">
        <v>748.5</v>
      </c>
      <c r="T120" t="s">
        <v>172</v>
      </c>
      <c r="U120" t="s">
        <v>191</v>
      </c>
      <c r="V120" t="s">
        <v>27</v>
      </c>
      <c r="W120" t="s">
        <v>66</v>
      </c>
      <c r="X120" t="s">
        <v>67</v>
      </c>
      <c r="Y120" t="s">
        <v>138</v>
      </c>
      <c r="AA120" t="s">
        <v>494</v>
      </c>
      <c r="AC120" t="s">
        <v>139</v>
      </c>
      <c r="AD120" t="s">
        <v>720</v>
      </c>
      <c r="AG120" t="s">
        <v>156</v>
      </c>
      <c r="AH120" t="s">
        <v>68</v>
      </c>
      <c r="AI120" t="s">
        <v>493</v>
      </c>
      <c r="AK120" t="s">
        <v>721</v>
      </c>
    </row>
    <row r="121" spans="1:37" customFormat="1">
      <c r="A121" t="s">
        <v>23</v>
      </c>
      <c r="B121" t="s">
        <v>24</v>
      </c>
      <c r="C121" t="s">
        <v>320</v>
      </c>
      <c r="D121" t="s">
        <v>140</v>
      </c>
      <c r="E121" t="s">
        <v>325</v>
      </c>
      <c r="F121" t="s">
        <v>141</v>
      </c>
      <c r="G121" t="s">
        <v>136</v>
      </c>
      <c r="H121" t="s">
        <v>142</v>
      </c>
      <c r="I121" t="s">
        <v>156</v>
      </c>
      <c r="J121" t="s">
        <v>26</v>
      </c>
      <c r="K121" t="s">
        <v>157</v>
      </c>
      <c r="L121" t="s">
        <v>150</v>
      </c>
      <c r="M121" t="s">
        <v>144</v>
      </c>
      <c r="N121" t="s">
        <v>347</v>
      </c>
      <c r="O121">
        <v>1</v>
      </c>
      <c r="P121" t="s">
        <v>160</v>
      </c>
      <c r="R121">
        <v>751</v>
      </c>
      <c r="S121">
        <v>748.5</v>
      </c>
      <c r="T121" t="s">
        <v>172</v>
      </c>
      <c r="U121" t="s">
        <v>191</v>
      </c>
      <c r="V121" t="s">
        <v>27</v>
      </c>
      <c r="W121" t="s">
        <v>66</v>
      </c>
      <c r="X121" t="s">
        <v>67</v>
      </c>
      <c r="Y121" t="s">
        <v>138</v>
      </c>
      <c r="AA121" t="s">
        <v>494</v>
      </c>
      <c r="AC121" t="s">
        <v>139</v>
      </c>
      <c r="AD121" t="s">
        <v>722</v>
      </c>
      <c r="AG121" t="s">
        <v>156</v>
      </c>
      <c r="AH121" t="s">
        <v>68</v>
      </c>
      <c r="AI121" t="s">
        <v>493</v>
      </c>
      <c r="AK121" t="s">
        <v>723</v>
      </c>
    </row>
    <row r="122" spans="1:37" customFormat="1">
      <c r="A122" t="s">
        <v>23</v>
      </c>
      <c r="B122" t="s">
        <v>24</v>
      </c>
      <c r="C122" t="s">
        <v>320</v>
      </c>
      <c r="D122" t="s">
        <v>140</v>
      </c>
      <c r="E122" t="s">
        <v>325</v>
      </c>
      <c r="F122" t="s">
        <v>141</v>
      </c>
      <c r="G122" t="s">
        <v>136</v>
      </c>
      <c r="H122" t="s">
        <v>142</v>
      </c>
      <c r="I122" t="s">
        <v>156</v>
      </c>
      <c r="J122" t="s">
        <v>26</v>
      </c>
      <c r="K122" t="s">
        <v>157</v>
      </c>
      <c r="L122" t="s">
        <v>150</v>
      </c>
      <c r="M122" t="s">
        <v>144</v>
      </c>
      <c r="N122" t="s">
        <v>348</v>
      </c>
      <c r="O122">
        <v>1</v>
      </c>
      <c r="P122" t="s">
        <v>160</v>
      </c>
      <c r="R122">
        <v>749</v>
      </c>
      <c r="S122">
        <v>748.5</v>
      </c>
      <c r="T122" t="s">
        <v>172</v>
      </c>
      <c r="U122" t="s">
        <v>191</v>
      </c>
      <c r="V122" t="s">
        <v>27</v>
      </c>
      <c r="W122" t="s">
        <v>66</v>
      </c>
      <c r="X122" t="s">
        <v>67</v>
      </c>
      <c r="Y122" t="s">
        <v>138</v>
      </c>
      <c r="AA122" t="s">
        <v>494</v>
      </c>
      <c r="AC122" t="s">
        <v>139</v>
      </c>
      <c r="AD122" t="s">
        <v>724</v>
      </c>
      <c r="AG122" t="s">
        <v>156</v>
      </c>
      <c r="AH122" t="s">
        <v>68</v>
      </c>
      <c r="AI122" t="s">
        <v>493</v>
      </c>
      <c r="AK122" t="s">
        <v>725</v>
      </c>
    </row>
    <row r="123" spans="1:37" customFormat="1">
      <c r="A123" t="s">
        <v>23</v>
      </c>
      <c r="B123" t="s">
        <v>24</v>
      </c>
      <c r="C123" t="s">
        <v>320</v>
      </c>
      <c r="D123" t="s">
        <v>140</v>
      </c>
      <c r="E123" t="s">
        <v>325</v>
      </c>
      <c r="F123" t="s">
        <v>141</v>
      </c>
      <c r="G123" t="s">
        <v>136</v>
      </c>
      <c r="H123" t="s">
        <v>142</v>
      </c>
      <c r="I123" t="s">
        <v>156</v>
      </c>
      <c r="J123" t="s">
        <v>26</v>
      </c>
      <c r="K123" t="s">
        <v>157</v>
      </c>
      <c r="L123" t="s">
        <v>150</v>
      </c>
      <c r="M123" t="s">
        <v>144</v>
      </c>
      <c r="N123" t="s">
        <v>349</v>
      </c>
      <c r="O123">
        <v>1</v>
      </c>
      <c r="P123" t="s">
        <v>160</v>
      </c>
      <c r="R123">
        <v>750</v>
      </c>
      <c r="S123">
        <v>748.5</v>
      </c>
      <c r="T123" t="s">
        <v>172</v>
      </c>
      <c r="U123" t="s">
        <v>191</v>
      </c>
      <c r="V123" t="s">
        <v>27</v>
      </c>
      <c r="W123" t="s">
        <v>66</v>
      </c>
      <c r="X123" t="s">
        <v>67</v>
      </c>
      <c r="Y123" t="s">
        <v>138</v>
      </c>
      <c r="AA123" t="s">
        <v>494</v>
      </c>
      <c r="AC123" t="s">
        <v>139</v>
      </c>
      <c r="AD123" t="s">
        <v>726</v>
      </c>
      <c r="AG123" t="s">
        <v>156</v>
      </c>
      <c r="AH123" t="s">
        <v>68</v>
      </c>
      <c r="AI123" t="s">
        <v>493</v>
      </c>
      <c r="AK123" t="s">
        <v>727</v>
      </c>
    </row>
    <row r="124" spans="1:37" customFormat="1">
      <c r="A124" t="s">
        <v>23</v>
      </c>
      <c r="B124" t="s">
        <v>24</v>
      </c>
      <c r="C124" t="s">
        <v>320</v>
      </c>
      <c r="D124" t="s">
        <v>140</v>
      </c>
      <c r="E124" t="s">
        <v>325</v>
      </c>
      <c r="F124" t="s">
        <v>141</v>
      </c>
      <c r="G124" t="s">
        <v>136</v>
      </c>
      <c r="H124" t="s">
        <v>142</v>
      </c>
      <c r="I124" t="s">
        <v>156</v>
      </c>
      <c r="J124" t="s">
        <v>26</v>
      </c>
      <c r="K124" t="s">
        <v>157</v>
      </c>
      <c r="L124" t="s">
        <v>150</v>
      </c>
      <c r="M124" t="s">
        <v>144</v>
      </c>
      <c r="N124" t="s">
        <v>350</v>
      </c>
      <c r="O124">
        <v>1</v>
      </c>
      <c r="P124" t="s">
        <v>160</v>
      </c>
      <c r="R124">
        <v>752</v>
      </c>
      <c r="S124">
        <v>748.5</v>
      </c>
      <c r="T124" t="s">
        <v>172</v>
      </c>
      <c r="U124" t="s">
        <v>191</v>
      </c>
      <c r="V124" t="s">
        <v>27</v>
      </c>
      <c r="W124" t="s">
        <v>66</v>
      </c>
      <c r="X124" t="s">
        <v>67</v>
      </c>
      <c r="Y124" t="s">
        <v>138</v>
      </c>
      <c r="AA124" t="s">
        <v>494</v>
      </c>
      <c r="AC124" t="s">
        <v>139</v>
      </c>
      <c r="AD124" t="s">
        <v>728</v>
      </c>
      <c r="AG124" t="s">
        <v>156</v>
      </c>
      <c r="AH124" t="s">
        <v>68</v>
      </c>
      <c r="AI124" t="s">
        <v>493</v>
      </c>
      <c r="AK124" t="s">
        <v>729</v>
      </c>
    </row>
    <row r="125" spans="1:37" customFormat="1">
      <c r="A125" t="s">
        <v>23</v>
      </c>
      <c r="B125" t="s">
        <v>24</v>
      </c>
      <c r="C125" t="s">
        <v>320</v>
      </c>
      <c r="D125" t="s">
        <v>140</v>
      </c>
      <c r="E125" t="s">
        <v>325</v>
      </c>
      <c r="F125" t="s">
        <v>141</v>
      </c>
      <c r="G125" t="s">
        <v>136</v>
      </c>
      <c r="H125" t="s">
        <v>142</v>
      </c>
      <c r="I125" t="s">
        <v>156</v>
      </c>
      <c r="J125" t="s">
        <v>26</v>
      </c>
      <c r="K125" t="s">
        <v>157</v>
      </c>
      <c r="L125" t="s">
        <v>150</v>
      </c>
      <c r="M125" t="s">
        <v>144</v>
      </c>
      <c r="N125" t="s">
        <v>351</v>
      </c>
      <c r="O125">
        <v>1</v>
      </c>
      <c r="P125" t="s">
        <v>160</v>
      </c>
      <c r="R125">
        <v>754.5</v>
      </c>
      <c r="S125">
        <v>748.5</v>
      </c>
      <c r="T125" t="s">
        <v>172</v>
      </c>
      <c r="U125" t="s">
        <v>191</v>
      </c>
      <c r="V125" t="s">
        <v>27</v>
      </c>
      <c r="W125" t="s">
        <v>66</v>
      </c>
      <c r="X125" t="s">
        <v>67</v>
      </c>
      <c r="Y125" t="s">
        <v>138</v>
      </c>
      <c r="AA125" t="s">
        <v>494</v>
      </c>
      <c r="AC125" t="s">
        <v>139</v>
      </c>
      <c r="AD125" t="s">
        <v>730</v>
      </c>
      <c r="AG125" t="s">
        <v>156</v>
      </c>
      <c r="AH125" t="s">
        <v>68</v>
      </c>
      <c r="AI125" t="s">
        <v>493</v>
      </c>
      <c r="AK125" t="s">
        <v>731</v>
      </c>
    </row>
    <row r="126" spans="1:37" customFormat="1">
      <c r="A126" t="s">
        <v>23</v>
      </c>
      <c r="B126" t="s">
        <v>24</v>
      </c>
      <c r="C126" t="s">
        <v>320</v>
      </c>
      <c r="D126" t="s">
        <v>140</v>
      </c>
      <c r="E126" t="s">
        <v>325</v>
      </c>
      <c r="F126" t="s">
        <v>141</v>
      </c>
      <c r="G126" t="s">
        <v>136</v>
      </c>
      <c r="H126" t="s">
        <v>142</v>
      </c>
      <c r="I126" t="s">
        <v>156</v>
      </c>
      <c r="J126" t="s">
        <v>26</v>
      </c>
      <c r="K126" t="s">
        <v>157</v>
      </c>
      <c r="L126" t="s">
        <v>150</v>
      </c>
      <c r="M126" t="s">
        <v>144</v>
      </c>
      <c r="N126" t="s">
        <v>352</v>
      </c>
      <c r="O126">
        <v>1</v>
      </c>
      <c r="P126" t="s">
        <v>160</v>
      </c>
      <c r="R126">
        <v>752</v>
      </c>
      <c r="S126">
        <v>748.5</v>
      </c>
      <c r="T126" t="s">
        <v>172</v>
      </c>
      <c r="U126" t="s">
        <v>191</v>
      </c>
      <c r="V126" t="s">
        <v>27</v>
      </c>
      <c r="W126" t="s">
        <v>66</v>
      </c>
      <c r="X126" t="s">
        <v>67</v>
      </c>
      <c r="Y126" t="s">
        <v>138</v>
      </c>
      <c r="AA126" t="s">
        <v>494</v>
      </c>
      <c r="AC126" t="s">
        <v>139</v>
      </c>
      <c r="AD126" t="s">
        <v>732</v>
      </c>
      <c r="AG126" t="s">
        <v>156</v>
      </c>
      <c r="AH126" t="s">
        <v>68</v>
      </c>
      <c r="AI126" t="s">
        <v>493</v>
      </c>
      <c r="AK126" t="s">
        <v>733</v>
      </c>
    </row>
    <row r="127" spans="1:37" customFormat="1">
      <c r="A127" t="s">
        <v>23</v>
      </c>
      <c r="B127" t="s">
        <v>24</v>
      </c>
      <c r="C127" t="s">
        <v>320</v>
      </c>
      <c r="D127" t="s">
        <v>140</v>
      </c>
      <c r="E127" t="s">
        <v>325</v>
      </c>
      <c r="F127" t="s">
        <v>141</v>
      </c>
      <c r="G127" t="s">
        <v>136</v>
      </c>
      <c r="H127" t="s">
        <v>142</v>
      </c>
      <c r="I127" t="s">
        <v>156</v>
      </c>
      <c r="J127" t="s">
        <v>26</v>
      </c>
      <c r="K127" t="s">
        <v>157</v>
      </c>
      <c r="L127" t="s">
        <v>150</v>
      </c>
      <c r="M127" t="s">
        <v>144</v>
      </c>
      <c r="N127" t="s">
        <v>353</v>
      </c>
      <c r="O127">
        <v>1</v>
      </c>
      <c r="P127" t="s">
        <v>160</v>
      </c>
      <c r="R127">
        <v>750</v>
      </c>
      <c r="S127">
        <v>748.5</v>
      </c>
      <c r="T127" t="s">
        <v>172</v>
      </c>
      <c r="U127" t="s">
        <v>191</v>
      </c>
      <c r="V127" t="s">
        <v>27</v>
      </c>
      <c r="W127" t="s">
        <v>66</v>
      </c>
      <c r="X127" t="s">
        <v>67</v>
      </c>
      <c r="Y127" t="s">
        <v>138</v>
      </c>
      <c r="AA127" t="s">
        <v>494</v>
      </c>
      <c r="AC127" t="s">
        <v>139</v>
      </c>
      <c r="AD127" t="s">
        <v>734</v>
      </c>
      <c r="AG127" t="s">
        <v>156</v>
      </c>
      <c r="AH127" t="s">
        <v>68</v>
      </c>
      <c r="AI127" t="s">
        <v>493</v>
      </c>
      <c r="AK127" t="s">
        <v>735</v>
      </c>
    </row>
    <row r="128" spans="1:37" customFormat="1">
      <c r="A128" t="s">
        <v>23</v>
      </c>
      <c r="B128" t="s">
        <v>24</v>
      </c>
      <c r="C128" t="s">
        <v>320</v>
      </c>
      <c r="D128" t="s">
        <v>140</v>
      </c>
      <c r="E128" t="s">
        <v>326</v>
      </c>
      <c r="F128" t="s">
        <v>141</v>
      </c>
      <c r="G128" t="s">
        <v>136</v>
      </c>
      <c r="H128" t="s">
        <v>142</v>
      </c>
      <c r="I128" t="s">
        <v>156</v>
      </c>
      <c r="J128" t="s">
        <v>26</v>
      </c>
      <c r="K128" t="s">
        <v>157</v>
      </c>
      <c r="L128" t="s">
        <v>150</v>
      </c>
      <c r="M128" t="s">
        <v>144</v>
      </c>
      <c r="N128" t="s">
        <v>354</v>
      </c>
      <c r="O128">
        <v>1</v>
      </c>
      <c r="P128" t="s">
        <v>160</v>
      </c>
      <c r="R128">
        <v>757</v>
      </c>
      <c r="S128">
        <v>753</v>
      </c>
      <c r="T128" t="s">
        <v>172</v>
      </c>
      <c r="U128" t="s">
        <v>388</v>
      </c>
      <c r="V128" t="s">
        <v>27</v>
      </c>
      <c r="W128" t="s">
        <v>66</v>
      </c>
      <c r="X128" t="s">
        <v>67</v>
      </c>
      <c r="Y128" t="s">
        <v>138</v>
      </c>
      <c r="AA128" t="s">
        <v>494</v>
      </c>
      <c r="AC128" t="s">
        <v>139</v>
      </c>
      <c r="AD128" t="s">
        <v>736</v>
      </c>
      <c r="AG128" t="s">
        <v>156</v>
      </c>
      <c r="AH128" t="s">
        <v>68</v>
      </c>
      <c r="AI128" t="s">
        <v>493</v>
      </c>
      <c r="AK128" t="s">
        <v>737</v>
      </c>
    </row>
    <row r="129" spans="1:37" customFormat="1">
      <c r="A129" t="s">
        <v>23</v>
      </c>
      <c r="B129" t="s">
        <v>24</v>
      </c>
      <c r="C129" t="s">
        <v>320</v>
      </c>
      <c r="D129" t="s">
        <v>140</v>
      </c>
      <c r="E129" t="s">
        <v>326</v>
      </c>
      <c r="F129" t="s">
        <v>141</v>
      </c>
      <c r="G129" t="s">
        <v>136</v>
      </c>
      <c r="H129" t="s">
        <v>142</v>
      </c>
      <c r="I129" t="s">
        <v>156</v>
      </c>
      <c r="J129" t="s">
        <v>26</v>
      </c>
      <c r="K129" t="s">
        <v>157</v>
      </c>
      <c r="L129" t="s">
        <v>150</v>
      </c>
      <c r="M129" t="s">
        <v>144</v>
      </c>
      <c r="N129" t="s">
        <v>355</v>
      </c>
      <c r="O129">
        <v>1</v>
      </c>
      <c r="P129" t="s">
        <v>160</v>
      </c>
      <c r="R129">
        <v>757.5</v>
      </c>
      <c r="S129">
        <v>753</v>
      </c>
      <c r="T129" t="s">
        <v>172</v>
      </c>
      <c r="U129" t="s">
        <v>388</v>
      </c>
      <c r="V129" t="s">
        <v>27</v>
      </c>
      <c r="W129" t="s">
        <v>66</v>
      </c>
      <c r="X129" t="s">
        <v>67</v>
      </c>
      <c r="Y129" t="s">
        <v>138</v>
      </c>
      <c r="AA129" t="s">
        <v>494</v>
      </c>
      <c r="AC129" t="s">
        <v>139</v>
      </c>
      <c r="AD129" t="s">
        <v>738</v>
      </c>
      <c r="AG129" t="s">
        <v>156</v>
      </c>
      <c r="AH129" t="s">
        <v>68</v>
      </c>
      <c r="AI129" t="s">
        <v>493</v>
      </c>
      <c r="AK129" t="s">
        <v>739</v>
      </c>
    </row>
    <row r="130" spans="1:37" customFormat="1">
      <c r="A130" t="s">
        <v>23</v>
      </c>
      <c r="B130" t="s">
        <v>24</v>
      </c>
      <c r="C130" t="s">
        <v>338</v>
      </c>
      <c r="D130" t="s">
        <v>140</v>
      </c>
      <c r="E130" t="s">
        <v>328</v>
      </c>
      <c r="F130" t="s">
        <v>141</v>
      </c>
      <c r="G130" t="s">
        <v>136</v>
      </c>
      <c r="H130" t="s">
        <v>142</v>
      </c>
      <c r="I130" t="s">
        <v>156</v>
      </c>
      <c r="J130" t="s">
        <v>25</v>
      </c>
      <c r="K130" t="s">
        <v>157</v>
      </c>
      <c r="L130" t="s">
        <v>150</v>
      </c>
      <c r="M130" t="s">
        <v>144</v>
      </c>
      <c r="N130" t="s">
        <v>356</v>
      </c>
      <c r="O130">
        <v>38</v>
      </c>
      <c r="P130" t="s">
        <v>159</v>
      </c>
      <c r="R130">
        <v>605</v>
      </c>
      <c r="S130">
        <v>568.86</v>
      </c>
      <c r="T130" t="s">
        <v>172</v>
      </c>
      <c r="U130" t="s">
        <v>216</v>
      </c>
      <c r="V130" t="s">
        <v>27</v>
      </c>
      <c r="W130" t="s">
        <v>66</v>
      </c>
      <c r="X130" t="s">
        <v>67</v>
      </c>
      <c r="Y130" t="s">
        <v>138</v>
      </c>
      <c r="AA130" t="s">
        <v>494</v>
      </c>
      <c r="AC130" t="s">
        <v>139</v>
      </c>
      <c r="AD130" t="s">
        <v>740</v>
      </c>
      <c r="AG130" t="s">
        <v>156</v>
      </c>
      <c r="AH130" t="s">
        <v>68</v>
      </c>
      <c r="AI130" t="s">
        <v>493</v>
      </c>
    </row>
    <row r="131" spans="1:37" customFormat="1">
      <c r="A131" t="s">
        <v>23</v>
      </c>
      <c r="B131" t="s">
        <v>24</v>
      </c>
      <c r="C131" t="s">
        <v>320</v>
      </c>
      <c r="D131" t="s">
        <v>140</v>
      </c>
      <c r="E131" t="s">
        <v>326</v>
      </c>
      <c r="F131" t="s">
        <v>141</v>
      </c>
      <c r="G131" t="s">
        <v>136</v>
      </c>
      <c r="H131" t="s">
        <v>142</v>
      </c>
      <c r="I131" t="s">
        <v>156</v>
      </c>
      <c r="J131" t="s">
        <v>26</v>
      </c>
      <c r="K131" t="s">
        <v>157</v>
      </c>
      <c r="L131" t="s">
        <v>150</v>
      </c>
      <c r="M131" t="s">
        <v>144</v>
      </c>
      <c r="N131" t="s">
        <v>357</v>
      </c>
      <c r="O131">
        <v>1</v>
      </c>
      <c r="P131" t="s">
        <v>160</v>
      </c>
      <c r="R131">
        <v>754</v>
      </c>
      <c r="S131">
        <v>753</v>
      </c>
      <c r="T131" t="s">
        <v>172</v>
      </c>
      <c r="U131" t="s">
        <v>388</v>
      </c>
      <c r="V131" t="s">
        <v>27</v>
      </c>
      <c r="W131" t="s">
        <v>66</v>
      </c>
      <c r="X131" t="s">
        <v>67</v>
      </c>
      <c r="Y131" t="s">
        <v>138</v>
      </c>
      <c r="AA131" t="s">
        <v>494</v>
      </c>
      <c r="AC131" t="s">
        <v>139</v>
      </c>
      <c r="AD131" t="s">
        <v>741</v>
      </c>
      <c r="AG131" t="s">
        <v>156</v>
      </c>
      <c r="AH131" t="s">
        <v>68</v>
      </c>
      <c r="AI131" t="s">
        <v>493</v>
      </c>
      <c r="AK131" t="s">
        <v>742</v>
      </c>
    </row>
    <row r="132" spans="1:37" customFormat="1">
      <c r="A132" t="s">
        <v>23</v>
      </c>
      <c r="B132" t="s">
        <v>24</v>
      </c>
      <c r="C132" t="s">
        <v>320</v>
      </c>
      <c r="D132" t="s">
        <v>140</v>
      </c>
      <c r="E132" t="s">
        <v>326</v>
      </c>
      <c r="F132" t="s">
        <v>141</v>
      </c>
      <c r="G132" t="s">
        <v>136</v>
      </c>
      <c r="H132" t="s">
        <v>142</v>
      </c>
      <c r="I132" t="s">
        <v>156</v>
      </c>
      <c r="J132" t="s">
        <v>26</v>
      </c>
      <c r="K132" t="s">
        <v>157</v>
      </c>
      <c r="L132" t="s">
        <v>150</v>
      </c>
      <c r="M132" t="s">
        <v>144</v>
      </c>
      <c r="N132" t="s">
        <v>358</v>
      </c>
      <c r="O132">
        <v>1</v>
      </c>
      <c r="P132" t="s">
        <v>160</v>
      </c>
      <c r="R132">
        <v>753.5</v>
      </c>
      <c r="S132">
        <v>753</v>
      </c>
      <c r="T132" t="s">
        <v>172</v>
      </c>
      <c r="U132" t="s">
        <v>388</v>
      </c>
      <c r="V132" t="s">
        <v>27</v>
      </c>
      <c r="W132" t="s">
        <v>66</v>
      </c>
      <c r="X132" t="s">
        <v>67</v>
      </c>
      <c r="Y132" t="s">
        <v>138</v>
      </c>
      <c r="AA132" t="s">
        <v>494</v>
      </c>
      <c r="AC132" t="s">
        <v>139</v>
      </c>
      <c r="AD132" t="s">
        <v>743</v>
      </c>
      <c r="AG132" t="s">
        <v>156</v>
      </c>
      <c r="AH132" t="s">
        <v>68</v>
      </c>
      <c r="AI132" t="s">
        <v>493</v>
      </c>
      <c r="AK132" t="s">
        <v>744</v>
      </c>
    </row>
    <row r="133" spans="1:37" customFormat="1">
      <c r="A133" t="s">
        <v>23</v>
      </c>
      <c r="B133" t="s">
        <v>24</v>
      </c>
      <c r="C133" t="s">
        <v>320</v>
      </c>
      <c r="D133" t="s">
        <v>140</v>
      </c>
      <c r="E133" t="s">
        <v>326</v>
      </c>
      <c r="F133" t="s">
        <v>141</v>
      </c>
      <c r="G133" t="s">
        <v>136</v>
      </c>
      <c r="H133" t="s">
        <v>142</v>
      </c>
      <c r="I133" t="s">
        <v>156</v>
      </c>
      <c r="J133" t="s">
        <v>26</v>
      </c>
      <c r="K133" t="s">
        <v>157</v>
      </c>
      <c r="L133" t="s">
        <v>150</v>
      </c>
      <c r="M133" t="s">
        <v>144</v>
      </c>
      <c r="N133" t="s">
        <v>359</v>
      </c>
      <c r="O133">
        <v>1</v>
      </c>
      <c r="P133" t="s">
        <v>160</v>
      </c>
      <c r="R133">
        <v>753.5</v>
      </c>
      <c r="S133">
        <v>753</v>
      </c>
      <c r="T133" t="s">
        <v>172</v>
      </c>
      <c r="U133" t="s">
        <v>388</v>
      </c>
      <c r="V133" t="s">
        <v>27</v>
      </c>
      <c r="W133" t="s">
        <v>66</v>
      </c>
      <c r="X133" t="s">
        <v>67</v>
      </c>
      <c r="Y133" t="s">
        <v>138</v>
      </c>
      <c r="AA133" t="s">
        <v>494</v>
      </c>
      <c r="AC133" t="s">
        <v>139</v>
      </c>
      <c r="AD133" t="s">
        <v>745</v>
      </c>
      <c r="AG133" t="s">
        <v>156</v>
      </c>
      <c r="AH133" t="s">
        <v>68</v>
      </c>
      <c r="AI133" t="s">
        <v>493</v>
      </c>
      <c r="AK133" t="s">
        <v>746</v>
      </c>
    </row>
    <row r="134" spans="1:37" customFormat="1">
      <c r="A134" t="s">
        <v>23</v>
      </c>
      <c r="B134" t="s">
        <v>24</v>
      </c>
      <c r="C134" t="s">
        <v>320</v>
      </c>
      <c r="D134" t="s">
        <v>140</v>
      </c>
      <c r="E134" t="s">
        <v>326</v>
      </c>
      <c r="F134" t="s">
        <v>141</v>
      </c>
      <c r="G134" t="s">
        <v>136</v>
      </c>
      <c r="H134" t="s">
        <v>142</v>
      </c>
      <c r="I134" t="s">
        <v>156</v>
      </c>
      <c r="J134" t="s">
        <v>26</v>
      </c>
      <c r="K134" t="s">
        <v>157</v>
      </c>
      <c r="L134" t="s">
        <v>150</v>
      </c>
      <c r="M134" t="s">
        <v>144</v>
      </c>
      <c r="N134" t="s">
        <v>360</v>
      </c>
      <c r="O134">
        <v>1</v>
      </c>
      <c r="P134" t="s">
        <v>160</v>
      </c>
      <c r="R134">
        <v>753</v>
      </c>
      <c r="S134">
        <v>753</v>
      </c>
      <c r="T134" t="s">
        <v>172</v>
      </c>
      <c r="U134" t="s">
        <v>388</v>
      </c>
      <c r="V134" t="s">
        <v>27</v>
      </c>
      <c r="W134" t="s">
        <v>66</v>
      </c>
      <c r="X134" t="s">
        <v>67</v>
      </c>
      <c r="Y134" t="s">
        <v>138</v>
      </c>
      <c r="AA134" t="s">
        <v>494</v>
      </c>
      <c r="AC134" t="s">
        <v>139</v>
      </c>
      <c r="AD134" t="s">
        <v>747</v>
      </c>
      <c r="AG134" t="s">
        <v>156</v>
      </c>
      <c r="AH134" t="s">
        <v>68</v>
      </c>
      <c r="AI134" t="s">
        <v>493</v>
      </c>
      <c r="AK134" t="s">
        <v>748</v>
      </c>
    </row>
    <row r="135" spans="1:37" customFormat="1">
      <c r="A135" t="s">
        <v>23</v>
      </c>
      <c r="B135" t="s">
        <v>24</v>
      </c>
      <c r="C135" t="s">
        <v>320</v>
      </c>
      <c r="D135" t="s">
        <v>140</v>
      </c>
      <c r="E135" t="s">
        <v>326</v>
      </c>
      <c r="F135" t="s">
        <v>141</v>
      </c>
      <c r="G135" t="s">
        <v>136</v>
      </c>
      <c r="H135" t="s">
        <v>142</v>
      </c>
      <c r="I135" t="s">
        <v>156</v>
      </c>
      <c r="J135" t="s">
        <v>26</v>
      </c>
      <c r="K135" t="s">
        <v>157</v>
      </c>
      <c r="L135" t="s">
        <v>150</v>
      </c>
      <c r="M135" t="s">
        <v>144</v>
      </c>
      <c r="N135" t="s">
        <v>361</v>
      </c>
      <c r="O135">
        <v>1</v>
      </c>
      <c r="P135" t="s">
        <v>160</v>
      </c>
      <c r="R135">
        <v>753.5</v>
      </c>
      <c r="S135">
        <v>753</v>
      </c>
      <c r="T135" t="s">
        <v>172</v>
      </c>
      <c r="U135" t="s">
        <v>388</v>
      </c>
      <c r="V135" t="s">
        <v>27</v>
      </c>
      <c r="W135" t="s">
        <v>66</v>
      </c>
      <c r="X135" t="s">
        <v>67</v>
      </c>
      <c r="Y135" t="s">
        <v>138</v>
      </c>
      <c r="AA135" t="s">
        <v>494</v>
      </c>
      <c r="AC135" t="s">
        <v>139</v>
      </c>
      <c r="AD135" t="s">
        <v>749</v>
      </c>
      <c r="AG135" t="s">
        <v>156</v>
      </c>
      <c r="AH135" t="s">
        <v>68</v>
      </c>
      <c r="AI135" t="s">
        <v>493</v>
      </c>
      <c r="AK135" t="s">
        <v>750</v>
      </c>
    </row>
    <row r="136" spans="1:37" customFormat="1">
      <c r="A136" t="s">
        <v>23</v>
      </c>
      <c r="B136" t="s">
        <v>24</v>
      </c>
      <c r="C136" t="s">
        <v>320</v>
      </c>
      <c r="D136" t="s">
        <v>140</v>
      </c>
      <c r="E136" t="s">
        <v>326</v>
      </c>
      <c r="F136" t="s">
        <v>141</v>
      </c>
      <c r="G136" t="s">
        <v>136</v>
      </c>
      <c r="H136" t="s">
        <v>142</v>
      </c>
      <c r="I136" t="s">
        <v>156</v>
      </c>
      <c r="J136" t="s">
        <v>26</v>
      </c>
      <c r="K136" t="s">
        <v>157</v>
      </c>
      <c r="L136" t="s">
        <v>150</v>
      </c>
      <c r="M136" t="s">
        <v>144</v>
      </c>
      <c r="N136" t="s">
        <v>362</v>
      </c>
      <c r="O136">
        <v>1</v>
      </c>
      <c r="P136" t="s">
        <v>160</v>
      </c>
      <c r="R136">
        <v>755</v>
      </c>
      <c r="S136">
        <v>753</v>
      </c>
      <c r="T136" t="s">
        <v>172</v>
      </c>
      <c r="U136" t="s">
        <v>388</v>
      </c>
      <c r="V136" t="s">
        <v>27</v>
      </c>
      <c r="W136" t="s">
        <v>66</v>
      </c>
      <c r="X136" t="s">
        <v>67</v>
      </c>
      <c r="Y136" t="s">
        <v>138</v>
      </c>
      <c r="AA136" t="s">
        <v>494</v>
      </c>
      <c r="AC136" t="s">
        <v>139</v>
      </c>
      <c r="AD136" t="s">
        <v>751</v>
      </c>
      <c r="AG136" t="s">
        <v>156</v>
      </c>
      <c r="AH136" t="s">
        <v>68</v>
      </c>
      <c r="AI136" t="s">
        <v>493</v>
      </c>
      <c r="AK136" t="s">
        <v>752</v>
      </c>
    </row>
    <row r="137" spans="1:37" customFormat="1">
      <c r="A137" t="s">
        <v>23</v>
      </c>
      <c r="B137" t="s">
        <v>24</v>
      </c>
      <c r="C137" t="s">
        <v>320</v>
      </c>
      <c r="D137" t="s">
        <v>140</v>
      </c>
      <c r="E137" t="s">
        <v>326</v>
      </c>
      <c r="F137" t="s">
        <v>141</v>
      </c>
      <c r="G137" t="s">
        <v>136</v>
      </c>
      <c r="H137" t="s">
        <v>142</v>
      </c>
      <c r="I137" t="s">
        <v>156</v>
      </c>
      <c r="J137" t="s">
        <v>26</v>
      </c>
      <c r="K137" t="s">
        <v>157</v>
      </c>
      <c r="L137" t="s">
        <v>150</v>
      </c>
      <c r="M137" t="s">
        <v>144</v>
      </c>
      <c r="N137" t="s">
        <v>363</v>
      </c>
      <c r="O137">
        <v>1</v>
      </c>
      <c r="P137" t="s">
        <v>160</v>
      </c>
      <c r="R137">
        <v>756</v>
      </c>
      <c r="S137">
        <v>753</v>
      </c>
      <c r="T137" t="s">
        <v>172</v>
      </c>
      <c r="U137" t="s">
        <v>388</v>
      </c>
      <c r="V137" t="s">
        <v>27</v>
      </c>
      <c r="W137" t="s">
        <v>66</v>
      </c>
      <c r="X137" t="s">
        <v>67</v>
      </c>
      <c r="Y137" t="s">
        <v>138</v>
      </c>
      <c r="AA137" t="s">
        <v>494</v>
      </c>
      <c r="AC137" t="s">
        <v>139</v>
      </c>
      <c r="AD137" t="s">
        <v>753</v>
      </c>
      <c r="AG137" t="s">
        <v>156</v>
      </c>
      <c r="AH137" t="s">
        <v>68</v>
      </c>
      <c r="AI137" t="s">
        <v>493</v>
      </c>
      <c r="AK137" t="s">
        <v>754</v>
      </c>
    </row>
    <row r="138" spans="1:37" customFormat="1">
      <c r="A138" t="s">
        <v>23</v>
      </c>
      <c r="B138" t="s">
        <v>24</v>
      </c>
      <c r="C138" t="s">
        <v>320</v>
      </c>
      <c r="D138" t="s">
        <v>140</v>
      </c>
      <c r="E138" t="s">
        <v>326</v>
      </c>
      <c r="F138" t="s">
        <v>141</v>
      </c>
      <c r="G138" t="s">
        <v>136</v>
      </c>
      <c r="H138" t="s">
        <v>142</v>
      </c>
      <c r="I138" t="s">
        <v>156</v>
      </c>
      <c r="J138" t="s">
        <v>26</v>
      </c>
      <c r="K138" t="s">
        <v>157</v>
      </c>
      <c r="L138" t="s">
        <v>150</v>
      </c>
      <c r="M138" t="s">
        <v>144</v>
      </c>
      <c r="N138" t="s">
        <v>364</v>
      </c>
      <c r="O138">
        <v>1</v>
      </c>
      <c r="P138" t="s">
        <v>160</v>
      </c>
      <c r="R138">
        <v>758</v>
      </c>
      <c r="S138">
        <v>753</v>
      </c>
      <c r="T138" t="s">
        <v>172</v>
      </c>
      <c r="U138" t="s">
        <v>388</v>
      </c>
      <c r="V138" t="s">
        <v>27</v>
      </c>
      <c r="W138" t="s">
        <v>66</v>
      </c>
      <c r="X138" t="s">
        <v>67</v>
      </c>
      <c r="Y138" t="s">
        <v>138</v>
      </c>
      <c r="AA138" t="s">
        <v>494</v>
      </c>
      <c r="AC138" t="s">
        <v>139</v>
      </c>
      <c r="AD138" t="s">
        <v>755</v>
      </c>
      <c r="AG138" t="s">
        <v>156</v>
      </c>
      <c r="AH138" t="s">
        <v>68</v>
      </c>
      <c r="AI138" t="s">
        <v>493</v>
      </c>
      <c r="AK138" t="s">
        <v>756</v>
      </c>
    </row>
    <row r="139" spans="1:37" customFormat="1">
      <c r="A139" t="s">
        <v>23</v>
      </c>
      <c r="B139" t="s">
        <v>24</v>
      </c>
      <c r="C139" t="s">
        <v>320</v>
      </c>
      <c r="D139" t="s">
        <v>140</v>
      </c>
      <c r="E139" t="s">
        <v>326</v>
      </c>
      <c r="F139" t="s">
        <v>141</v>
      </c>
      <c r="G139" t="s">
        <v>136</v>
      </c>
      <c r="H139" t="s">
        <v>142</v>
      </c>
      <c r="I139" t="s">
        <v>156</v>
      </c>
      <c r="J139" t="s">
        <v>26</v>
      </c>
      <c r="K139" t="s">
        <v>157</v>
      </c>
      <c r="L139" t="s">
        <v>150</v>
      </c>
      <c r="M139" t="s">
        <v>144</v>
      </c>
      <c r="N139" t="s">
        <v>365</v>
      </c>
      <c r="O139">
        <v>1</v>
      </c>
      <c r="P139" t="s">
        <v>160</v>
      </c>
      <c r="R139">
        <v>760.5</v>
      </c>
      <c r="S139">
        <v>753</v>
      </c>
      <c r="T139" t="s">
        <v>172</v>
      </c>
      <c r="U139" t="s">
        <v>388</v>
      </c>
      <c r="V139" t="s">
        <v>27</v>
      </c>
      <c r="W139" t="s">
        <v>66</v>
      </c>
      <c r="X139" t="s">
        <v>67</v>
      </c>
      <c r="Y139" t="s">
        <v>138</v>
      </c>
      <c r="AA139" t="s">
        <v>494</v>
      </c>
      <c r="AC139" t="s">
        <v>139</v>
      </c>
      <c r="AD139" t="s">
        <v>757</v>
      </c>
      <c r="AG139" t="s">
        <v>156</v>
      </c>
      <c r="AH139" t="s">
        <v>68</v>
      </c>
      <c r="AI139" t="s">
        <v>493</v>
      </c>
      <c r="AK139" t="s">
        <v>758</v>
      </c>
    </row>
    <row r="140" spans="1:37" customFormat="1">
      <c r="A140" t="s">
        <v>23</v>
      </c>
      <c r="B140" t="s">
        <v>24</v>
      </c>
      <c r="C140" t="s">
        <v>320</v>
      </c>
      <c r="D140" t="s">
        <v>140</v>
      </c>
      <c r="E140" t="s">
        <v>326</v>
      </c>
      <c r="F140" t="s">
        <v>141</v>
      </c>
      <c r="G140" t="s">
        <v>136</v>
      </c>
      <c r="H140" t="s">
        <v>142</v>
      </c>
      <c r="I140" t="s">
        <v>156</v>
      </c>
      <c r="J140" t="s">
        <v>26</v>
      </c>
      <c r="K140" t="s">
        <v>157</v>
      </c>
      <c r="L140" t="s">
        <v>150</v>
      </c>
      <c r="M140" t="s">
        <v>144</v>
      </c>
      <c r="N140" t="s">
        <v>366</v>
      </c>
      <c r="O140">
        <v>1</v>
      </c>
      <c r="P140" t="s">
        <v>160</v>
      </c>
      <c r="R140">
        <v>759.5</v>
      </c>
      <c r="S140">
        <v>753</v>
      </c>
      <c r="T140" t="s">
        <v>172</v>
      </c>
      <c r="U140" t="s">
        <v>388</v>
      </c>
      <c r="V140" t="s">
        <v>27</v>
      </c>
      <c r="W140" t="s">
        <v>66</v>
      </c>
      <c r="X140" t="s">
        <v>67</v>
      </c>
      <c r="Y140" t="s">
        <v>138</v>
      </c>
      <c r="AA140" t="s">
        <v>494</v>
      </c>
      <c r="AC140" t="s">
        <v>139</v>
      </c>
      <c r="AD140" t="s">
        <v>759</v>
      </c>
      <c r="AG140" t="s">
        <v>156</v>
      </c>
      <c r="AH140" t="s">
        <v>68</v>
      </c>
      <c r="AI140" t="s">
        <v>493</v>
      </c>
      <c r="AK140" t="s">
        <v>760</v>
      </c>
    </row>
    <row r="141" spans="1:37" customFormat="1">
      <c r="A141" t="s">
        <v>23</v>
      </c>
      <c r="B141" t="s">
        <v>24</v>
      </c>
      <c r="C141" t="s">
        <v>320</v>
      </c>
      <c r="D141" t="s">
        <v>140</v>
      </c>
      <c r="E141" t="s">
        <v>326</v>
      </c>
      <c r="F141" t="s">
        <v>141</v>
      </c>
      <c r="G141" t="s">
        <v>136</v>
      </c>
      <c r="H141" t="s">
        <v>142</v>
      </c>
      <c r="I141" t="s">
        <v>156</v>
      </c>
      <c r="J141" t="s">
        <v>26</v>
      </c>
      <c r="K141" t="s">
        <v>157</v>
      </c>
      <c r="L141" t="s">
        <v>150</v>
      </c>
      <c r="M141" t="s">
        <v>144</v>
      </c>
      <c r="N141" t="s">
        <v>367</v>
      </c>
      <c r="O141">
        <v>1</v>
      </c>
      <c r="P141" t="s">
        <v>160</v>
      </c>
      <c r="R141">
        <v>760</v>
      </c>
      <c r="S141">
        <v>753</v>
      </c>
      <c r="T141" t="s">
        <v>172</v>
      </c>
      <c r="U141" t="s">
        <v>388</v>
      </c>
      <c r="V141" t="s">
        <v>27</v>
      </c>
      <c r="W141" t="s">
        <v>66</v>
      </c>
      <c r="X141" t="s">
        <v>67</v>
      </c>
      <c r="Y141" t="s">
        <v>138</v>
      </c>
      <c r="AA141" t="s">
        <v>494</v>
      </c>
      <c r="AC141" t="s">
        <v>139</v>
      </c>
      <c r="AD141" t="s">
        <v>761</v>
      </c>
      <c r="AG141" t="s">
        <v>156</v>
      </c>
      <c r="AH141" t="s">
        <v>68</v>
      </c>
      <c r="AI141" t="s">
        <v>493</v>
      </c>
      <c r="AK141" t="s">
        <v>762</v>
      </c>
    </row>
    <row r="142" spans="1:37" customFormat="1">
      <c r="A142" t="s">
        <v>23</v>
      </c>
      <c r="B142" t="s">
        <v>24</v>
      </c>
      <c r="C142" t="s">
        <v>320</v>
      </c>
      <c r="D142" t="s">
        <v>140</v>
      </c>
      <c r="E142" t="s">
        <v>326</v>
      </c>
      <c r="F142" t="s">
        <v>141</v>
      </c>
      <c r="G142" t="s">
        <v>136</v>
      </c>
      <c r="H142" t="s">
        <v>142</v>
      </c>
      <c r="I142" t="s">
        <v>156</v>
      </c>
      <c r="J142" t="s">
        <v>26</v>
      </c>
      <c r="K142" t="s">
        <v>157</v>
      </c>
      <c r="L142" t="s">
        <v>150</v>
      </c>
      <c r="M142" t="s">
        <v>144</v>
      </c>
      <c r="N142" t="s">
        <v>368</v>
      </c>
      <c r="O142">
        <v>1</v>
      </c>
      <c r="P142" t="s">
        <v>160</v>
      </c>
      <c r="R142">
        <v>760.5</v>
      </c>
      <c r="S142">
        <v>753</v>
      </c>
      <c r="T142" t="s">
        <v>172</v>
      </c>
      <c r="U142" t="s">
        <v>388</v>
      </c>
      <c r="V142" t="s">
        <v>27</v>
      </c>
      <c r="W142" t="s">
        <v>66</v>
      </c>
      <c r="X142" t="s">
        <v>67</v>
      </c>
      <c r="Y142" t="s">
        <v>138</v>
      </c>
      <c r="AA142" t="s">
        <v>494</v>
      </c>
      <c r="AC142" t="s">
        <v>139</v>
      </c>
      <c r="AD142" t="s">
        <v>763</v>
      </c>
      <c r="AG142" t="s">
        <v>156</v>
      </c>
      <c r="AH142" t="s">
        <v>68</v>
      </c>
      <c r="AI142" t="s">
        <v>493</v>
      </c>
      <c r="AK142" t="s">
        <v>764</v>
      </c>
    </row>
    <row r="143" spans="1:37" customFormat="1">
      <c r="A143" t="s">
        <v>23</v>
      </c>
      <c r="B143" t="s">
        <v>24</v>
      </c>
      <c r="C143" t="s">
        <v>320</v>
      </c>
      <c r="D143" t="s">
        <v>140</v>
      </c>
      <c r="E143" t="s">
        <v>326</v>
      </c>
      <c r="F143" t="s">
        <v>141</v>
      </c>
      <c r="G143" t="s">
        <v>136</v>
      </c>
      <c r="H143" t="s">
        <v>142</v>
      </c>
      <c r="I143" t="s">
        <v>156</v>
      </c>
      <c r="J143" t="s">
        <v>26</v>
      </c>
      <c r="K143" t="s">
        <v>157</v>
      </c>
      <c r="L143" t="s">
        <v>150</v>
      </c>
      <c r="M143" t="s">
        <v>144</v>
      </c>
      <c r="N143" t="s">
        <v>369</v>
      </c>
      <c r="O143">
        <v>1</v>
      </c>
      <c r="P143" t="s">
        <v>160</v>
      </c>
      <c r="R143">
        <v>758.5</v>
      </c>
      <c r="S143">
        <v>753</v>
      </c>
      <c r="T143" t="s">
        <v>172</v>
      </c>
      <c r="U143" t="s">
        <v>388</v>
      </c>
      <c r="V143" t="s">
        <v>27</v>
      </c>
      <c r="W143" t="s">
        <v>66</v>
      </c>
      <c r="X143" t="s">
        <v>67</v>
      </c>
      <c r="Y143" t="s">
        <v>138</v>
      </c>
      <c r="AA143" t="s">
        <v>494</v>
      </c>
      <c r="AC143" t="s">
        <v>139</v>
      </c>
      <c r="AD143" t="s">
        <v>765</v>
      </c>
      <c r="AG143" t="s">
        <v>156</v>
      </c>
      <c r="AH143" t="s">
        <v>68</v>
      </c>
      <c r="AI143" t="s">
        <v>493</v>
      </c>
      <c r="AK143" t="s">
        <v>766</v>
      </c>
    </row>
    <row r="144" spans="1:37" customFormat="1">
      <c r="A144" t="s">
        <v>23</v>
      </c>
      <c r="B144" t="s">
        <v>24</v>
      </c>
      <c r="C144" t="s">
        <v>320</v>
      </c>
      <c r="D144" t="s">
        <v>140</v>
      </c>
      <c r="E144" t="s">
        <v>326</v>
      </c>
      <c r="F144" t="s">
        <v>141</v>
      </c>
      <c r="G144" t="s">
        <v>136</v>
      </c>
      <c r="H144" t="s">
        <v>142</v>
      </c>
      <c r="I144" t="s">
        <v>156</v>
      </c>
      <c r="J144" t="s">
        <v>26</v>
      </c>
      <c r="K144" t="s">
        <v>157</v>
      </c>
      <c r="L144" t="s">
        <v>150</v>
      </c>
      <c r="M144" t="s">
        <v>144</v>
      </c>
      <c r="N144" t="s">
        <v>370</v>
      </c>
      <c r="O144">
        <v>1</v>
      </c>
      <c r="P144" t="s">
        <v>160</v>
      </c>
      <c r="R144">
        <v>760.5</v>
      </c>
      <c r="S144">
        <v>753</v>
      </c>
      <c r="T144" t="s">
        <v>172</v>
      </c>
      <c r="U144" t="s">
        <v>388</v>
      </c>
      <c r="V144" t="s">
        <v>27</v>
      </c>
      <c r="W144" t="s">
        <v>66</v>
      </c>
      <c r="X144" t="s">
        <v>67</v>
      </c>
      <c r="Y144" t="s">
        <v>138</v>
      </c>
      <c r="AA144" t="s">
        <v>494</v>
      </c>
      <c r="AC144" t="s">
        <v>139</v>
      </c>
      <c r="AD144" t="s">
        <v>767</v>
      </c>
      <c r="AG144" t="s">
        <v>156</v>
      </c>
      <c r="AH144" t="s">
        <v>68</v>
      </c>
      <c r="AI144" t="s">
        <v>493</v>
      </c>
      <c r="AK144" t="s">
        <v>768</v>
      </c>
    </row>
    <row r="145" spans="1:37" customFormat="1">
      <c r="A145" t="s">
        <v>23</v>
      </c>
      <c r="B145" t="s">
        <v>24</v>
      </c>
      <c r="C145" t="s">
        <v>320</v>
      </c>
      <c r="D145" t="s">
        <v>140</v>
      </c>
      <c r="E145" t="s">
        <v>371</v>
      </c>
      <c r="F145" t="s">
        <v>141</v>
      </c>
      <c r="G145" t="s">
        <v>136</v>
      </c>
      <c r="H145" t="s">
        <v>142</v>
      </c>
      <c r="I145" t="s">
        <v>156</v>
      </c>
      <c r="J145" t="s">
        <v>26</v>
      </c>
      <c r="K145" t="s">
        <v>157</v>
      </c>
      <c r="L145" t="s">
        <v>150</v>
      </c>
      <c r="M145" t="s">
        <v>144</v>
      </c>
      <c r="N145" t="s">
        <v>372</v>
      </c>
      <c r="O145">
        <v>1</v>
      </c>
      <c r="P145" t="s">
        <v>160</v>
      </c>
      <c r="R145">
        <v>754</v>
      </c>
      <c r="S145">
        <v>748</v>
      </c>
      <c r="T145" t="s">
        <v>172</v>
      </c>
      <c r="U145" t="s">
        <v>390</v>
      </c>
      <c r="V145" t="s">
        <v>27</v>
      </c>
      <c r="W145" t="s">
        <v>66</v>
      </c>
      <c r="X145" t="s">
        <v>67</v>
      </c>
      <c r="Y145" t="s">
        <v>138</v>
      </c>
      <c r="AA145" t="s">
        <v>494</v>
      </c>
      <c r="AC145" t="s">
        <v>139</v>
      </c>
      <c r="AD145" t="s">
        <v>769</v>
      </c>
      <c r="AG145" t="s">
        <v>156</v>
      </c>
      <c r="AH145" t="s">
        <v>68</v>
      </c>
      <c r="AI145" t="s">
        <v>493</v>
      </c>
      <c r="AK145" t="s">
        <v>770</v>
      </c>
    </row>
    <row r="146" spans="1:37" customFormat="1">
      <c r="A146" t="s">
        <v>23</v>
      </c>
      <c r="B146" t="s">
        <v>24</v>
      </c>
      <c r="C146" t="s">
        <v>320</v>
      </c>
      <c r="D146" t="s">
        <v>140</v>
      </c>
      <c r="E146" t="s">
        <v>371</v>
      </c>
      <c r="F146" t="s">
        <v>141</v>
      </c>
      <c r="G146" t="s">
        <v>136</v>
      </c>
      <c r="H146" t="s">
        <v>142</v>
      </c>
      <c r="I146" t="s">
        <v>156</v>
      </c>
      <c r="J146" t="s">
        <v>26</v>
      </c>
      <c r="K146" t="s">
        <v>157</v>
      </c>
      <c r="L146" t="s">
        <v>150</v>
      </c>
      <c r="M146" t="s">
        <v>144</v>
      </c>
      <c r="N146" t="s">
        <v>373</v>
      </c>
      <c r="O146">
        <v>1</v>
      </c>
      <c r="P146" t="s">
        <v>160</v>
      </c>
      <c r="R146">
        <v>751</v>
      </c>
      <c r="S146">
        <v>748</v>
      </c>
      <c r="T146" t="s">
        <v>172</v>
      </c>
      <c r="U146" t="s">
        <v>390</v>
      </c>
      <c r="V146" t="s">
        <v>27</v>
      </c>
      <c r="W146" t="s">
        <v>66</v>
      </c>
      <c r="X146" t="s">
        <v>67</v>
      </c>
      <c r="Y146" t="s">
        <v>138</v>
      </c>
      <c r="AA146" t="s">
        <v>494</v>
      </c>
      <c r="AC146" t="s">
        <v>139</v>
      </c>
      <c r="AD146" t="s">
        <v>771</v>
      </c>
      <c r="AG146" t="s">
        <v>156</v>
      </c>
      <c r="AH146" t="s">
        <v>68</v>
      </c>
      <c r="AI146" t="s">
        <v>493</v>
      </c>
      <c r="AK146" t="s">
        <v>772</v>
      </c>
    </row>
    <row r="147" spans="1:37" customFormat="1">
      <c r="A147" t="s">
        <v>23</v>
      </c>
      <c r="B147" t="s">
        <v>24</v>
      </c>
      <c r="C147" t="s">
        <v>338</v>
      </c>
      <c r="D147" t="s">
        <v>140</v>
      </c>
      <c r="E147" t="s">
        <v>329</v>
      </c>
      <c r="F147" t="s">
        <v>141</v>
      </c>
      <c r="G147" t="s">
        <v>136</v>
      </c>
      <c r="H147" t="s">
        <v>142</v>
      </c>
      <c r="I147" t="s">
        <v>156</v>
      </c>
      <c r="J147" t="s">
        <v>25</v>
      </c>
      <c r="K147" t="s">
        <v>157</v>
      </c>
      <c r="L147" t="s">
        <v>150</v>
      </c>
      <c r="M147" t="s">
        <v>144</v>
      </c>
      <c r="N147" t="s">
        <v>374</v>
      </c>
      <c r="O147">
        <v>15</v>
      </c>
      <c r="P147" t="s">
        <v>159</v>
      </c>
      <c r="R147">
        <v>257.5</v>
      </c>
      <c r="S147">
        <v>225.9</v>
      </c>
      <c r="T147" t="s">
        <v>172</v>
      </c>
      <c r="U147" t="s">
        <v>216</v>
      </c>
      <c r="V147" t="s">
        <v>27</v>
      </c>
      <c r="W147" t="s">
        <v>66</v>
      </c>
      <c r="X147" t="s">
        <v>67</v>
      </c>
      <c r="Y147" t="s">
        <v>138</v>
      </c>
      <c r="AA147" t="s">
        <v>494</v>
      </c>
      <c r="AC147" t="s">
        <v>139</v>
      </c>
      <c r="AD147" t="s">
        <v>773</v>
      </c>
      <c r="AG147" t="s">
        <v>156</v>
      </c>
      <c r="AH147" t="s">
        <v>68</v>
      </c>
      <c r="AI147" t="s">
        <v>493</v>
      </c>
    </row>
    <row r="148" spans="1:37" customFormat="1">
      <c r="A148" t="s">
        <v>23</v>
      </c>
      <c r="B148" t="s">
        <v>24</v>
      </c>
      <c r="C148" t="s">
        <v>320</v>
      </c>
      <c r="D148" t="s">
        <v>140</v>
      </c>
      <c r="E148" t="s">
        <v>371</v>
      </c>
      <c r="F148" t="s">
        <v>141</v>
      </c>
      <c r="G148" t="s">
        <v>136</v>
      </c>
      <c r="H148" t="s">
        <v>142</v>
      </c>
      <c r="I148" t="s">
        <v>156</v>
      </c>
      <c r="J148" t="s">
        <v>26</v>
      </c>
      <c r="K148" t="s">
        <v>157</v>
      </c>
      <c r="L148" t="s">
        <v>150</v>
      </c>
      <c r="M148" t="s">
        <v>144</v>
      </c>
      <c r="N148" t="s">
        <v>375</v>
      </c>
      <c r="O148">
        <v>1</v>
      </c>
      <c r="P148" t="s">
        <v>160</v>
      </c>
      <c r="R148">
        <v>753</v>
      </c>
      <c r="S148">
        <v>748</v>
      </c>
      <c r="T148" t="s">
        <v>172</v>
      </c>
      <c r="U148" t="s">
        <v>390</v>
      </c>
      <c r="V148" t="s">
        <v>27</v>
      </c>
      <c r="W148" t="s">
        <v>66</v>
      </c>
      <c r="X148" t="s">
        <v>67</v>
      </c>
      <c r="Y148" t="s">
        <v>138</v>
      </c>
      <c r="AA148" t="s">
        <v>494</v>
      </c>
      <c r="AC148" t="s">
        <v>139</v>
      </c>
      <c r="AD148" t="s">
        <v>774</v>
      </c>
      <c r="AG148" t="s">
        <v>156</v>
      </c>
      <c r="AH148" t="s">
        <v>68</v>
      </c>
      <c r="AI148" t="s">
        <v>493</v>
      </c>
      <c r="AK148" t="s">
        <v>775</v>
      </c>
    </row>
    <row r="149" spans="1:37" customFormat="1">
      <c r="A149" t="s">
        <v>23</v>
      </c>
      <c r="B149" t="s">
        <v>24</v>
      </c>
      <c r="C149" t="s">
        <v>320</v>
      </c>
      <c r="D149" t="s">
        <v>140</v>
      </c>
      <c r="E149" t="s">
        <v>371</v>
      </c>
      <c r="F149" t="s">
        <v>141</v>
      </c>
      <c r="G149" t="s">
        <v>136</v>
      </c>
      <c r="H149" t="s">
        <v>142</v>
      </c>
      <c r="I149" t="s">
        <v>156</v>
      </c>
      <c r="J149" t="s">
        <v>26</v>
      </c>
      <c r="K149" t="s">
        <v>157</v>
      </c>
      <c r="L149" t="s">
        <v>150</v>
      </c>
      <c r="M149" t="s">
        <v>144</v>
      </c>
      <c r="N149" t="s">
        <v>376</v>
      </c>
      <c r="O149">
        <v>1</v>
      </c>
      <c r="P149" t="s">
        <v>160</v>
      </c>
      <c r="R149">
        <v>750</v>
      </c>
      <c r="S149">
        <v>748</v>
      </c>
      <c r="T149" t="s">
        <v>172</v>
      </c>
      <c r="U149" t="s">
        <v>390</v>
      </c>
      <c r="V149" t="s">
        <v>27</v>
      </c>
      <c r="W149" t="s">
        <v>66</v>
      </c>
      <c r="X149" t="s">
        <v>67</v>
      </c>
      <c r="Y149" t="s">
        <v>138</v>
      </c>
      <c r="AA149" t="s">
        <v>494</v>
      </c>
      <c r="AC149" t="s">
        <v>139</v>
      </c>
      <c r="AD149" t="s">
        <v>776</v>
      </c>
      <c r="AG149" t="s">
        <v>156</v>
      </c>
      <c r="AH149" t="s">
        <v>68</v>
      </c>
      <c r="AI149" t="s">
        <v>493</v>
      </c>
      <c r="AK149" t="s">
        <v>777</v>
      </c>
    </row>
    <row r="150" spans="1:37" customFormat="1">
      <c r="A150" t="s">
        <v>23</v>
      </c>
      <c r="B150" t="s">
        <v>24</v>
      </c>
      <c r="C150" t="s">
        <v>320</v>
      </c>
      <c r="D150" t="s">
        <v>140</v>
      </c>
      <c r="E150" t="s">
        <v>371</v>
      </c>
      <c r="F150" t="s">
        <v>141</v>
      </c>
      <c r="G150" t="s">
        <v>136</v>
      </c>
      <c r="H150" t="s">
        <v>142</v>
      </c>
      <c r="I150" t="s">
        <v>156</v>
      </c>
      <c r="J150" t="s">
        <v>26</v>
      </c>
      <c r="K150" t="s">
        <v>157</v>
      </c>
      <c r="L150" t="s">
        <v>150</v>
      </c>
      <c r="M150" t="s">
        <v>144</v>
      </c>
      <c r="N150" t="s">
        <v>377</v>
      </c>
      <c r="O150">
        <v>1</v>
      </c>
      <c r="P150" t="s">
        <v>160</v>
      </c>
      <c r="R150">
        <v>755</v>
      </c>
      <c r="S150">
        <v>748</v>
      </c>
      <c r="T150" t="s">
        <v>172</v>
      </c>
      <c r="U150" t="s">
        <v>390</v>
      </c>
      <c r="V150" t="s">
        <v>27</v>
      </c>
      <c r="W150" t="s">
        <v>66</v>
      </c>
      <c r="X150" t="s">
        <v>67</v>
      </c>
      <c r="Y150" t="s">
        <v>138</v>
      </c>
      <c r="AA150" t="s">
        <v>494</v>
      </c>
      <c r="AC150" t="s">
        <v>139</v>
      </c>
      <c r="AD150" t="s">
        <v>778</v>
      </c>
      <c r="AG150" t="s">
        <v>156</v>
      </c>
      <c r="AH150" t="s">
        <v>68</v>
      </c>
      <c r="AI150" t="s">
        <v>493</v>
      </c>
      <c r="AK150" t="s">
        <v>779</v>
      </c>
    </row>
    <row r="151" spans="1:37" customFormat="1">
      <c r="A151" t="s">
        <v>23</v>
      </c>
      <c r="B151" t="s">
        <v>24</v>
      </c>
      <c r="C151" t="s">
        <v>320</v>
      </c>
      <c r="D151" t="s">
        <v>140</v>
      </c>
      <c r="E151" t="s">
        <v>371</v>
      </c>
      <c r="F151" t="s">
        <v>141</v>
      </c>
      <c r="G151" t="s">
        <v>136</v>
      </c>
      <c r="H151" t="s">
        <v>142</v>
      </c>
      <c r="I151" t="s">
        <v>156</v>
      </c>
      <c r="J151" t="s">
        <v>26</v>
      </c>
      <c r="K151" t="s">
        <v>157</v>
      </c>
      <c r="L151" t="s">
        <v>150</v>
      </c>
      <c r="M151" t="s">
        <v>144</v>
      </c>
      <c r="N151" t="s">
        <v>378</v>
      </c>
      <c r="O151">
        <v>1</v>
      </c>
      <c r="P151" t="s">
        <v>160</v>
      </c>
      <c r="R151">
        <v>754</v>
      </c>
      <c r="S151">
        <v>748</v>
      </c>
      <c r="T151" t="s">
        <v>172</v>
      </c>
      <c r="U151" t="s">
        <v>390</v>
      </c>
      <c r="V151" t="s">
        <v>27</v>
      </c>
      <c r="W151" t="s">
        <v>66</v>
      </c>
      <c r="X151" t="s">
        <v>67</v>
      </c>
      <c r="Y151" t="s">
        <v>138</v>
      </c>
      <c r="AA151" t="s">
        <v>494</v>
      </c>
      <c r="AC151" t="s">
        <v>139</v>
      </c>
      <c r="AD151" t="s">
        <v>780</v>
      </c>
      <c r="AG151" t="s">
        <v>156</v>
      </c>
      <c r="AH151" t="s">
        <v>68</v>
      </c>
      <c r="AI151" t="s">
        <v>493</v>
      </c>
      <c r="AK151" t="s">
        <v>781</v>
      </c>
    </row>
    <row r="152" spans="1:37" customFormat="1">
      <c r="A152" t="s">
        <v>23</v>
      </c>
      <c r="B152" t="s">
        <v>24</v>
      </c>
      <c r="C152" t="s">
        <v>320</v>
      </c>
      <c r="D152" t="s">
        <v>140</v>
      </c>
      <c r="E152" t="s">
        <v>371</v>
      </c>
      <c r="F152" t="s">
        <v>141</v>
      </c>
      <c r="G152" t="s">
        <v>136</v>
      </c>
      <c r="H152" t="s">
        <v>142</v>
      </c>
      <c r="I152" t="s">
        <v>156</v>
      </c>
      <c r="J152" t="s">
        <v>26</v>
      </c>
      <c r="K152" t="s">
        <v>157</v>
      </c>
      <c r="L152" t="s">
        <v>150</v>
      </c>
      <c r="M152" t="s">
        <v>144</v>
      </c>
      <c r="N152" t="s">
        <v>379</v>
      </c>
      <c r="O152">
        <v>1</v>
      </c>
      <c r="P152" t="s">
        <v>160</v>
      </c>
      <c r="R152">
        <v>753.5</v>
      </c>
      <c r="S152">
        <v>748</v>
      </c>
      <c r="T152" t="s">
        <v>172</v>
      </c>
      <c r="U152" t="s">
        <v>390</v>
      </c>
      <c r="V152" t="s">
        <v>27</v>
      </c>
      <c r="W152" t="s">
        <v>66</v>
      </c>
      <c r="X152" t="s">
        <v>67</v>
      </c>
      <c r="Y152" t="s">
        <v>138</v>
      </c>
      <c r="AA152" t="s">
        <v>494</v>
      </c>
      <c r="AC152" t="s">
        <v>139</v>
      </c>
      <c r="AD152" t="s">
        <v>782</v>
      </c>
      <c r="AG152" t="s">
        <v>156</v>
      </c>
      <c r="AH152" t="s">
        <v>68</v>
      </c>
      <c r="AI152" t="s">
        <v>493</v>
      </c>
      <c r="AK152" t="s">
        <v>783</v>
      </c>
    </row>
    <row r="153" spans="1:37" customFormat="1">
      <c r="A153" t="s">
        <v>23</v>
      </c>
      <c r="B153" t="s">
        <v>24</v>
      </c>
      <c r="C153" t="s">
        <v>320</v>
      </c>
      <c r="D153" t="s">
        <v>140</v>
      </c>
      <c r="E153" t="s">
        <v>371</v>
      </c>
      <c r="F153" t="s">
        <v>141</v>
      </c>
      <c r="G153" t="s">
        <v>136</v>
      </c>
      <c r="H153" t="s">
        <v>142</v>
      </c>
      <c r="I153" t="s">
        <v>156</v>
      </c>
      <c r="J153" t="s">
        <v>26</v>
      </c>
      <c r="K153" t="s">
        <v>157</v>
      </c>
      <c r="L153" t="s">
        <v>150</v>
      </c>
      <c r="M153" t="s">
        <v>144</v>
      </c>
      <c r="N153" t="s">
        <v>380</v>
      </c>
      <c r="O153">
        <v>1</v>
      </c>
      <c r="P153" t="s">
        <v>160</v>
      </c>
      <c r="R153">
        <v>753</v>
      </c>
      <c r="S153">
        <v>748</v>
      </c>
      <c r="T153" t="s">
        <v>172</v>
      </c>
      <c r="U153" t="s">
        <v>390</v>
      </c>
      <c r="V153" t="s">
        <v>27</v>
      </c>
      <c r="W153" t="s">
        <v>66</v>
      </c>
      <c r="X153" t="s">
        <v>67</v>
      </c>
      <c r="Y153" t="s">
        <v>138</v>
      </c>
      <c r="AA153" t="s">
        <v>494</v>
      </c>
      <c r="AC153" t="s">
        <v>139</v>
      </c>
      <c r="AD153" t="s">
        <v>784</v>
      </c>
      <c r="AG153" t="s">
        <v>156</v>
      </c>
      <c r="AH153" t="s">
        <v>68</v>
      </c>
      <c r="AI153" t="s">
        <v>493</v>
      </c>
      <c r="AK153" t="s">
        <v>785</v>
      </c>
    </row>
    <row r="154" spans="1:37" customFormat="1">
      <c r="A154" t="s">
        <v>23</v>
      </c>
      <c r="B154" t="s">
        <v>24</v>
      </c>
      <c r="C154" t="s">
        <v>320</v>
      </c>
      <c r="D154" t="s">
        <v>140</v>
      </c>
      <c r="E154" t="s">
        <v>371</v>
      </c>
      <c r="F154" t="s">
        <v>141</v>
      </c>
      <c r="G154" t="s">
        <v>136</v>
      </c>
      <c r="H154" t="s">
        <v>142</v>
      </c>
      <c r="I154" t="s">
        <v>156</v>
      </c>
      <c r="J154" t="s">
        <v>26</v>
      </c>
      <c r="K154" t="s">
        <v>157</v>
      </c>
      <c r="L154" t="s">
        <v>150</v>
      </c>
      <c r="M154" t="s">
        <v>144</v>
      </c>
      <c r="N154" t="s">
        <v>381</v>
      </c>
      <c r="O154">
        <v>1</v>
      </c>
      <c r="P154" t="s">
        <v>160</v>
      </c>
      <c r="R154">
        <v>748</v>
      </c>
      <c r="S154">
        <v>748</v>
      </c>
      <c r="T154" t="s">
        <v>172</v>
      </c>
      <c r="U154" t="s">
        <v>390</v>
      </c>
      <c r="V154" t="s">
        <v>27</v>
      </c>
      <c r="W154" t="s">
        <v>66</v>
      </c>
      <c r="X154" t="s">
        <v>67</v>
      </c>
      <c r="Y154" t="s">
        <v>138</v>
      </c>
      <c r="AA154" t="s">
        <v>494</v>
      </c>
      <c r="AC154" t="s">
        <v>139</v>
      </c>
      <c r="AD154" t="s">
        <v>786</v>
      </c>
      <c r="AG154" t="s">
        <v>156</v>
      </c>
      <c r="AH154" t="s">
        <v>68</v>
      </c>
      <c r="AI154" t="s">
        <v>493</v>
      </c>
      <c r="AK154" t="s">
        <v>787</v>
      </c>
    </row>
    <row r="155" spans="1:37" customFormat="1">
      <c r="A155" t="s">
        <v>23</v>
      </c>
      <c r="B155" t="s">
        <v>24</v>
      </c>
      <c r="C155" t="s">
        <v>338</v>
      </c>
      <c r="D155" t="s">
        <v>140</v>
      </c>
      <c r="E155" t="s">
        <v>382</v>
      </c>
      <c r="F155" t="s">
        <v>141</v>
      </c>
      <c r="G155" t="s">
        <v>136</v>
      </c>
      <c r="H155" t="s">
        <v>142</v>
      </c>
      <c r="I155" t="s">
        <v>156</v>
      </c>
      <c r="J155" t="s">
        <v>25</v>
      </c>
      <c r="K155" t="s">
        <v>157</v>
      </c>
      <c r="L155" t="s">
        <v>150</v>
      </c>
      <c r="M155" t="s">
        <v>144</v>
      </c>
      <c r="N155" t="s">
        <v>383</v>
      </c>
      <c r="O155">
        <v>11</v>
      </c>
      <c r="P155" t="s">
        <v>159</v>
      </c>
      <c r="R155">
        <v>195.5</v>
      </c>
      <c r="S155">
        <v>164.56</v>
      </c>
      <c r="T155" t="s">
        <v>172</v>
      </c>
      <c r="U155" t="s">
        <v>216</v>
      </c>
      <c r="V155" t="s">
        <v>27</v>
      </c>
      <c r="W155" t="s">
        <v>66</v>
      </c>
      <c r="X155" t="s">
        <v>67</v>
      </c>
      <c r="Y155" t="s">
        <v>138</v>
      </c>
      <c r="AA155" t="s">
        <v>494</v>
      </c>
      <c r="AC155" t="s">
        <v>139</v>
      </c>
      <c r="AD155" t="s">
        <v>788</v>
      </c>
      <c r="AG155" t="s">
        <v>156</v>
      </c>
      <c r="AH155" t="s">
        <v>68</v>
      </c>
      <c r="AI155" t="s">
        <v>493</v>
      </c>
    </row>
    <row r="156" spans="1:37" customFormat="1">
      <c r="A156" t="s">
        <v>23</v>
      </c>
      <c r="B156" t="s">
        <v>24</v>
      </c>
      <c r="C156" t="s">
        <v>384</v>
      </c>
      <c r="D156" t="s">
        <v>140</v>
      </c>
      <c r="E156" t="s">
        <v>385</v>
      </c>
      <c r="F156" t="s">
        <v>141</v>
      </c>
      <c r="G156" t="s">
        <v>136</v>
      </c>
      <c r="H156" t="s">
        <v>152</v>
      </c>
      <c r="I156" t="s">
        <v>156</v>
      </c>
      <c r="J156" t="s">
        <v>26</v>
      </c>
      <c r="K156" t="s">
        <v>157</v>
      </c>
      <c r="L156" t="s">
        <v>150</v>
      </c>
      <c r="M156" t="s">
        <v>144</v>
      </c>
      <c r="N156" t="s">
        <v>386</v>
      </c>
      <c r="O156">
        <v>1</v>
      </c>
      <c r="P156" t="s">
        <v>160</v>
      </c>
      <c r="R156">
        <v>867</v>
      </c>
      <c r="S156">
        <v>863</v>
      </c>
      <c r="T156" t="s">
        <v>172</v>
      </c>
      <c r="U156" t="s">
        <v>388</v>
      </c>
      <c r="V156" t="s">
        <v>27</v>
      </c>
      <c r="W156" t="s">
        <v>66</v>
      </c>
      <c r="X156" t="s">
        <v>67</v>
      </c>
      <c r="Y156" t="s">
        <v>138</v>
      </c>
      <c r="AA156" t="s">
        <v>494</v>
      </c>
      <c r="AC156" t="s">
        <v>139</v>
      </c>
      <c r="AD156" t="s">
        <v>789</v>
      </c>
      <c r="AG156" t="s">
        <v>156</v>
      </c>
      <c r="AH156" t="s">
        <v>68</v>
      </c>
      <c r="AI156" t="s">
        <v>493</v>
      </c>
      <c r="AK156" t="s">
        <v>790</v>
      </c>
    </row>
    <row r="157" spans="1:37" customFormat="1">
      <c r="A157" t="s">
        <v>23</v>
      </c>
      <c r="B157" t="s">
        <v>24</v>
      </c>
      <c r="C157" t="s">
        <v>384</v>
      </c>
      <c r="D157" t="s">
        <v>140</v>
      </c>
      <c r="E157" t="s">
        <v>385</v>
      </c>
      <c r="F157" t="s">
        <v>141</v>
      </c>
      <c r="G157" t="s">
        <v>136</v>
      </c>
      <c r="H157" t="s">
        <v>152</v>
      </c>
      <c r="I157" t="s">
        <v>156</v>
      </c>
      <c r="J157" t="s">
        <v>26</v>
      </c>
      <c r="K157" t="s">
        <v>157</v>
      </c>
      <c r="L157" t="s">
        <v>150</v>
      </c>
      <c r="M157" t="s">
        <v>144</v>
      </c>
      <c r="N157" t="s">
        <v>387</v>
      </c>
      <c r="O157">
        <v>1</v>
      </c>
      <c r="P157" t="s">
        <v>160</v>
      </c>
      <c r="R157">
        <v>870.5</v>
      </c>
      <c r="S157">
        <v>863</v>
      </c>
      <c r="T157" t="s">
        <v>172</v>
      </c>
      <c r="U157" t="s">
        <v>388</v>
      </c>
      <c r="V157" t="s">
        <v>27</v>
      </c>
      <c r="W157" t="s">
        <v>66</v>
      </c>
      <c r="X157" t="s">
        <v>67</v>
      </c>
      <c r="Y157" t="s">
        <v>138</v>
      </c>
      <c r="AA157" t="s">
        <v>494</v>
      </c>
      <c r="AC157" t="s">
        <v>139</v>
      </c>
      <c r="AD157" t="s">
        <v>791</v>
      </c>
      <c r="AG157" t="s">
        <v>156</v>
      </c>
      <c r="AH157" t="s">
        <v>68</v>
      </c>
      <c r="AI157" t="s">
        <v>493</v>
      </c>
      <c r="AK157" t="s">
        <v>792</v>
      </c>
    </row>
    <row r="158" spans="1:37" customFormat="1">
      <c r="A158" t="s">
        <v>23</v>
      </c>
      <c r="B158" t="s">
        <v>24</v>
      </c>
      <c r="C158" t="s">
        <v>384</v>
      </c>
      <c r="D158" t="s">
        <v>140</v>
      </c>
      <c r="E158" t="s">
        <v>385</v>
      </c>
      <c r="F158" t="s">
        <v>141</v>
      </c>
      <c r="G158" t="s">
        <v>136</v>
      </c>
      <c r="H158" t="s">
        <v>152</v>
      </c>
      <c r="I158" t="s">
        <v>156</v>
      </c>
      <c r="J158" t="s">
        <v>26</v>
      </c>
      <c r="K158" t="s">
        <v>157</v>
      </c>
      <c r="L158" t="s">
        <v>150</v>
      </c>
      <c r="M158" t="s">
        <v>144</v>
      </c>
      <c r="N158" t="s">
        <v>391</v>
      </c>
      <c r="O158">
        <v>1</v>
      </c>
      <c r="P158" t="s">
        <v>160</v>
      </c>
      <c r="R158">
        <v>869.5</v>
      </c>
      <c r="S158">
        <v>863</v>
      </c>
      <c r="T158" t="s">
        <v>172</v>
      </c>
      <c r="U158" t="s">
        <v>388</v>
      </c>
      <c r="V158" t="s">
        <v>27</v>
      </c>
      <c r="W158" t="s">
        <v>66</v>
      </c>
      <c r="X158" t="s">
        <v>67</v>
      </c>
      <c r="Y158" t="s">
        <v>138</v>
      </c>
      <c r="AA158" t="s">
        <v>494</v>
      </c>
      <c r="AC158" t="s">
        <v>139</v>
      </c>
      <c r="AD158" t="s">
        <v>793</v>
      </c>
      <c r="AG158" t="s">
        <v>156</v>
      </c>
      <c r="AH158" t="s">
        <v>68</v>
      </c>
      <c r="AI158" t="s">
        <v>493</v>
      </c>
      <c r="AK158" t="s">
        <v>794</v>
      </c>
    </row>
    <row r="159" spans="1:37" customFormat="1">
      <c r="A159" t="s">
        <v>23</v>
      </c>
      <c r="B159" t="s">
        <v>24</v>
      </c>
      <c r="C159" t="s">
        <v>384</v>
      </c>
      <c r="D159" t="s">
        <v>140</v>
      </c>
      <c r="E159" t="s">
        <v>385</v>
      </c>
      <c r="F159" t="s">
        <v>141</v>
      </c>
      <c r="G159" t="s">
        <v>136</v>
      </c>
      <c r="H159" t="s">
        <v>152</v>
      </c>
      <c r="I159" t="s">
        <v>156</v>
      </c>
      <c r="J159" t="s">
        <v>26</v>
      </c>
      <c r="K159" t="s">
        <v>157</v>
      </c>
      <c r="L159" t="s">
        <v>150</v>
      </c>
      <c r="M159" t="s">
        <v>144</v>
      </c>
      <c r="N159" t="s">
        <v>392</v>
      </c>
      <c r="O159">
        <v>1</v>
      </c>
      <c r="P159" t="s">
        <v>160</v>
      </c>
      <c r="R159">
        <v>870.5</v>
      </c>
      <c r="S159">
        <v>863</v>
      </c>
      <c r="T159" t="s">
        <v>172</v>
      </c>
      <c r="U159" t="s">
        <v>388</v>
      </c>
      <c r="V159" t="s">
        <v>27</v>
      </c>
      <c r="W159" t="s">
        <v>66</v>
      </c>
      <c r="X159" t="s">
        <v>67</v>
      </c>
      <c r="Y159" t="s">
        <v>138</v>
      </c>
      <c r="AA159" t="s">
        <v>494</v>
      </c>
      <c r="AC159" t="s">
        <v>139</v>
      </c>
      <c r="AD159" t="s">
        <v>795</v>
      </c>
      <c r="AG159" t="s">
        <v>156</v>
      </c>
      <c r="AH159" t="s">
        <v>68</v>
      </c>
      <c r="AI159" t="s">
        <v>493</v>
      </c>
      <c r="AK159" t="s">
        <v>796</v>
      </c>
    </row>
    <row r="160" spans="1:37" customFormat="1">
      <c r="A160" t="s">
        <v>23</v>
      </c>
      <c r="B160" t="s">
        <v>24</v>
      </c>
      <c r="C160" t="s">
        <v>384</v>
      </c>
      <c r="D160" t="s">
        <v>140</v>
      </c>
      <c r="E160" t="s">
        <v>385</v>
      </c>
      <c r="F160" t="s">
        <v>141</v>
      </c>
      <c r="G160" t="s">
        <v>136</v>
      </c>
      <c r="H160" t="s">
        <v>152</v>
      </c>
      <c r="I160" t="s">
        <v>156</v>
      </c>
      <c r="J160" t="s">
        <v>26</v>
      </c>
      <c r="K160" t="s">
        <v>157</v>
      </c>
      <c r="L160" t="s">
        <v>150</v>
      </c>
      <c r="M160" t="s">
        <v>144</v>
      </c>
      <c r="N160" t="s">
        <v>393</v>
      </c>
      <c r="O160">
        <v>1</v>
      </c>
      <c r="P160" t="s">
        <v>160</v>
      </c>
      <c r="R160">
        <v>871</v>
      </c>
      <c r="S160">
        <v>863</v>
      </c>
      <c r="T160" t="s">
        <v>172</v>
      </c>
      <c r="U160" t="s">
        <v>388</v>
      </c>
      <c r="V160" t="s">
        <v>27</v>
      </c>
      <c r="W160" t="s">
        <v>66</v>
      </c>
      <c r="X160" t="s">
        <v>67</v>
      </c>
      <c r="Y160" t="s">
        <v>138</v>
      </c>
      <c r="AA160" t="s">
        <v>494</v>
      </c>
      <c r="AC160" t="s">
        <v>139</v>
      </c>
      <c r="AD160" t="s">
        <v>797</v>
      </c>
      <c r="AG160" t="s">
        <v>156</v>
      </c>
      <c r="AH160" t="s">
        <v>68</v>
      </c>
      <c r="AI160" t="s">
        <v>493</v>
      </c>
      <c r="AK160" t="s">
        <v>798</v>
      </c>
    </row>
    <row r="161" spans="1:37" customFormat="1">
      <c r="A161" t="s">
        <v>23</v>
      </c>
      <c r="B161" t="s">
        <v>24</v>
      </c>
      <c r="C161" t="s">
        <v>384</v>
      </c>
      <c r="D161" t="s">
        <v>140</v>
      </c>
      <c r="E161" t="s">
        <v>385</v>
      </c>
      <c r="F161" t="s">
        <v>141</v>
      </c>
      <c r="G161" t="s">
        <v>136</v>
      </c>
      <c r="H161" t="s">
        <v>152</v>
      </c>
      <c r="I161" t="s">
        <v>156</v>
      </c>
      <c r="J161" t="s">
        <v>26</v>
      </c>
      <c r="K161" t="s">
        <v>157</v>
      </c>
      <c r="L161" t="s">
        <v>150</v>
      </c>
      <c r="M161" t="s">
        <v>144</v>
      </c>
      <c r="N161" t="s">
        <v>394</v>
      </c>
      <c r="O161">
        <v>1</v>
      </c>
      <c r="P161" t="s">
        <v>160</v>
      </c>
      <c r="R161">
        <v>871.5</v>
      </c>
      <c r="S161">
        <v>863</v>
      </c>
      <c r="T161" t="s">
        <v>172</v>
      </c>
      <c r="U161" t="s">
        <v>388</v>
      </c>
      <c r="V161" t="s">
        <v>27</v>
      </c>
      <c r="W161" t="s">
        <v>66</v>
      </c>
      <c r="X161" t="s">
        <v>67</v>
      </c>
      <c r="Y161" t="s">
        <v>138</v>
      </c>
      <c r="AA161" t="s">
        <v>494</v>
      </c>
      <c r="AC161" t="s">
        <v>139</v>
      </c>
      <c r="AD161" t="s">
        <v>799</v>
      </c>
      <c r="AG161" t="s">
        <v>156</v>
      </c>
      <c r="AH161" t="s">
        <v>68</v>
      </c>
      <c r="AI161" t="s">
        <v>493</v>
      </c>
      <c r="AK161" t="s">
        <v>800</v>
      </c>
    </row>
    <row r="162" spans="1:37" customFormat="1">
      <c r="A162" t="s">
        <v>23</v>
      </c>
      <c r="B162" t="s">
        <v>24</v>
      </c>
      <c r="C162" t="s">
        <v>384</v>
      </c>
      <c r="D162" t="s">
        <v>140</v>
      </c>
      <c r="E162" t="s">
        <v>385</v>
      </c>
      <c r="F162" t="s">
        <v>141</v>
      </c>
      <c r="G162" t="s">
        <v>136</v>
      </c>
      <c r="H162" t="s">
        <v>152</v>
      </c>
      <c r="I162" t="s">
        <v>156</v>
      </c>
      <c r="J162" t="s">
        <v>26</v>
      </c>
      <c r="K162" t="s">
        <v>157</v>
      </c>
      <c r="L162" t="s">
        <v>150</v>
      </c>
      <c r="M162" t="s">
        <v>144</v>
      </c>
      <c r="N162" t="s">
        <v>395</v>
      </c>
      <c r="O162">
        <v>1</v>
      </c>
      <c r="P162" t="s">
        <v>160</v>
      </c>
      <c r="R162">
        <v>869.5</v>
      </c>
      <c r="S162">
        <v>863</v>
      </c>
      <c r="T162" t="s">
        <v>172</v>
      </c>
      <c r="U162" t="s">
        <v>388</v>
      </c>
      <c r="V162" t="s">
        <v>27</v>
      </c>
      <c r="W162" t="s">
        <v>66</v>
      </c>
      <c r="X162" t="s">
        <v>67</v>
      </c>
      <c r="Y162" t="s">
        <v>138</v>
      </c>
      <c r="AA162" t="s">
        <v>494</v>
      </c>
      <c r="AC162" t="s">
        <v>139</v>
      </c>
      <c r="AD162" t="s">
        <v>801</v>
      </c>
      <c r="AG162" t="s">
        <v>156</v>
      </c>
      <c r="AH162" t="s">
        <v>68</v>
      </c>
      <c r="AI162" t="s">
        <v>493</v>
      </c>
      <c r="AK162" t="s">
        <v>802</v>
      </c>
    </row>
    <row r="163" spans="1:37" customFormat="1">
      <c r="A163" t="s">
        <v>23</v>
      </c>
      <c r="B163" t="s">
        <v>24</v>
      </c>
      <c r="C163" t="s">
        <v>384</v>
      </c>
      <c r="D163" t="s">
        <v>140</v>
      </c>
      <c r="E163" t="s">
        <v>385</v>
      </c>
      <c r="F163" t="s">
        <v>141</v>
      </c>
      <c r="G163" t="s">
        <v>136</v>
      </c>
      <c r="H163" t="s">
        <v>152</v>
      </c>
      <c r="I163" t="s">
        <v>156</v>
      </c>
      <c r="J163" t="s">
        <v>26</v>
      </c>
      <c r="K163" t="s">
        <v>157</v>
      </c>
      <c r="L163" t="s">
        <v>150</v>
      </c>
      <c r="M163" t="s">
        <v>144</v>
      </c>
      <c r="N163" t="s">
        <v>396</v>
      </c>
      <c r="O163">
        <v>1</v>
      </c>
      <c r="P163" t="s">
        <v>160</v>
      </c>
      <c r="R163">
        <v>871.5</v>
      </c>
      <c r="S163">
        <v>863</v>
      </c>
      <c r="T163" t="s">
        <v>172</v>
      </c>
      <c r="U163" t="s">
        <v>388</v>
      </c>
      <c r="V163" t="s">
        <v>27</v>
      </c>
      <c r="W163" t="s">
        <v>66</v>
      </c>
      <c r="X163" t="s">
        <v>67</v>
      </c>
      <c r="Y163" t="s">
        <v>138</v>
      </c>
      <c r="AA163" t="s">
        <v>494</v>
      </c>
      <c r="AC163" t="s">
        <v>139</v>
      </c>
      <c r="AD163" t="s">
        <v>803</v>
      </c>
      <c r="AG163" t="s">
        <v>156</v>
      </c>
      <c r="AH163" t="s">
        <v>68</v>
      </c>
      <c r="AI163" t="s">
        <v>493</v>
      </c>
      <c r="AK163" t="s">
        <v>804</v>
      </c>
    </row>
    <row r="164" spans="1:37" customFormat="1">
      <c r="A164" t="s">
        <v>23</v>
      </c>
      <c r="B164" t="s">
        <v>24</v>
      </c>
      <c r="C164" t="s">
        <v>384</v>
      </c>
      <c r="D164" t="s">
        <v>140</v>
      </c>
      <c r="E164" t="s">
        <v>385</v>
      </c>
      <c r="F164" t="s">
        <v>141</v>
      </c>
      <c r="G164" t="s">
        <v>136</v>
      </c>
      <c r="H164" t="s">
        <v>152</v>
      </c>
      <c r="I164" t="s">
        <v>156</v>
      </c>
      <c r="J164" t="s">
        <v>26</v>
      </c>
      <c r="K164" t="s">
        <v>157</v>
      </c>
      <c r="L164" t="s">
        <v>150</v>
      </c>
      <c r="M164" t="s">
        <v>144</v>
      </c>
      <c r="N164" t="s">
        <v>397</v>
      </c>
      <c r="O164">
        <v>1</v>
      </c>
      <c r="P164" t="s">
        <v>160</v>
      </c>
      <c r="R164">
        <v>871</v>
      </c>
      <c r="S164">
        <v>863</v>
      </c>
      <c r="T164" t="s">
        <v>172</v>
      </c>
      <c r="U164" t="s">
        <v>388</v>
      </c>
      <c r="V164" t="s">
        <v>27</v>
      </c>
      <c r="W164" t="s">
        <v>66</v>
      </c>
      <c r="X164" t="s">
        <v>67</v>
      </c>
      <c r="Y164" t="s">
        <v>138</v>
      </c>
      <c r="AA164" t="s">
        <v>494</v>
      </c>
      <c r="AC164" t="s">
        <v>139</v>
      </c>
      <c r="AD164" t="s">
        <v>805</v>
      </c>
      <c r="AG164" t="s">
        <v>156</v>
      </c>
      <c r="AH164" t="s">
        <v>68</v>
      </c>
      <c r="AI164" t="s">
        <v>493</v>
      </c>
      <c r="AK164" t="s">
        <v>806</v>
      </c>
    </row>
    <row r="165" spans="1:37" customFormat="1">
      <c r="A165" t="s">
        <v>23</v>
      </c>
      <c r="B165" t="s">
        <v>24</v>
      </c>
      <c r="C165" t="s">
        <v>384</v>
      </c>
      <c r="D165" t="s">
        <v>140</v>
      </c>
      <c r="E165" t="s">
        <v>385</v>
      </c>
      <c r="F165" t="s">
        <v>141</v>
      </c>
      <c r="G165" t="s">
        <v>136</v>
      </c>
      <c r="H165" t="s">
        <v>152</v>
      </c>
      <c r="I165" t="s">
        <v>156</v>
      </c>
      <c r="J165" t="s">
        <v>26</v>
      </c>
      <c r="K165" t="s">
        <v>157</v>
      </c>
      <c r="L165" t="s">
        <v>150</v>
      </c>
      <c r="M165" t="s">
        <v>144</v>
      </c>
      <c r="N165" t="s">
        <v>398</v>
      </c>
      <c r="O165">
        <v>1</v>
      </c>
      <c r="P165" t="s">
        <v>160</v>
      </c>
      <c r="R165">
        <v>867.5</v>
      </c>
      <c r="S165">
        <v>863</v>
      </c>
      <c r="T165" t="s">
        <v>172</v>
      </c>
      <c r="U165" t="s">
        <v>388</v>
      </c>
      <c r="V165" t="s">
        <v>27</v>
      </c>
      <c r="W165" t="s">
        <v>66</v>
      </c>
      <c r="X165" t="s">
        <v>67</v>
      </c>
      <c r="Y165" t="s">
        <v>138</v>
      </c>
      <c r="AA165" t="s">
        <v>494</v>
      </c>
      <c r="AC165" t="s">
        <v>139</v>
      </c>
      <c r="AD165" t="s">
        <v>807</v>
      </c>
      <c r="AG165" t="s">
        <v>156</v>
      </c>
      <c r="AH165" t="s">
        <v>68</v>
      </c>
      <c r="AI165" t="s">
        <v>493</v>
      </c>
      <c r="AK165" t="s">
        <v>808</v>
      </c>
    </row>
    <row r="166" spans="1:37" customFormat="1">
      <c r="A166" t="s">
        <v>23</v>
      </c>
      <c r="B166" t="s">
        <v>24</v>
      </c>
      <c r="C166" t="s">
        <v>384</v>
      </c>
      <c r="D166" t="s">
        <v>140</v>
      </c>
      <c r="E166" t="s">
        <v>385</v>
      </c>
      <c r="F166" t="s">
        <v>141</v>
      </c>
      <c r="G166" t="s">
        <v>136</v>
      </c>
      <c r="H166" t="s">
        <v>152</v>
      </c>
      <c r="I166" t="s">
        <v>156</v>
      </c>
      <c r="J166" t="s">
        <v>26</v>
      </c>
      <c r="K166" t="s">
        <v>157</v>
      </c>
      <c r="L166" t="s">
        <v>150</v>
      </c>
      <c r="M166" t="s">
        <v>144</v>
      </c>
      <c r="N166" t="s">
        <v>399</v>
      </c>
      <c r="O166">
        <v>1</v>
      </c>
      <c r="P166" t="s">
        <v>160</v>
      </c>
      <c r="R166">
        <v>868.5</v>
      </c>
      <c r="S166">
        <v>863</v>
      </c>
      <c r="T166" t="s">
        <v>172</v>
      </c>
      <c r="U166" t="s">
        <v>388</v>
      </c>
      <c r="V166" t="s">
        <v>27</v>
      </c>
      <c r="W166" t="s">
        <v>66</v>
      </c>
      <c r="X166" t="s">
        <v>67</v>
      </c>
      <c r="Y166" t="s">
        <v>138</v>
      </c>
      <c r="AA166" t="s">
        <v>494</v>
      </c>
      <c r="AC166" t="s">
        <v>139</v>
      </c>
      <c r="AD166" t="s">
        <v>809</v>
      </c>
      <c r="AG166" t="s">
        <v>156</v>
      </c>
      <c r="AH166" t="s">
        <v>68</v>
      </c>
      <c r="AI166" t="s">
        <v>493</v>
      </c>
      <c r="AK166" t="s">
        <v>810</v>
      </c>
    </row>
    <row r="167" spans="1:37" customFormat="1">
      <c r="A167" t="s">
        <v>23</v>
      </c>
      <c r="B167" t="s">
        <v>24</v>
      </c>
      <c r="C167" t="s">
        <v>384</v>
      </c>
      <c r="D167" t="s">
        <v>140</v>
      </c>
      <c r="E167" t="s">
        <v>385</v>
      </c>
      <c r="F167" t="s">
        <v>141</v>
      </c>
      <c r="G167" t="s">
        <v>136</v>
      </c>
      <c r="H167" t="s">
        <v>152</v>
      </c>
      <c r="I167" t="s">
        <v>156</v>
      </c>
      <c r="J167" t="s">
        <v>26</v>
      </c>
      <c r="K167" t="s">
        <v>157</v>
      </c>
      <c r="L167" t="s">
        <v>150</v>
      </c>
      <c r="M167" t="s">
        <v>144</v>
      </c>
      <c r="N167" t="s">
        <v>400</v>
      </c>
      <c r="O167">
        <v>1</v>
      </c>
      <c r="P167" t="s">
        <v>160</v>
      </c>
      <c r="R167">
        <v>871</v>
      </c>
      <c r="S167">
        <v>863</v>
      </c>
      <c r="T167" t="s">
        <v>172</v>
      </c>
      <c r="U167" t="s">
        <v>388</v>
      </c>
      <c r="V167" t="s">
        <v>27</v>
      </c>
      <c r="W167" t="s">
        <v>66</v>
      </c>
      <c r="X167" t="s">
        <v>67</v>
      </c>
      <c r="Y167" t="s">
        <v>138</v>
      </c>
      <c r="AA167" t="s">
        <v>494</v>
      </c>
      <c r="AC167" t="s">
        <v>139</v>
      </c>
      <c r="AD167" t="s">
        <v>811</v>
      </c>
      <c r="AG167" t="s">
        <v>156</v>
      </c>
      <c r="AH167" t="s">
        <v>68</v>
      </c>
      <c r="AI167" t="s">
        <v>493</v>
      </c>
      <c r="AK167" t="s">
        <v>812</v>
      </c>
    </row>
    <row r="168" spans="1:37" customFormat="1">
      <c r="A168" t="s">
        <v>23</v>
      </c>
      <c r="B168" t="s">
        <v>24</v>
      </c>
      <c r="C168" t="s">
        <v>384</v>
      </c>
      <c r="D168" t="s">
        <v>140</v>
      </c>
      <c r="E168" t="s">
        <v>385</v>
      </c>
      <c r="F168" t="s">
        <v>141</v>
      </c>
      <c r="G168" t="s">
        <v>136</v>
      </c>
      <c r="H168" t="s">
        <v>152</v>
      </c>
      <c r="I168" t="s">
        <v>156</v>
      </c>
      <c r="J168" t="s">
        <v>26</v>
      </c>
      <c r="K168" t="s">
        <v>157</v>
      </c>
      <c r="L168" t="s">
        <v>150</v>
      </c>
      <c r="M168" t="s">
        <v>144</v>
      </c>
      <c r="N168" t="s">
        <v>401</v>
      </c>
      <c r="O168">
        <v>1</v>
      </c>
      <c r="P168" t="s">
        <v>160</v>
      </c>
      <c r="R168">
        <v>869.5</v>
      </c>
      <c r="S168">
        <v>863</v>
      </c>
      <c r="T168" t="s">
        <v>172</v>
      </c>
      <c r="U168" t="s">
        <v>388</v>
      </c>
      <c r="V168" t="s">
        <v>27</v>
      </c>
      <c r="W168" t="s">
        <v>66</v>
      </c>
      <c r="X168" t="s">
        <v>67</v>
      </c>
      <c r="Y168" t="s">
        <v>138</v>
      </c>
      <c r="AA168" t="s">
        <v>494</v>
      </c>
      <c r="AC168" t="s">
        <v>139</v>
      </c>
      <c r="AD168" t="s">
        <v>813</v>
      </c>
      <c r="AG168" t="s">
        <v>156</v>
      </c>
      <c r="AH168" t="s">
        <v>68</v>
      </c>
      <c r="AI168" t="s">
        <v>493</v>
      </c>
      <c r="AK168" t="s">
        <v>814</v>
      </c>
    </row>
    <row r="169" spans="1:37" customFormat="1">
      <c r="A169" t="s">
        <v>23</v>
      </c>
      <c r="B169" t="s">
        <v>24</v>
      </c>
      <c r="C169" t="s">
        <v>384</v>
      </c>
      <c r="D169" t="s">
        <v>140</v>
      </c>
      <c r="E169" t="s">
        <v>385</v>
      </c>
      <c r="F169" t="s">
        <v>141</v>
      </c>
      <c r="G169" t="s">
        <v>136</v>
      </c>
      <c r="H169" t="s">
        <v>152</v>
      </c>
      <c r="I169" t="s">
        <v>156</v>
      </c>
      <c r="J169" t="s">
        <v>26</v>
      </c>
      <c r="K169" t="s">
        <v>157</v>
      </c>
      <c r="L169" t="s">
        <v>150</v>
      </c>
      <c r="M169" t="s">
        <v>144</v>
      </c>
      <c r="N169" t="s">
        <v>402</v>
      </c>
      <c r="O169">
        <v>1</v>
      </c>
      <c r="P169" t="s">
        <v>160</v>
      </c>
      <c r="R169">
        <v>870</v>
      </c>
      <c r="S169">
        <v>863</v>
      </c>
      <c r="T169" t="s">
        <v>172</v>
      </c>
      <c r="U169" t="s">
        <v>388</v>
      </c>
      <c r="V169" t="s">
        <v>27</v>
      </c>
      <c r="W169" t="s">
        <v>66</v>
      </c>
      <c r="X169" t="s">
        <v>67</v>
      </c>
      <c r="Y169" t="s">
        <v>138</v>
      </c>
      <c r="AA169" t="s">
        <v>494</v>
      </c>
      <c r="AC169" t="s">
        <v>139</v>
      </c>
      <c r="AD169" t="s">
        <v>815</v>
      </c>
      <c r="AG169" t="s">
        <v>156</v>
      </c>
      <c r="AH169" t="s">
        <v>68</v>
      </c>
      <c r="AI169" t="s">
        <v>493</v>
      </c>
      <c r="AK169" t="s">
        <v>816</v>
      </c>
    </row>
    <row r="170" spans="1:37" customFormat="1">
      <c r="A170" t="s">
        <v>23</v>
      </c>
      <c r="B170" t="s">
        <v>24</v>
      </c>
      <c r="C170" t="s">
        <v>384</v>
      </c>
      <c r="D170" t="s">
        <v>140</v>
      </c>
      <c r="E170" t="s">
        <v>385</v>
      </c>
      <c r="F170" t="s">
        <v>141</v>
      </c>
      <c r="G170" t="s">
        <v>136</v>
      </c>
      <c r="H170" t="s">
        <v>152</v>
      </c>
      <c r="I170" t="s">
        <v>156</v>
      </c>
      <c r="J170" t="s">
        <v>26</v>
      </c>
      <c r="K170" t="s">
        <v>157</v>
      </c>
      <c r="L170" t="s">
        <v>150</v>
      </c>
      <c r="M170" t="s">
        <v>144</v>
      </c>
      <c r="N170" t="s">
        <v>403</v>
      </c>
      <c r="O170">
        <v>1</v>
      </c>
      <c r="P170" t="s">
        <v>160</v>
      </c>
      <c r="R170">
        <v>871</v>
      </c>
      <c r="S170">
        <v>863</v>
      </c>
      <c r="T170" t="s">
        <v>172</v>
      </c>
      <c r="U170" t="s">
        <v>388</v>
      </c>
      <c r="V170" t="s">
        <v>27</v>
      </c>
      <c r="W170" t="s">
        <v>66</v>
      </c>
      <c r="X170" t="s">
        <v>67</v>
      </c>
      <c r="Y170" t="s">
        <v>138</v>
      </c>
      <c r="AA170" t="s">
        <v>494</v>
      </c>
      <c r="AC170" t="s">
        <v>139</v>
      </c>
      <c r="AD170" t="s">
        <v>817</v>
      </c>
      <c r="AG170" t="s">
        <v>156</v>
      </c>
      <c r="AH170" t="s">
        <v>68</v>
      </c>
      <c r="AI170" t="s">
        <v>493</v>
      </c>
      <c r="AK170" t="s">
        <v>818</v>
      </c>
    </row>
    <row r="171" spans="1:37" customFormat="1">
      <c r="A171" t="s">
        <v>23</v>
      </c>
      <c r="B171" t="s">
        <v>24</v>
      </c>
      <c r="C171" t="s">
        <v>404</v>
      </c>
      <c r="D171" t="s">
        <v>140</v>
      </c>
      <c r="E171" t="s">
        <v>405</v>
      </c>
      <c r="F171" t="s">
        <v>141</v>
      </c>
      <c r="G171" t="s">
        <v>136</v>
      </c>
      <c r="H171" t="s">
        <v>152</v>
      </c>
      <c r="I171" t="s">
        <v>156</v>
      </c>
      <c r="J171" t="s">
        <v>25</v>
      </c>
      <c r="K171" t="s">
        <v>157</v>
      </c>
      <c r="L171" t="s">
        <v>150</v>
      </c>
      <c r="M171" t="s">
        <v>144</v>
      </c>
      <c r="N171" t="s">
        <v>406</v>
      </c>
      <c r="O171">
        <v>24</v>
      </c>
      <c r="P171" t="s">
        <v>159</v>
      </c>
      <c r="R171">
        <v>446.5</v>
      </c>
      <c r="S171">
        <v>414.24</v>
      </c>
      <c r="T171" t="s">
        <v>172</v>
      </c>
      <c r="U171" t="s">
        <v>216</v>
      </c>
      <c r="V171" t="s">
        <v>27</v>
      </c>
      <c r="W171" t="s">
        <v>66</v>
      </c>
      <c r="X171" t="s">
        <v>67</v>
      </c>
      <c r="Y171" t="s">
        <v>138</v>
      </c>
      <c r="AA171" t="s">
        <v>494</v>
      </c>
      <c r="AC171" t="s">
        <v>139</v>
      </c>
      <c r="AD171" t="s">
        <v>819</v>
      </c>
      <c r="AG171" t="s">
        <v>156</v>
      </c>
      <c r="AH171" t="s">
        <v>68</v>
      </c>
      <c r="AI171" t="s">
        <v>493</v>
      </c>
    </row>
    <row r="172" spans="1:37" customFormat="1">
      <c r="A172" t="s">
        <v>23</v>
      </c>
      <c r="B172" t="s">
        <v>24</v>
      </c>
      <c r="C172" t="s">
        <v>197</v>
      </c>
      <c r="D172" t="s">
        <v>140</v>
      </c>
      <c r="E172" t="s">
        <v>407</v>
      </c>
      <c r="F172" t="s">
        <v>141</v>
      </c>
      <c r="G172" t="s">
        <v>136</v>
      </c>
      <c r="H172" t="s">
        <v>186</v>
      </c>
      <c r="I172" t="s">
        <v>156</v>
      </c>
      <c r="J172" t="s">
        <v>26</v>
      </c>
      <c r="K172" t="s">
        <v>157</v>
      </c>
      <c r="L172" t="s">
        <v>150</v>
      </c>
      <c r="M172" t="s">
        <v>144</v>
      </c>
      <c r="N172" t="s">
        <v>408</v>
      </c>
      <c r="O172">
        <v>1</v>
      </c>
      <c r="P172" t="s">
        <v>160</v>
      </c>
      <c r="R172">
        <v>678.5</v>
      </c>
      <c r="S172">
        <v>674.5</v>
      </c>
      <c r="T172" t="s">
        <v>172</v>
      </c>
      <c r="U172" t="s">
        <v>409</v>
      </c>
      <c r="V172" t="s">
        <v>27</v>
      </c>
      <c r="W172" t="s">
        <v>66</v>
      </c>
      <c r="X172" t="s">
        <v>67</v>
      </c>
      <c r="Y172" t="s">
        <v>138</v>
      </c>
      <c r="AA172" t="s">
        <v>494</v>
      </c>
      <c r="AC172" t="s">
        <v>139</v>
      </c>
      <c r="AD172" t="s">
        <v>820</v>
      </c>
      <c r="AG172" t="s">
        <v>156</v>
      </c>
      <c r="AH172" t="s">
        <v>68</v>
      </c>
      <c r="AI172" t="s">
        <v>493</v>
      </c>
      <c r="AK172" t="s">
        <v>821</v>
      </c>
    </row>
    <row r="173" spans="1:37" customFormat="1">
      <c r="A173" t="s">
        <v>23</v>
      </c>
      <c r="B173" t="s">
        <v>24</v>
      </c>
      <c r="C173" t="s">
        <v>197</v>
      </c>
      <c r="D173" t="s">
        <v>140</v>
      </c>
      <c r="E173" t="s">
        <v>407</v>
      </c>
      <c r="F173" t="s">
        <v>141</v>
      </c>
      <c r="G173" t="s">
        <v>136</v>
      </c>
      <c r="H173" t="s">
        <v>186</v>
      </c>
      <c r="I173" t="s">
        <v>156</v>
      </c>
      <c r="J173" t="s">
        <v>26</v>
      </c>
      <c r="K173" t="s">
        <v>157</v>
      </c>
      <c r="L173" t="s">
        <v>150</v>
      </c>
      <c r="M173" t="s">
        <v>144</v>
      </c>
      <c r="N173" t="s">
        <v>410</v>
      </c>
      <c r="O173">
        <v>1</v>
      </c>
      <c r="P173" t="s">
        <v>160</v>
      </c>
      <c r="R173">
        <v>679</v>
      </c>
      <c r="S173">
        <v>674.5</v>
      </c>
      <c r="T173" t="s">
        <v>172</v>
      </c>
      <c r="U173" t="s">
        <v>409</v>
      </c>
      <c r="V173" t="s">
        <v>27</v>
      </c>
      <c r="W173" t="s">
        <v>66</v>
      </c>
      <c r="X173" t="s">
        <v>67</v>
      </c>
      <c r="Y173" t="s">
        <v>138</v>
      </c>
      <c r="AA173" t="s">
        <v>494</v>
      </c>
      <c r="AC173" t="s">
        <v>139</v>
      </c>
      <c r="AD173" t="s">
        <v>822</v>
      </c>
      <c r="AG173" t="s">
        <v>156</v>
      </c>
      <c r="AH173" t="s">
        <v>68</v>
      </c>
      <c r="AI173" t="s">
        <v>493</v>
      </c>
      <c r="AK173" t="s">
        <v>823</v>
      </c>
    </row>
    <row r="174" spans="1:37" customFormat="1">
      <c r="A174" t="s">
        <v>23</v>
      </c>
      <c r="B174" t="s">
        <v>24</v>
      </c>
      <c r="C174" t="s">
        <v>197</v>
      </c>
      <c r="D174" t="s">
        <v>140</v>
      </c>
      <c r="E174" t="s">
        <v>407</v>
      </c>
      <c r="F174" t="s">
        <v>141</v>
      </c>
      <c r="G174" t="s">
        <v>136</v>
      </c>
      <c r="H174" t="s">
        <v>186</v>
      </c>
      <c r="I174" t="s">
        <v>156</v>
      </c>
      <c r="J174" t="s">
        <v>26</v>
      </c>
      <c r="K174" t="s">
        <v>157</v>
      </c>
      <c r="L174" t="s">
        <v>150</v>
      </c>
      <c r="M174" t="s">
        <v>144</v>
      </c>
      <c r="N174" t="s">
        <v>411</v>
      </c>
      <c r="O174">
        <v>1</v>
      </c>
      <c r="P174" t="s">
        <v>160</v>
      </c>
      <c r="R174">
        <v>679.5</v>
      </c>
      <c r="S174">
        <v>674.5</v>
      </c>
      <c r="T174" t="s">
        <v>172</v>
      </c>
      <c r="U174" t="s">
        <v>409</v>
      </c>
      <c r="V174" t="s">
        <v>27</v>
      </c>
      <c r="W174" t="s">
        <v>66</v>
      </c>
      <c r="X174" t="s">
        <v>67</v>
      </c>
      <c r="Y174" t="s">
        <v>138</v>
      </c>
      <c r="AA174" t="s">
        <v>494</v>
      </c>
      <c r="AC174" t="s">
        <v>139</v>
      </c>
      <c r="AD174" t="s">
        <v>824</v>
      </c>
      <c r="AG174" t="s">
        <v>156</v>
      </c>
      <c r="AH174" t="s">
        <v>68</v>
      </c>
      <c r="AI174" t="s">
        <v>493</v>
      </c>
      <c r="AK174" t="s">
        <v>825</v>
      </c>
    </row>
    <row r="175" spans="1:37" customFormat="1">
      <c r="A175" t="s">
        <v>23</v>
      </c>
      <c r="B175" t="s">
        <v>24</v>
      </c>
      <c r="C175" t="s">
        <v>197</v>
      </c>
      <c r="D175" t="s">
        <v>140</v>
      </c>
      <c r="E175" t="s">
        <v>407</v>
      </c>
      <c r="F175" t="s">
        <v>141</v>
      </c>
      <c r="G175" t="s">
        <v>136</v>
      </c>
      <c r="H175" t="s">
        <v>186</v>
      </c>
      <c r="I175" t="s">
        <v>156</v>
      </c>
      <c r="J175" t="s">
        <v>26</v>
      </c>
      <c r="K175" t="s">
        <v>157</v>
      </c>
      <c r="L175" t="s">
        <v>150</v>
      </c>
      <c r="M175" t="s">
        <v>144</v>
      </c>
      <c r="N175" t="s">
        <v>412</v>
      </c>
      <c r="O175">
        <v>1</v>
      </c>
      <c r="P175" t="s">
        <v>160</v>
      </c>
      <c r="R175">
        <v>679</v>
      </c>
      <c r="S175">
        <v>674.5</v>
      </c>
      <c r="T175" t="s">
        <v>172</v>
      </c>
      <c r="U175" t="s">
        <v>409</v>
      </c>
      <c r="V175" t="s">
        <v>27</v>
      </c>
      <c r="W175" t="s">
        <v>66</v>
      </c>
      <c r="X175" t="s">
        <v>67</v>
      </c>
      <c r="Y175" t="s">
        <v>138</v>
      </c>
      <c r="AA175" t="s">
        <v>494</v>
      </c>
      <c r="AC175" t="s">
        <v>139</v>
      </c>
      <c r="AD175" t="s">
        <v>826</v>
      </c>
      <c r="AG175" t="s">
        <v>156</v>
      </c>
      <c r="AH175" t="s">
        <v>68</v>
      </c>
      <c r="AI175" t="s">
        <v>493</v>
      </c>
      <c r="AK175" t="s">
        <v>827</v>
      </c>
    </row>
    <row r="176" spans="1:37" customFormat="1">
      <c r="A176" t="s">
        <v>23</v>
      </c>
      <c r="B176" t="s">
        <v>24</v>
      </c>
      <c r="C176" t="s">
        <v>197</v>
      </c>
      <c r="D176" t="s">
        <v>140</v>
      </c>
      <c r="E176" t="s">
        <v>407</v>
      </c>
      <c r="F176" t="s">
        <v>141</v>
      </c>
      <c r="G176" t="s">
        <v>136</v>
      </c>
      <c r="H176" t="s">
        <v>186</v>
      </c>
      <c r="I176" t="s">
        <v>156</v>
      </c>
      <c r="J176" t="s">
        <v>26</v>
      </c>
      <c r="K176" t="s">
        <v>157</v>
      </c>
      <c r="L176" t="s">
        <v>150</v>
      </c>
      <c r="M176" t="s">
        <v>144</v>
      </c>
      <c r="N176" t="s">
        <v>413</v>
      </c>
      <c r="O176">
        <v>1</v>
      </c>
      <c r="P176" t="s">
        <v>160</v>
      </c>
      <c r="R176">
        <v>678.5</v>
      </c>
      <c r="S176">
        <v>674.5</v>
      </c>
      <c r="T176" t="s">
        <v>172</v>
      </c>
      <c r="U176" t="s">
        <v>409</v>
      </c>
      <c r="V176" t="s">
        <v>27</v>
      </c>
      <c r="W176" t="s">
        <v>66</v>
      </c>
      <c r="X176" t="s">
        <v>67</v>
      </c>
      <c r="Y176" t="s">
        <v>138</v>
      </c>
      <c r="AA176" t="s">
        <v>494</v>
      </c>
      <c r="AC176" t="s">
        <v>139</v>
      </c>
      <c r="AD176" t="s">
        <v>828</v>
      </c>
      <c r="AG176" t="s">
        <v>156</v>
      </c>
      <c r="AH176" t="s">
        <v>68</v>
      </c>
      <c r="AI176" t="s">
        <v>493</v>
      </c>
      <c r="AK176" t="s">
        <v>829</v>
      </c>
    </row>
    <row r="177" spans="1:37" customFormat="1">
      <c r="A177" t="s">
        <v>23</v>
      </c>
      <c r="B177" t="s">
        <v>24</v>
      </c>
      <c r="C177" t="s">
        <v>197</v>
      </c>
      <c r="D177" t="s">
        <v>140</v>
      </c>
      <c r="E177" t="s">
        <v>407</v>
      </c>
      <c r="F177" t="s">
        <v>141</v>
      </c>
      <c r="G177" t="s">
        <v>136</v>
      </c>
      <c r="H177" t="s">
        <v>186</v>
      </c>
      <c r="I177" t="s">
        <v>156</v>
      </c>
      <c r="J177" t="s">
        <v>26</v>
      </c>
      <c r="K177" t="s">
        <v>157</v>
      </c>
      <c r="L177" t="s">
        <v>150</v>
      </c>
      <c r="M177" t="s">
        <v>144</v>
      </c>
      <c r="N177" t="s">
        <v>414</v>
      </c>
      <c r="O177">
        <v>1</v>
      </c>
      <c r="P177" t="s">
        <v>160</v>
      </c>
      <c r="R177">
        <v>681</v>
      </c>
      <c r="S177">
        <v>674.5</v>
      </c>
      <c r="T177" t="s">
        <v>172</v>
      </c>
      <c r="U177" t="s">
        <v>409</v>
      </c>
      <c r="V177" t="s">
        <v>27</v>
      </c>
      <c r="W177" t="s">
        <v>66</v>
      </c>
      <c r="X177" t="s">
        <v>67</v>
      </c>
      <c r="Y177" t="s">
        <v>138</v>
      </c>
      <c r="AA177" t="s">
        <v>494</v>
      </c>
      <c r="AC177" t="s">
        <v>139</v>
      </c>
      <c r="AD177" t="s">
        <v>830</v>
      </c>
      <c r="AG177" t="s">
        <v>156</v>
      </c>
      <c r="AH177" t="s">
        <v>68</v>
      </c>
      <c r="AI177" t="s">
        <v>493</v>
      </c>
      <c r="AK177" t="s">
        <v>831</v>
      </c>
    </row>
    <row r="178" spans="1:37" customFormat="1">
      <c r="A178" t="s">
        <v>23</v>
      </c>
      <c r="B178" t="s">
        <v>24</v>
      </c>
      <c r="C178" t="s">
        <v>197</v>
      </c>
      <c r="D178" t="s">
        <v>140</v>
      </c>
      <c r="E178" t="s">
        <v>407</v>
      </c>
      <c r="F178" t="s">
        <v>141</v>
      </c>
      <c r="G178" t="s">
        <v>136</v>
      </c>
      <c r="H178" t="s">
        <v>186</v>
      </c>
      <c r="I178" t="s">
        <v>156</v>
      </c>
      <c r="J178" t="s">
        <v>26</v>
      </c>
      <c r="K178" t="s">
        <v>157</v>
      </c>
      <c r="L178" t="s">
        <v>150</v>
      </c>
      <c r="M178" t="s">
        <v>144</v>
      </c>
      <c r="N178" t="s">
        <v>415</v>
      </c>
      <c r="O178">
        <v>1</v>
      </c>
      <c r="P178" t="s">
        <v>160</v>
      </c>
      <c r="R178">
        <v>679.5</v>
      </c>
      <c r="S178">
        <v>674.5</v>
      </c>
      <c r="T178" t="s">
        <v>172</v>
      </c>
      <c r="U178" t="s">
        <v>409</v>
      </c>
      <c r="V178" t="s">
        <v>27</v>
      </c>
      <c r="W178" t="s">
        <v>66</v>
      </c>
      <c r="X178" t="s">
        <v>67</v>
      </c>
      <c r="Y178" t="s">
        <v>138</v>
      </c>
      <c r="AA178" t="s">
        <v>494</v>
      </c>
      <c r="AC178" t="s">
        <v>139</v>
      </c>
      <c r="AD178" t="s">
        <v>832</v>
      </c>
      <c r="AG178" t="s">
        <v>156</v>
      </c>
      <c r="AH178" t="s">
        <v>68</v>
      </c>
      <c r="AI178" t="s">
        <v>493</v>
      </c>
      <c r="AK178" t="s">
        <v>833</v>
      </c>
    </row>
    <row r="179" spans="1:37" customFormat="1">
      <c r="A179" t="s">
        <v>23</v>
      </c>
      <c r="B179" t="s">
        <v>24</v>
      </c>
      <c r="C179" t="s">
        <v>197</v>
      </c>
      <c r="D179" t="s">
        <v>140</v>
      </c>
      <c r="E179" t="s">
        <v>407</v>
      </c>
      <c r="F179" t="s">
        <v>141</v>
      </c>
      <c r="G179" t="s">
        <v>136</v>
      </c>
      <c r="H179" t="s">
        <v>186</v>
      </c>
      <c r="I179" t="s">
        <v>156</v>
      </c>
      <c r="J179" t="s">
        <v>26</v>
      </c>
      <c r="K179" t="s">
        <v>157</v>
      </c>
      <c r="L179" t="s">
        <v>150</v>
      </c>
      <c r="M179" t="s">
        <v>144</v>
      </c>
      <c r="N179" t="s">
        <v>416</v>
      </c>
      <c r="O179">
        <v>1</v>
      </c>
      <c r="P179" t="s">
        <v>160</v>
      </c>
      <c r="R179">
        <v>674.5</v>
      </c>
      <c r="S179">
        <v>674.5</v>
      </c>
      <c r="T179" t="s">
        <v>172</v>
      </c>
      <c r="U179" t="s">
        <v>409</v>
      </c>
      <c r="V179" t="s">
        <v>27</v>
      </c>
      <c r="W179" t="s">
        <v>66</v>
      </c>
      <c r="X179" t="s">
        <v>67</v>
      </c>
      <c r="Y179" t="s">
        <v>138</v>
      </c>
      <c r="AA179" t="s">
        <v>494</v>
      </c>
      <c r="AC179" t="s">
        <v>139</v>
      </c>
      <c r="AD179" t="s">
        <v>834</v>
      </c>
      <c r="AG179" t="s">
        <v>156</v>
      </c>
      <c r="AH179" t="s">
        <v>68</v>
      </c>
      <c r="AI179" t="s">
        <v>493</v>
      </c>
      <c r="AK179" t="s">
        <v>835</v>
      </c>
    </row>
    <row r="180" spans="1:37" customFormat="1">
      <c r="A180" t="s">
        <v>23</v>
      </c>
      <c r="B180" t="s">
        <v>24</v>
      </c>
      <c r="C180" t="s">
        <v>197</v>
      </c>
      <c r="D180" t="s">
        <v>140</v>
      </c>
      <c r="E180" t="s">
        <v>407</v>
      </c>
      <c r="F180" t="s">
        <v>141</v>
      </c>
      <c r="G180" t="s">
        <v>136</v>
      </c>
      <c r="H180" t="s">
        <v>186</v>
      </c>
      <c r="I180" t="s">
        <v>156</v>
      </c>
      <c r="J180" t="s">
        <v>26</v>
      </c>
      <c r="K180" t="s">
        <v>157</v>
      </c>
      <c r="L180" t="s">
        <v>150</v>
      </c>
      <c r="M180" t="s">
        <v>144</v>
      </c>
      <c r="N180" t="s">
        <v>417</v>
      </c>
      <c r="O180">
        <v>1</v>
      </c>
      <c r="P180" t="s">
        <v>160</v>
      </c>
      <c r="R180">
        <v>681</v>
      </c>
      <c r="S180">
        <v>674.5</v>
      </c>
      <c r="T180" t="s">
        <v>172</v>
      </c>
      <c r="U180" t="s">
        <v>409</v>
      </c>
      <c r="V180" t="s">
        <v>27</v>
      </c>
      <c r="W180" t="s">
        <v>66</v>
      </c>
      <c r="X180" t="s">
        <v>67</v>
      </c>
      <c r="Y180" t="s">
        <v>138</v>
      </c>
      <c r="AA180" t="s">
        <v>494</v>
      </c>
      <c r="AC180" t="s">
        <v>139</v>
      </c>
      <c r="AD180" t="s">
        <v>836</v>
      </c>
      <c r="AG180" t="s">
        <v>156</v>
      </c>
      <c r="AH180" t="s">
        <v>68</v>
      </c>
      <c r="AI180" t="s">
        <v>493</v>
      </c>
      <c r="AK180" t="s">
        <v>837</v>
      </c>
    </row>
    <row r="181" spans="1:37" customFormat="1">
      <c r="A181" t="s">
        <v>23</v>
      </c>
      <c r="B181" t="s">
        <v>24</v>
      </c>
      <c r="C181" t="s">
        <v>197</v>
      </c>
      <c r="D181" t="s">
        <v>140</v>
      </c>
      <c r="E181" t="s">
        <v>407</v>
      </c>
      <c r="F181" t="s">
        <v>141</v>
      </c>
      <c r="G181" t="s">
        <v>136</v>
      </c>
      <c r="H181" t="s">
        <v>186</v>
      </c>
      <c r="I181" t="s">
        <v>156</v>
      </c>
      <c r="J181" t="s">
        <v>26</v>
      </c>
      <c r="K181" t="s">
        <v>157</v>
      </c>
      <c r="L181" t="s">
        <v>150</v>
      </c>
      <c r="M181" t="s">
        <v>144</v>
      </c>
      <c r="N181" t="s">
        <v>418</v>
      </c>
      <c r="O181">
        <v>1</v>
      </c>
      <c r="P181" t="s">
        <v>160</v>
      </c>
      <c r="R181">
        <v>679.5</v>
      </c>
      <c r="S181">
        <v>674.5</v>
      </c>
      <c r="T181" t="s">
        <v>172</v>
      </c>
      <c r="U181" t="s">
        <v>409</v>
      </c>
      <c r="V181" t="s">
        <v>27</v>
      </c>
      <c r="W181" t="s">
        <v>66</v>
      </c>
      <c r="X181" t="s">
        <v>67</v>
      </c>
      <c r="Y181" t="s">
        <v>138</v>
      </c>
      <c r="AA181" t="s">
        <v>494</v>
      </c>
      <c r="AC181" t="s">
        <v>139</v>
      </c>
      <c r="AD181" t="s">
        <v>838</v>
      </c>
      <c r="AG181" t="s">
        <v>156</v>
      </c>
      <c r="AH181" t="s">
        <v>68</v>
      </c>
      <c r="AI181" t="s">
        <v>493</v>
      </c>
      <c r="AK181" t="s">
        <v>839</v>
      </c>
    </row>
    <row r="182" spans="1:37" customFormat="1">
      <c r="A182" t="s">
        <v>23</v>
      </c>
      <c r="B182" t="s">
        <v>24</v>
      </c>
      <c r="C182" t="s">
        <v>197</v>
      </c>
      <c r="D182" t="s">
        <v>140</v>
      </c>
      <c r="E182" t="s">
        <v>407</v>
      </c>
      <c r="F182" t="s">
        <v>141</v>
      </c>
      <c r="G182" t="s">
        <v>136</v>
      </c>
      <c r="H182" t="s">
        <v>186</v>
      </c>
      <c r="I182" t="s">
        <v>156</v>
      </c>
      <c r="J182" t="s">
        <v>26</v>
      </c>
      <c r="K182" t="s">
        <v>157</v>
      </c>
      <c r="L182" t="s">
        <v>150</v>
      </c>
      <c r="M182" t="s">
        <v>144</v>
      </c>
      <c r="N182" t="s">
        <v>419</v>
      </c>
      <c r="O182">
        <v>1</v>
      </c>
      <c r="P182" t="s">
        <v>160</v>
      </c>
      <c r="R182">
        <v>681</v>
      </c>
      <c r="S182">
        <v>674.5</v>
      </c>
      <c r="T182" t="s">
        <v>172</v>
      </c>
      <c r="U182" t="s">
        <v>409</v>
      </c>
      <c r="V182" t="s">
        <v>27</v>
      </c>
      <c r="W182" t="s">
        <v>66</v>
      </c>
      <c r="X182" t="s">
        <v>67</v>
      </c>
      <c r="Y182" t="s">
        <v>138</v>
      </c>
      <c r="AA182" t="s">
        <v>494</v>
      </c>
      <c r="AC182" t="s">
        <v>139</v>
      </c>
      <c r="AD182" t="s">
        <v>840</v>
      </c>
      <c r="AG182" t="s">
        <v>156</v>
      </c>
      <c r="AH182" t="s">
        <v>68</v>
      </c>
      <c r="AI182" t="s">
        <v>493</v>
      </c>
      <c r="AK182" t="s">
        <v>841</v>
      </c>
    </row>
    <row r="183" spans="1:37" customFormat="1">
      <c r="A183" t="s">
        <v>23</v>
      </c>
      <c r="B183" t="s">
        <v>24</v>
      </c>
      <c r="C183" t="s">
        <v>262</v>
      </c>
      <c r="D183" t="s">
        <v>140</v>
      </c>
      <c r="E183" t="s">
        <v>420</v>
      </c>
      <c r="F183" t="s">
        <v>141</v>
      </c>
      <c r="G183" t="s">
        <v>136</v>
      </c>
      <c r="H183" t="s">
        <v>153</v>
      </c>
      <c r="I183" t="s">
        <v>156</v>
      </c>
      <c r="J183" t="s">
        <v>26</v>
      </c>
      <c r="K183" t="s">
        <v>157</v>
      </c>
      <c r="L183" t="s">
        <v>143</v>
      </c>
      <c r="M183" t="s">
        <v>144</v>
      </c>
      <c r="N183" t="s">
        <v>421</v>
      </c>
      <c r="O183">
        <v>1</v>
      </c>
      <c r="P183" t="s">
        <v>160</v>
      </c>
      <c r="R183">
        <v>694.5</v>
      </c>
      <c r="S183">
        <v>688</v>
      </c>
      <c r="T183" t="s">
        <v>172</v>
      </c>
      <c r="U183" t="s">
        <v>296</v>
      </c>
      <c r="V183" t="s">
        <v>27</v>
      </c>
      <c r="W183" t="s">
        <v>66</v>
      </c>
      <c r="X183" t="s">
        <v>67</v>
      </c>
      <c r="Y183" t="s">
        <v>138</v>
      </c>
      <c r="AA183" t="s">
        <v>494</v>
      </c>
      <c r="AC183" t="s">
        <v>139</v>
      </c>
      <c r="AD183" t="s">
        <v>842</v>
      </c>
      <c r="AG183" t="s">
        <v>156</v>
      </c>
      <c r="AH183" t="s">
        <v>68</v>
      </c>
      <c r="AI183" t="s">
        <v>493</v>
      </c>
      <c r="AK183" t="s">
        <v>843</v>
      </c>
    </row>
    <row r="184" spans="1:37" customFormat="1">
      <c r="A184" t="s">
        <v>23</v>
      </c>
      <c r="B184" t="s">
        <v>24</v>
      </c>
      <c r="C184" t="s">
        <v>262</v>
      </c>
      <c r="D184" t="s">
        <v>140</v>
      </c>
      <c r="E184" t="s">
        <v>420</v>
      </c>
      <c r="F184" t="s">
        <v>141</v>
      </c>
      <c r="G184" t="s">
        <v>136</v>
      </c>
      <c r="H184" t="s">
        <v>153</v>
      </c>
      <c r="I184" t="s">
        <v>156</v>
      </c>
      <c r="J184" t="s">
        <v>26</v>
      </c>
      <c r="K184" t="s">
        <v>157</v>
      </c>
      <c r="L184" t="s">
        <v>143</v>
      </c>
      <c r="M184" t="s">
        <v>144</v>
      </c>
      <c r="N184" t="s">
        <v>422</v>
      </c>
      <c r="O184">
        <v>1</v>
      </c>
      <c r="P184" t="s">
        <v>160</v>
      </c>
      <c r="R184">
        <v>690.5</v>
      </c>
      <c r="S184">
        <v>688</v>
      </c>
      <c r="T184" t="s">
        <v>172</v>
      </c>
      <c r="U184" t="s">
        <v>296</v>
      </c>
      <c r="V184" t="s">
        <v>27</v>
      </c>
      <c r="W184" t="s">
        <v>66</v>
      </c>
      <c r="X184" t="s">
        <v>67</v>
      </c>
      <c r="Y184" t="s">
        <v>138</v>
      </c>
      <c r="AA184" t="s">
        <v>494</v>
      </c>
      <c r="AC184" t="s">
        <v>139</v>
      </c>
      <c r="AD184" t="s">
        <v>844</v>
      </c>
      <c r="AG184" t="s">
        <v>156</v>
      </c>
      <c r="AH184" t="s">
        <v>68</v>
      </c>
      <c r="AI184" t="s">
        <v>493</v>
      </c>
      <c r="AK184" t="s">
        <v>845</v>
      </c>
    </row>
    <row r="185" spans="1:37" customFormat="1">
      <c r="A185" t="s">
        <v>23</v>
      </c>
      <c r="B185" t="s">
        <v>24</v>
      </c>
      <c r="C185" t="s">
        <v>262</v>
      </c>
      <c r="D185" t="s">
        <v>140</v>
      </c>
      <c r="E185" t="s">
        <v>420</v>
      </c>
      <c r="F185" t="s">
        <v>141</v>
      </c>
      <c r="G185" t="s">
        <v>136</v>
      </c>
      <c r="H185" t="s">
        <v>153</v>
      </c>
      <c r="I185" t="s">
        <v>156</v>
      </c>
      <c r="J185" t="s">
        <v>26</v>
      </c>
      <c r="K185" t="s">
        <v>157</v>
      </c>
      <c r="L185" t="s">
        <v>143</v>
      </c>
      <c r="M185" t="s">
        <v>144</v>
      </c>
      <c r="N185" t="s">
        <v>423</v>
      </c>
      <c r="O185">
        <v>1</v>
      </c>
      <c r="P185" t="s">
        <v>160</v>
      </c>
      <c r="R185">
        <v>688</v>
      </c>
      <c r="S185">
        <v>688</v>
      </c>
      <c r="T185" t="s">
        <v>172</v>
      </c>
      <c r="U185" t="s">
        <v>296</v>
      </c>
      <c r="V185" t="s">
        <v>27</v>
      </c>
      <c r="W185" t="s">
        <v>66</v>
      </c>
      <c r="X185" t="s">
        <v>67</v>
      </c>
      <c r="Y185" t="s">
        <v>138</v>
      </c>
      <c r="AA185" t="s">
        <v>494</v>
      </c>
      <c r="AC185" t="s">
        <v>139</v>
      </c>
      <c r="AD185" t="s">
        <v>846</v>
      </c>
      <c r="AG185" t="s">
        <v>156</v>
      </c>
      <c r="AH185" t="s">
        <v>68</v>
      </c>
      <c r="AI185" t="s">
        <v>493</v>
      </c>
      <c r="AK185" t="s">
        <v>847</v>
      </c>
    </row>
    <row r="186" spans="1:37" customFormat="1">
      <c r="A186" t="s">
        <v>23</v>
      </c>
      <c r="B186" t="s">
        <v>24</v>
      </c>
      <c r="C186" t="s">
        <v>262</v>
      </c>
      <c r="D186" t="s">
        <v>140</v>
      </c>
      <c r="E186" t="s">
        <v>420</v>
      </c>
      <c r="F186" t="s">
        <v>141</v>
      </c>
      <c r="G186" t="s">
        <v>136</v>
      </c>
      <c r="H186" t="s">
        <v>153</v>
      </c>
      <c r="I186" t="s">
        <v>156</v>
      </c>
      <c r="J186" t="s">
        <v>26</v>
      </c>
      <c r="K186" t="s">
        <v>157</v>
      </c>
      <c r="L186" t="s">
        <v>143</v>
      </c>
      <c r="M186" t="s">
        <v>144</v>
      </c>
      <c r="N186" t="s">
        <v>424</v>
      </c>
      <c r="O186">
        <v>1</v>
      </c>
      <c r="P186" t="s">
        <v>160</v>
      </c>
      <c r="R186">
        <v>694.5</v>
      </c>
      <c r="S186">
        <v>688</v>
      </c>
      <c r="T186" t="s">
        <v>172</v>
      </c>
      <c r="U186" t="s">
        <v>296</v>
      </c>
      <c r="V186" t="s">
        <v>27</v>
      </c>
      <c r="W186" t="s">
        <v>66</v>
      </c>
      <c r="X186" t="s">
        <v>67</v>
      </c>
      <c r="Y186" t="s">
        <v>138</v>
      </c>
      <c r="AA186" t="s">
        <v>494</v>
      </c>
      <c r="AC186" t="s">
        <v>139</v>
      </c>
      <c r="AD186" t="s">
        <v>848</v>
      </c>
      <c r="AG186" t="s">
        <v>156</v>
      </c>
      <c r="AH186" t="s">
        <v>68</v>
      </c>
      <c r="AI186" t="s">
        <v>493</v>
      </c>
      <c r="AK186" t="s">
        <v>849</v>
      </c>
    </row>
    <row r="187" spans="1:37" customFormat="1">
      <c r="A187" t="s">
        <v>23</v>
      </c>
      <c r="B187" t="s">
        <v>24</v>
      </c>
      <c r="C187" t="s">
        <v>262</v>
      </c>
      <c r="D187" t="s">
        <v>140</v>
      </c>
      <c r="E187" t="s">
        <v>420</v>
      </c>
      <c r="F187" t="s">
        <v>141</v>
      </c>
      <c r="G187" t="s">
        <v>136</v>
      </c>
      <c r="H187" t="s">
        <v>153</v>
      </c>
      <c r="I187" t="s">
        <v>156</v>
      </c>
      <c r="J187" t="s">
        <v>26</v>
      </c>
      <c r="K187" t="s">
        <v>157</v>
      </c>
      <c r="L187" t="s">
        <v>143</v>
      </c>
      <c r="M187" t="s">
        <v>144</v>
      </c>
      <c r="N187" t="s">
        <v>425</v>
      </c>
      <c r="O187">
        <v>1</v>
      </c>
      <c r="P187" t="s">
        <v>160</v>
      </c>
      <c r="R187">
        <v>694</v>
      </c>
      <c r="S187">
        <v>688</v>
      </c>
      <c r="T187" t="s">
        <v>172</v>
      </c>
      <c r="U187" t="s">
        <v>296</v>
      </c>
      <c r="V187" t="s">
        <v>27</v>
      </c>
      <c r="W187" t="s">
        <v>66</v>
      </c>
      <c r="X187" t="s">
        <v>67</v>
      </c>
      <c r="Y187" t="s">
        <v>138</v>
      </c>
      <c r="AA187" t="s">
        <v>494</v>
      </c>
      <c r="AC187" t="s">
        <v>139</v>
      </c>
      <c r="AD187" t="s">
        <v>850</v>
      </c>
      <c r="AG187" t="s">
        <v>156</v>
      </c>
      <c r="AH187" t="s">
        <v>68</v>
      </c>
      <c r="AI187" t="s">
        <v>493</v>
      </c>
      <c r="AK187" t="s">
        <v>851</v>
      </c>
    </row>
    <row r="188" spans="1:37" customFormat="1">
      <c r="A188" t="s">
        <v>23</v>
      </c>
      <c r="B188" t="s">
        <v>24</v>
      </c>
      <c r="C188" t="s">
        <v>262</v>
      </c>
      <c r="D188" t="s">
        <v>140</v>
      </c>
      <c r="E188" t="s">
        <v>420</v>
      </c>
      <c r="F188" t="s">
        <v>141</v>
      </c>
      <c r="G188" t="s">
        <v>136</v>
      </c>
      <c r="H188" t="s">
        <v>153</v>
      </c>
      <c r="I188" t="s">
        <v>156</v>
      </c>
      <c r="J188" t="s">
        <v>26</v>
      </c>
      <c r="K188" t="s">
        <v>157</v>
      </c>
      <c r="L188" t="s">
        <v>143</v>
      </c>
      <c r="M188" t="s">
        <v>144</v>
      </c>
      <c r="N188" t="s">
        <v>426</v>
      </c>
      <c r="O188">
        <v>1</v>
      </c>
      <c r="P188" t="s">
        <v>160</v>
      </c>
      <c r="R188">
        <v>694</v>
      </c>
      <c r="S188">
        <v>688</v>
      </c>
      <c r="T188" t="s">
        <v>172</v>
      </c>
      <c r="U188" t="s">
        <v>296</v>
      </c>
      <c r="V188" t="s">
        <v>27</v>
      </c>
      <c r="W188" t="s">
        <v>66</v>
      </c>
      <c r="X188" t="s">
        <v>67</v>
      </c>
      <c r="Y188" t="s">
        <v>138</v>
      </c>
      <c r="AA188" t="s">
        <v>494</v>
      </c>
      <c r="AC188" t="s">
        <v>139</v>
      </c>
      <c r="AD188" t="s">
        <v>852</v>
      </c>
      <c r="AG188" t="s">
        <v>156</v>
      </c>
      <c r="AH188" t="s">
        <v>68</v>
      </c>
      <c r="AI188" t="s">
        <v>493</v>
      </c>
      <c r="AK188" t="s">
        <v>853</v>
      </c>
    </row>
    <row r="189" spans="1:37" customFormat="1">
      <c r="A189" t="s">
        <v>23</v>
      </c>
      <c r="B189" t="s">
        <v>24</v>
      </c>
      <c r="C189" t="s">
        <v>262</v>
      </c>
      <c r="D189" t="s">
        <v>140</v>
      </c>
      <c r="E189" t="s">
        <v>420</v>
      </c>
      <c r="F189" t="s">
        <v>141</v>
      </c>
      <c r="G189" t="s">
        <v>136</v>
      </c>
      <c r="H189" t="s">
        <v>153</v>
      </c>
      <c r="I189" t="s">
        <v>156</v>
      </c>
      <c r="J189" t="s">
        <v>26</v>
      </c>
      <c r="K189" t="s">
        <v>157</v>
      </c>
      <c r="L189" t="s">
        <v>143</v>
      </c>
      <c r="M189" t="s">
        <v>144</v>
      </c>
      <c r="N189" t="s">
        <v>432</v>
      </c>
      <c r="O189">
        <v>1</v>
      </c>
      <c r="P189" t="s">
        <v>160</v>
      </c>
      <c r="R189">
        <v>692</v>
      </c>
      <c r="S189">
        <v>688</v>
      </c>
      <c r="T189" t="s">
        <v>172</v>
      </c>
      <c r="U189" t="s">
        <v>296</v>
      </c>
      <c r="V189" t="s">
        <v>27</v>
      </c>
      <c r="W189" t="s">
        <v>66</v>
      </c>
      <c r="X189" t="s">
        <v>67</v>
      </c>
      <c r="Y189" t="s">
        <v>138</v>
      </c>
      <c r="AA189" t="s">
        <v>494</v>
      </c>
      <c r="AC189" t="s">
        <v>139</v>
      </c>
      <c r="AD189" t="s">
        <v>854</v>
      </c>
      <c r="AG189" t="s">
        <v>156</v>
      </c>
      <c r="AH189" t="s">
        <v>68</v>
      </c>
      <c r="AI189" t="s">
        <v>493</v>
      </c>
      <c r="AK189" t="s">
        <v>855</v>
      </c>
    </row>
    <row r="190" spans="1:37" customFormat="1">
      <c r="A190" t="s">
        <v>23</v>
      </c>
      <c r="B190" t="s">
        <v>24</v>
      </c>
      <c r="C190" t="s">
        <v>262</v>
      </c>
      <c r="D190" t="s">
        <v>140</v>
      </c>
      <c r="E190" t="s">
        <v>420</v>
      </c>
      <c r="F190" t="s">
        <v>141</v>
      </c>
      <c r="G190" t="s">
        <v>136</v>
      </c>
      <c r="H190" t="s">
        <v>153</v>
      </c>
      <c r="I190" t="s">
        <v>156</v>
      </c>
      <c r="J190" t="s">
        <v>26</v>
      </c>
      <c r="K190" t="s">
        <v>157</v>
      </c>
      <c r="L190" t="s">
        <v>143</v>
      </c>
      <c r="M190" t="s">
        <v>144</v>
      </c>
      <c r="N190" t="s">
        <v>433</v>
      </c>
      <c r="O190">
        <v>1</v>
      </c>
      <c r="P190" t="s">
        <v>160</v>
      </c>
      <c r="R190">
        <v>690</v>
      </c>
      <c r="S190">
        <v>688</v>
      </c>
      <c r="T190" t="s">
        <v>172</v>
      </c>
      <c r="U190" t="s">
        <v>296</v>
      </c>
      <c r="V190" t="s">
        <v>27</v>
      </c>
      <c r="W190" t="s">
        <v>66</v>
      </c>
      <c r="X190" t="s">
        <v>67</v>
      </c>
      <c r="Y190" t="s">
        <v>138</v>
      </c>
      <c r="AA190" t="s">
        <v>494</v>
      </c>
      <c r="AC190" t="s">
        <v>139</v>
      </c>
      <c r="AD190" t="s">
        <v>856</v>
      </c>
      <c r="AG190" t="s">
        <v>156</v>
      </c>
      <c r="AH190" t="s">
        <v>68</v>
      </c>
      <c r="AI190" t="s">
        <v>493</v>
      </c>
      <c r="AK190" t="s">
        <v>857</v>
      </c>
    </row>
    <row r="191" spans="1:37" customFormat="1">
      <c r="A191" t="s">
        <v>23</v>
      </c>
      <c r="B191" t="s">
        <v>24</v>
      </c>
      <c r="C191" t="s">
        <v>262</v>
      </c>
      <c r="D191" t="s">
        <v>140</v>
      </c>
      <c r="E191" t="s">
        <v>420</v>
      </c>
      <c r="F191" t="s">
        <v>141</v>
      </c>
      <c r="G191" t="s">
        <v>136</v>
      </c>
      <c r="H191" t="s">
        <v>153</v>
      </c>
      <c r="I191" t="s">
        <v>156</v>
      </c>
      <c r="J191" t="s">
        <v>26</v>
      </c>
      <c r="K191" t="s">
        <v>157</v>
      </c>
      <c r="L191" t="s">
        <v>143</v>
      </c>
      <c r="M191" t="s">
        <v>144</v>
      </c>
      <c r="N191" t="s">
        <v>434</v>
      </c>
      <c r="O191">
        <v>1</v>
      </c>
      <c r="P191" t="s">
        <v>160</v>
      </c>
      <c r="R191">
        <v>689.5</v>
      </c>
      <c r="S191">
        <v>688</v>
      </c>
      <c r="T191" t="s">
        <v>172</v>
      </c>
      <c r="U191" t="s">
        <v>296</v>
      </c>
      <c r="V191" t="s">
        <v>27</v>
      </c>
      <c r="W191" t="s">
        <v>66</v>
      </c>
      <c r="X191" t="s">
        <v>67</v>
      </c>
      <c r="Y191" t="s">
        <v>138</v>
      </c>
      <c r="AA191" t="s">
        <v>494</v>
      </c>
      <c r="AC191" t="s">
        <v>139</v>
      </c>
      <c r="AD191" t="s">
        <v>858</v>
      </c>
      <c r="AG191" t="s">
        <v>156</v>
      </c>
      <c r="AH191" t="s">
        <v>68</v>
      </c>
      <c r="AI191" t="s">
        <v>493</v>
      </c>
      <c r="AK191" t="s">
        <v>859</v>
      </c>
    </row>
    <row r="192" spans="1:37" customFormat="1">
      <c r="A192" t="s">
        <v>23</v>
      </c>
      <c r="B192" t="s">
        <v>24</v>
      </c>
      <c r="C192" t="s">
        <v>262</v>
      </c>
      <c r="D192" t="s">
        <v>140</v>
      </c>
      <c r="E192" t="s">
        <v>420</v>
      </c>
      <c r="F192" t="s">
        <v>141</v>
      </c>
      <c r="G192" t="s">
        <v>136</v>
      </c>
      <c r="H192" t="s">
        <v>153</v>
      </c>
      <c r="I192" t="s">
        <v>156</v>
      </c>
      <c r="J192" t="s">
        <v>26</v>
      </c>
      <c r="K192" t="s">
        <v>157</v>
      </c>
      <c r="L192" t="s">
        <v>143</v>
      </c>
      <c r="M192" t="s">
        <v>144</v>
      </c>
      <c r="N192" t="s">
        <v>435</v>
      </c>
      <c r="O192">
        <v>1</v>
      </c>
      <c r="P192" t="s">
        <v>160</v>
      </c>
      <c r="R192">
        <v>692</v>
      </c>
      <c r="S192">
        <v>688</v>
      </c>
      <c r="T192" t="s">
        <v>172</v>
      </c>
      <c r="U192" t="s">
        <v>296</v>
      </c>
      <c r="V192" t="s">
        <v>27</v>
      </c>
      <c r="W192" t="s">
        <v>66</v>
      </c>
      <c r="X192" t="s">
        <v>67</v>
      </c>
      <c r="Y192" t="s">
        <v>138</v>
      </c>
      <c r="AA192" t="s">
        <v>494</v>
      </c>
      <c r="AC192" t="s">
        <v>139</v>
      </c>
      <c r="AD192" t="s">
        <v>860</v>
      </c>
      <c r="AG192" t="s">
        <v>156</v>
      </c>
      <c r="AH192" t="s">
        <v>68</v>
      </c>
      <c r="AI192" t="s">
        <v>493</v>
      </c>
      <c r="AK192" t="s">
        <v>861</v>
      </c>
    </row>
    <row r="193" spans="1:37" customFormat="1">
      <c r="A193" t="s">
        <v>23</v>
      </c>
      <c r="B193" t="s">
        <v>24</v>
      </c>
      <c r="C193" t="s">
        <v>262</v>
      </c>
      <c r="D193" t="s">
        <v>140</v>
      </c>
      <c r="E193" t="s">
        <v>420</v>
      </c>
      <c r="F193" t="s">
        <v>141</v>
      </c>
      <c r="G193" t="s">
        <v>136</v>
      </c>
      <c r="H193" t="s">
        <v>153</v>
      </c>
      <c r="I193" t="s">
        <v>156</v>
      </c>
      <c r="J193" t="s">
        <v>26</v>
      </c>
      <c r="K193" t="s">
        <v>157</v>
      </c>
      <c r="L193" t="s">
        <v>143</v>
      </c>
      <c r="M193" t="s">
        <v>144</v>
      </c>
      <c r="N193" t="s">
        <v>436</v>
      </c>
      <c r="O193">
        <v>1</v>
      </c>
      <c r="P193" t="s">
        <v>160</v>
      </c>
      <c r="R193">
        <v>693.5</v>
      </c>
      <c r="S193">
        <v>688</v>
      </c>
      <c r="T193" t="s">
        <v>172</v>
      </c>
      <c r="U193" t="s">
        <v>296</v>
      </c>
      <c r="V193" t="s">
        <v>27</v>
      </c>
      <c r="W193" t="s">
        <v>66</v>
      </c>
      <c r="X193" t="s">
        <v>67</v>
      </c>
      <c r="Y193" t="s">
        <v>138</v>
      </c>
      <c r="AA193" t="s">
        <v>494</v>
      </c>
      <c r="AC193" t="s">
        <v>139</v>
      </c>
      <c r="AD193" t="s">
        <v>862</v>
      </c>
      <c r="AG193" t="s">
        <v>156</v>
      </c>
      <c r="AH193" t="s">
        <v>68</v>
      </c>
      <c r="AI193" t="s">
        <v>493</v>
      </c>
      <c r="AK193" t="s">
        <v>863</v>
      </c>
    </row>
    <row r="194" spans="1:37" customFormat="1">
      <c r="A194" t="s">
        <v>23</v>
      </c>
      <c r="B194" t="s">
        <v>24</v>
      </c>
      <c r="C194" t="s">
        <v>262</v>
      </c>
      <c r="D194" t="s">
        <v>140</v>
      </c>
      <c r="E194" t="s">
        <v>420</v>
      </c>
      <c r="F194" t="s">
        <v>141</v>
      </c>
      <c r="G194" t="s">
        <v>136</v>
      </c>
      <c r="H194" t="s">
        <v>153</v>
      </c>
      <c r="I194" t="s">
        <v>156</v>
      </c>
      <c r="J194" t="s">
        <v>26</v>
      </c>
      <c r="K194" t="s">
        <v>157</v>
      </c>
      <c r="L194" t="s">
        <v>143</v>
      </c>
      <c r="M194" t="s">
        <v>144</v>
      </c>
      <c r="N194" t="s">
        <v>437</v>
      </c>
      <c r="O194">
        <v>1</v>
      </c>
      <c r="P194" t="s">
        <v>160</v>
      </c>
      <c r="R194">
        <v>691</v>
      </c>
      <c r="S194">
        <v>688</v>
      </c>
      <c r="T194" t="s">
        <v>172</v>
      </c>
      <c r="U194" t="s">
        <v>296</v>
      </c>
      <c r="V194" t="s">
        <v>27</v>
      </c>
      <c r="W194" t="s">
        <v>66</v>
      </c>
      <c r="X194" t="s">
        <v>67</v>
      </c>
      <c r="Y194" t="s">
        <v>138</v>
      </c>
      <c r="AA194" t="s">
        <v>494</v>
      </c>
      <c r="AC194" t="s">
        <v>139</v>
      </c>
      <c r="AD194" t="s">
        <v>864</v>
      </c>
      <c r="AG194" t="s">
        <v>156</v>
      </c>
      <c r="AH194" t="s">
        <v>68</v>
      </c>
      <c r="AI194" t="s">
        <v>493</v>
      </c>
      <c r="AK194" t="s">
        <v>865</v>
      </c>
    </row>
    <row r="195" spans="1:37" customFormat="1">
      <c r="A195" t="s">
        <v>23</v>
      </c>
      <c r="B195" t="s">
        <v>24</v>
      </c>
      <c r="C195" t="s">
        <v>262</v>
      </c>
      <c r="D195" t="s">
        <v>140</v>
      </c>
      <c r="E195" t="s">
        <v>420</v>
      </c>
      <c r="F195" t="s">
        <v>141</v>
      </c>
      <c r="G195" t="s">
        <v>136</v>
      </c>
      <c r="H195" t="s">
        <v>153</v>
      </c>
      <c r="I195" t="s">
        <v>156</v>
      </c>
      <c r="J195" t="s">
        <v>26</v>
      </c>
      <c r="K195" t="s">
        <v>157</v>
      </c>
      <c r="L195" t="s">
        <v>143</v>
      </c>
      <c r="M195" t="s">
        <v>144</v>
      </c>
      <c r="N195" t="s">
        <v>438</v>
      </c>
      <c r="O195">
        <v>1</v>
      </c>
      <c r="P195" t="s">
        <v>160</v>
      </c>
      <c r="R195">
        <v>690.5</v>
      </c>
      <c r="S195">
        <v>688</v>
      </c>
      <c r="T195" t="s">
        <v>172</v>
      </c>
      <c r="U195" t="s">
        <v>296</v>
      </c>
      <c r="V195" t="s">
        <v>27</v>
      </c>
      <c r="W195" t="s">
        <v>66</v>
      </c>
      <c r="X195" t="s">
        <v>67</v>
      </c>
      <c r="Y195" t="s">
        <v>138</v>
      </c>
      <c r="AA195" t="s">
        <v>494</v>
      </c>
      <c r="AC195" t="s">
        <v>139</v>
      </c>
      <c r="AD195" t="s">
        <v>866</v>
      </c>
      <c r="AG195" t="s">
        <v>156</v>
      </c>
      <c r="AH195" t="s">
        <v>68</v>
      </c>
      <c r="AI195" t="s">
        <v>493</v>
      </c>
      <c r="AK195" t="s">
        <v>867</v>
      </c>
    </row>
    <row r="196" spans="1:37" customFormat="1">
      <c r="A196" t="s">
        <v>23</v>
      </c>
      <c r="B196" t="s">
        <v>24</v>
      </c>
      <c r="C196" t="s">
        <v>262</v>
      </c>
      <c r="D196" t="s">
        <v>140</v>
      </c>
      <c r="E196" t="s">
        <v>420</v>
      </c>
      <c r="F196" t="s">
        <v>141</v>
      </c>
      <c r="G196" t="s">
        <v>136</v>
      </c>
      <c r="H196" t="s">
        <v>153</v>
      </c>
      <c r="I196" t="s">
        <v>156</v>
      </c>
      <c r="J196" t="s">
        <v>26</v>
      </c>
      <c r="K196" t="s">
        <v>157</v>
      </c>
      <c r="L196" t="s">
        <v>143</v>
      </c>
      <c r="M196" t="s">
        <v>144</v>
      </c>
      <c r="N196" t="s">
        <v>439</v>
      </c>
      <c r="O196">
        <v>1</v>
      </c>
      <c r="P196" t="s">
        <v>160</v>
      </c>
      <c r="R196">
        <v>691</v>
      </c>
      <c r="S196">
        <v>688</v>
      </c>
      <c r="T196" t="s">
        <v>172</v>
      </c>
      <c r="U196" t="s">
        <v>296</v>
      </c>
      <c r="V196" t="s">
        <v>27</v>
      </c>
      <c r="W196" t="s">
        <v>66</v>
      </c>
      <c r="X196" t="s">
        <v>67</v>
      </c>
      <c r="Y196" t="s">
        <v>138</v>
      </c>
      <c r="AA196" t="s">
        <v>494</v>
      </c>
      <c r="AC196" t="s">
        <v>139</v>
      </c>
      <c r="AD196" t="s">
        <v>868</v>
      </c>
      <c r="AG196" t="s">
        <v>156</v>
      </c>
      <c r="AH196" t="s">
        <v>68</v>
      </c>
      <c r="AI196" t="s">
        <v>493</v>
      </c>
      <c r="AK196" t="s">
        <v>869</v>
      </c>
    </row>
    <row r="197" spans="1:37" customFormat="1">
      <c r="A197" t="s">
        <v>23</v>
      </c>
      <c r="B197" t="s">
        <v>24</v>
      </c>
      <c r="C197" t="s">
        <v>262</v>
      </c>
      <c r="D197" t="s">
        <v>140</v>
      </c>
      <c r="E197" t="s">
        <v>420</v>
      </c>
      <c r="F197" t="s">
        <v>141</v>
      </c>
      <c r="G197" t="s">
        <v>136</v>
      </c>
      <c r="H197" t="s">
        <v>153</v>
      </c>
      <c r="I197" t="s">
        <v>156</v>
      </c>
      <c r="J197" t="s">
        <v>26</v>
      </c>
      <c r="K197" t="s">
        <v>157</v>
      </c>
      <c r="L197" t="s">
        <v>143</v>
      </c>
      <c r="M197" t="s">
        <v>144</v>
      </c>
      <c r="N197" t="s">
        <v>440</v>
      </c>
      <c r="O197">
        <v>1</v>
      </c>
      <c r="P197" t="s">
        <v>160</v>
      </c>
      <c r="R197">
        <v>690</v>
      </c>
      <c r="S197">
        <v>688</v>
      </c>
      <c r="T197" t="s">
        <v>172</v>
      </c>
      <c r="U197" t="s">
        <v>296</v>
      </c>
      <c r="V197" t="s">
        <v>27</v>
      </c>
      <c r="W197" t="s">
        <v>66</v>
      </c>
      <c r="X197" t="s">
        <v>67</v>
      </c>
      <c r="Y197" t="s">
        <v>138</v>
      </c>
      <c r="AA197" t="s">
        <v>494</v>
      </c>
      <c r="AC197" t="s">
        <v>139</v>
      </c>
      <c r="AD197" t="s">
        <v>870</v>
      </c>
      <c r="AG197" t="s">
        <v>156</v>
      </c>
      <c r="AH197" t="s">
        <v>68</v>
      </c>
      <c r="AI197" t="s">
        <v>493</v>
      </c>
      <c r="AK197" t="s">
        <v>871</v>
      </c>
    </row>
    <row r="198" spans="1:37" customFormat="1">
      <c r="A198" t="s">
        <v>23</v>
      </c>
      <c r="B198" t="s">
        <v>24</v>
      </c>
      <c r="C198" t="s">
        <v>262</v>
      </c>
      <c r="D198" t="s">
        <v>140</v>
      </c>
      <c r="E198" t="s">
        <v>420</v>
      </c>
      <c r="F198" t="s">
        <v>141</v>
      </c>
      <c r="G198" t="s">
        <v>136</v>
      </c>
      <c r="H198" t="s">
        <v>153</v>
      </c>
      <c r="I198" t="s">
        <v>156</v>
      </c>
      <c r="J198" t="s">
        <v>26</v>
      </c>
      <c r="K198" t="s">
        <v>157</v>
      </c>
      <c r="L198" t="s">
        <v>143</v>
      </c>
      <c r="M198" t="s">
        <v>144</v>
      </c>
      <c r="N198" t="s">
        <v>441</v>
      </c>
      <c r="O198">
        <v>1</v>
      </c>
      <c r="P198" t="s">
        <v>160</v>
      </c>
      <c r="R198">
        <v>688</v>
      </c>
      <c r="S198">
        <v>688</v>
      </c>
      <c r="T198" t="s">
        <v>172</v>
      </c>
      <c r="U198" t="s">
        <v>296</v>
      </c>
      <c r="V198" t="s">
        <v>27</v>
      </c>
      <c r="W198" t="s">
        <v>66</v>
      </c>
      <c r="X198" t="s">
        <v>67</v>
      </c>
      <c r="Y198" t="s">
        <v>138</v>
      </c>
      <c r="AA198" t="s">
        <v>494</v>
      </c>
      <c r="AC198" t="s">
        <v>139</v>
      </c>
      <c r="AD198" t="s">
        <v>872</v>
      </c>
      <c r="AG198" t="s">
        <v>156</v>
      </c>
      <c r="AH198" t="s">
        <v>68</v>
      </c>
      <c r="AI198" t="s">
        <v>493</v>
      </c>
      <c r="AK198" t="s">
        <v>873</v>
      </c>
    </row>
    <row r="199" spans="1:37" customFormat="1">
      <c r="A199" t="s">
        <v>23</v>
      </c>
      <c r="B199" t="s">
        <v>24</v>
      </c>
      <c r="C199" t="s">
        <v>262</v>
      </c>
      <c r="D199" t="s">
        <v>140</v>
      </c>
      <c r="E199" t="s">
        <v>420</v>
      </c>
      <c r="F199" t="s">
        <v>141</v>
      </c>
      <c r="G199" t="s">
        <v>136</v>
      </c>
      <c r="H199" t="s">
        <v>153</v>
      </c>
      <c r="I199" t="s">
        <v>156</v>
      </c>
      <c r="J199" t="s">
        <v>26</v>
      </c>
      <c r="K199" t="s">
        <v>157</v>
      </c>
      <c r="L199" t="s">
        <v>143</v>
      </c>
      <c r="M199" t="s">
        <v>144</v>
      </c>
      <c r="N199" t="s">
        <v>442</v>
      </c>
      <c r="O199">
        <v>1</v>
      </c>
      <c r="P199" t="s">
        <v>160</v>
      </c>
      <c r="R199">
        <v>690.5</v>
      </c>
      <c r="S199">
        <v>688</v>
      </c>
      <c r="T199" t="s">
        <v>172</v>
      </c>
      <c r="U199" t="s">
        <v>296</v>
      </c>
      <c r="V199" t="s">
        <v>27</v>
      </c>
      <c r="W199" t="s">
        <v>66</v>
      </c>
      <c r="X199" t="s">
        <v>67</v>
      </c>
      <c r="Y199" t="s">
        <v>138</v>
      </c>
      <c r="AA199" t="s">
        <v>494</v>
      </c>
      <c r="AC199" t="s">
        <v>139</v>
      </c>
      <c r="AD199" t="s">
        <v>874</v>
      </c>
      <c r="AG199" t="s">
        <v>156</v>
      </c>
      <c r="AH199" t="s">
        <v>68</v>
      </c>
      <c r="AI199" t="s">
        <v>493</v>
      </c>
      <c r="AK199" t="s">
        <v>875</v>
      </c>
    </row>
    <row r="200" spans="1:37" customFormat="1">
      <c r="A200" t="s">
        <v>23</v>
      </c>
      <c r="B200" t="s">
        <v>24</v>
      </c>
      <c r="C200" t="s">
        <v>294</v>
      </c>
      <c r="D200" t="s">
        <v>140</v>
      </c>
      <c r="E200" t="s">
        <v>429</v>
      </c>
      <c r="F200" t="s">
        <v>141</v>
      </c>
      <c r="G200" t="s">
        <v>136</v>
      </c>
      <c r="H200" t="s">
        <v>153</v>
      </c>
      <c r="I200" t="s">
        <v>156</v>
      </c>
      <c r="J200" t="s">
        <v>25</v>
      </c>
      <c r="K200" t="s">
        <v>157</v>
      </c>
      <c r="L200" t="s">
        <v>143</v>
      </c>
      <c r="M200" t="s">
        <v>144</v>
      </c>
      <c r="N200" t="s">
        <v>443</v>
      </c>
      <c r="O200">
        <v>43</v>
      </c>
      <c r="P200" t="s">
        <v>159</v>
      </c>
      <c r="R200">
        <v>628</v>
      </c>
      <c r="S200">
        <v>591.67999999999995</v>
      </c>
      <c r="T200" t="s">
        <v>172</v>
      </c>
      <c r="U200" t="s">
        <v>216</v>
      </c>
      <c r="V200" t="s">
        <v>27</v>
      </c>
      <c r="W200" t="s">
        <v>66</v>
      </c>
      <c r="X200" t="s">
        <v>67</v>
      </c>
      <c r="Y200" t="s">
        <v>138</v>
      </c>
      <c r="AA200" t="s">
        <v>494</v>
      </c>
      <c r="AC200" t="s">
        <v>139</v>
      </c>
      <c r="AD200" t="s">
        <v>876</v>
      </c>
      <c r="AG200" t="s">
        <v>156</v>
      </c>
      <c r="AH200" t="s">
        <v>68</v>
      </c>
      <c r="AI200" t="s">
        <v>493</v>
      </c>
    </row>
    <row r="201" spans="1:37" customFormat="1">
      <c r="A201" t="s">
        <v>23</v>
      </c>
      <c r="B201" t="s">
        <v>24</v>
      </c>
      <c r="C201" t="s">
        <v>444</v>
      </c>
      <c r="D201" t="s">
        <v>140</v>
      </c>
      <c r="E201" t="s">
        <v>427</v>
      </c>
      <c r="F201" t="s">
        <v>141</v>
      </c>
      <c r="G201" t="s">
        <v>136</v>
      </c>
      <c r="H201" t="s">
        <v>146</v>
      </c>
      <c r="I201" t="s">
        <v>156</v>
      </c>
      <c r="J201" t="s">
        <v>26</v>
      </c>
      <c r="K201" t="s">
        <v>157</v>
      </c>
      <c r="L201" t="s">
        <v>143</v>
      </c>
      <c r="M201" t="s">
        <v>144</v>
      </c>
      <c r="N201" t="s">
        <v>445</v>
      </c>
      <c r="O201">
        <v>1</v>
      </c>
      <c r="P201" t="s">
        <v>160</v>
      </c>
      <c r="R201">
        <v>837.5</v>
      </c>
      <c r="S201">
        <v>834.5</v>
      </c>
      <c r="T201" t="s">
        <v>172</v>
      </c>
      <c r="U201" t="s">
        <v>409</v>
      </c>
      <c r="V201" t="s">
        <v>27</v>
      </c>
      <c r="W201" t="s">
        <v>66</v>
      </c>
      <c r="X201" t="s">
        <v>67</v>
      </c>
      <c r="Y201" t="s">
        <v>138</v>
      </c>
      <c r="AA201" t="s">
        <v>494</v>
      </c>
      <c r="AC201" t="s">
        <v>139</v>
      </c>
      <c r="AD201" t="s">
        <v>877</v>
      </c>
      <c r="AG201" t="s">
        <v>156</v>
      </c>
      <c r="AH201" t="s">
        <v>68</v>
      </c>
      <c r="AI201" t="s">
        <v>493</v>
      </c>
      <c r="AK201" t="s">
        <v>878</v>
      </c>
    </row>
    <row r="202" spans="1:37" customFormat="1">
      <c r="A202" t="s">
        <v>23</v>
      </c>
      <c r="B202" t="s">
        <v>24</v>
      </c>
      <c r="C202" t="s">
        <v>444</v>
      </c>
      <c r="D202" t="s">
        <v>140</v>
      </c>
      <c r="E202" t="s">
        <v>427</v>
      </c>
      <c r="F202" t="s">
        <v>141</v>
      </c>
      <c r="G202" t="s">
        <v>136</v>
      </c>
      <c r="H202" t="s">
        <v>146</v>
      </c>
      <c r="I202" t="s">
        <v>156</v>
      </c>
      <c r="J202" t="s">
        <v>26</v>
      </c>
      <c r="K202" t="s">
        <v>157</v>
      </c>
      <c r="L202" t="s">
        <v>143</v>
      </c>
      <c r="M202" t="s">
        <v>144</v>
      </c>
      <c r="N202" t="s">
        <v>446</v>
      </c>
      <c r="O202">
        <v>1</v>
      </c>
      <c r="P202" t="s">
        <v>160</v>
      </c>
      <c r="R202">
        <v>838.5</v>
      </c>
      <c r="S202">
        <v>834.5</v>
      </c>
      <c r="T202" t="s">
        <v>172</v>
      </c>
      <c r="U202" t="s">
        <v>409</v>
      </c>
      <c r="V202" t="s">
        <v>27</v>
      </c>
      <c r="W202" t="s">
        <v>66</v>
      </c>
      <c r="X202" t="s">
        <v>67</v>
      </c>
      <c r="Y202" t="s">
        <v>138</v>
      </c>
      <c r="AA202" t="s">
        <v>494</v>
      </c>
      <c r="AC202" t="s">
        <v>139</v>
      </c>
      <c r="AD202" t="s">
        <v>879</v>
      </c>
      <c r="AG202" t="s">
        <v>156</v>
      </c>
      <c r="AH202" t="s">
        <v>68</v>
      </c>
      <c r="AI202" t="s">
        <v>493</v>
      </c>
      <c r="AK202" t="s">
        <v>880</v>
      </c>
    </row>
    <row r="203" spans="1:37" customFormat="1">
      <c r="A203" t="s">
        <v>23</v>
      </c>
      <c r="B203" t="s">
        <v>24</v>
      </c>
      <c r="C203" t="s">
        <v>444</v>
      </c>
      <c r="D203" t="s">
        <v>140</v>
      </c>
      <c r="E203" t="s">
        <v>427</v>
      </c>
      <c r="F203" t="s">
        <v>141</v>
      </c>
      <c r="G203" t="s">
        <v>136</v>
      </c>
      <c r="H203" t="s">
        <v>146</v>
      </c>
      <c r="I203" t="s">
        <v>156</v>
      </c>
      <c r="J203" t="s">
        <v>26</v>
      </c>
      <c r="K203" t="s">
        <v>157</v>
      </c>
      <c r="L203" t="s">
        <v>143</v>
      </c>
      <c r="M203" t="s">
        <v>144</v>
      </c>
      <c r="N203" t="s">
        <v>447</v>
      </c>
      <c r="O203">
        <v>1</v>
      </c>
      <c r="P203" t="s">
        <v>160</v>
      </c>
      <c r="R203">
        <v>836.5</v>
      </c>
      <c r="S203">
        <v>834.5</v>
      </c>
      <c r="T203" t="s">
        <v>172</v>
      </c>
      <c r="U203" t="s">
        <v>409</v>
      </c>
      <c r="V203" t="s">
        <v>27</v>
      </c>
      <c r="W203" t="s">
        <v>66</v>
      </c>
      <c r="X203" t="s">
        <v>67</v>
      </c>
      <c r="Y203" t="s">
        <v>138</v>
      </c>
      <c r="AA203" t="s">
        <v>494</v>
      </c>
      <c r="AC203" t="s">
        <v>139</v>
      </c>
      <c r="AD203" t="s">
        <v>881</v>
      </c>
      <c r="AG203" t="s">
        <v>156</v>
      </c>
      <c r="AH203" t="s">
        <v>68</v>
      </c>
      <c r="AI203" t="s">
        <v>493</v>
      </c>
      <c r="AK203" t="s">
        <v>882</v>
      </c>
    </row>
    <row r="204" spans="1:37" customFormat="1">
      <c r="A204" t="s">
        <v>23</v>
      </c>
      <c r="B204" t="s">
        <v>24</v>
      </c>
      <c r="C204" t="s">
        <v>444</v>
      </c>
      <c r="D204" t="s">
        <v>140</v>
      </c>
      <c r="E204" t="s">
        <v>427</v>
      </c>
      <c r="F204" t="s">
        <v>141</v>
      </c>
      <c r="G204" t="s">
        <v>136</v>
      </c>
      <c r="H204" t="s">
        <v>146</v>
      </c>
      <c r="I204" t="s">
        <v>156</v>
      </c>
      <c r="J204" t="s">
        <v>26</v>
      </c>
      <c r="K204" t="s">
        <v>157</v>
      </c>
      <c r="L204" t="s">
        <v>143</v>
      </c>
      <c r="M204" t="s">
        <v>144</v>
      </c>
      <c r="N204" t="s">
        <v>448</v>
      </c>
      <c r="O204">
        <v>1</v>
      </c>
      <c r="P204" t="s">
        <v>160</v>
      </c>
      <c r="R204">
        <v>837</v>
      </c>
      <c r="S204">
        <v>834.5</v>
      </c>
      <c r="T204" t="s">
        <v>172</v>
      </c>
      <c r="U204" t="s">
        <v>409</v>
      </c>
      <c r="V204" t="s">
        <v>27</v>
      </c>
      <c r="W204" t="s">
        <v>66</v>
      </c>
      <c r="X204" t="s">
        <v>67</v>
      </c>
      <c r="Y204" t="s">
        <v>138</v>
      </c>
      <c r="AA204" t="s">
        <v>494</v>
      </c>
      <c r="AC204" t="s">
        <v>139</v>
      </c>
      <c r="AD204" t="s">
        <v>883</v>
      </c>
      <c r="AG204" t="s">
        <v>156</v>
      </c>
      <c r="AH204" t="s">
        <v>68</v>
      </c>
      <c r="AI204" t="s">
        <v>493</v>
      </c>
      <c r="AK204" t="s">
        <v>884</v>
      </c>
    </row>
    <row r="205" spans="1:37" customFormat="1">
      <c r="A205" t="s">
        <v>23</v>
      </c>
      <c r="B205" t="s">
        <v>24</v>
      </c>
      <c r="C205" t="s">
        <v>444</v>
      </c>
      <c r="D205" t="s">
        <v>140</v>
      </c>
      <c r="E205" t="s">
        <v>427</v>
      </c>
      <c r="F205" t="s">
        <v>141</v>
      </c>
      <c r="G205" t="s">
        <v>136</v>
      </c>
      <c r="H205" t="s">
        <v>146</v>
      </c>
      <c r="I205" t="s">
        <v>156</v>
      </c>
      <c r="J205" t="s">
        <v>26</v>
      </c>
      <c r="K205" t="s">
        <v>157</v>
      </c>
      <c r="L205" t="s">
        <v>143</v>
      </c>
      <c r="M205" t="s">
        <v>144</v>
      </c>
      <c r="N205" t="s">
        <v>449</v>
      </c>
      <c r="O205">
        <v>1</v>
      </c>
      <c r="P205" t="s">
        <v>160</v>
      </c>
      <c r="R205">
        <v>841</v>
      </c>
      <c r="S205">
        <v>834.5</v>
      </c>
      <c r="T205" t="s">
        <v>172</v>
      </c>
      <c r="U205" t="s">
        <v>409</v>
      </c>
      <c r="V205" t="s">
        <v>27</v>
      </c>
      <c r="W205" t="s">
        <v>66</v>
      </c>
      <c r="X205" t="s">
        <v>67</v>
      </c>
      <c r="Y205" t="s">
        <v>138</v>
      </c>
      <c r="AA205" t="s">
        <v>494</v>
      </c>
      <c r="AC205" t="s">
        <v>139</v>
      </c>
      <c r="AD205" t="s">
        <v>885</v>
      </c>
      <c r="AG205" t="s">
        <v>156</v>
      </c>
      <c r="AH205" t="s">
        <v>68</v>
      </c>
      <c r="AI205" t="s">
        <v>493</v>
      </c>
      <c r="AK205" t="s">
        <v>886</v>
      </c>
    </row>
    <row r="206" spans="1:37" customFormat="1">
      <c r="A206" t="s">
        <v>23</v>
      </c>
      <c r="B206" t="s">
        <v>24</v>
      </c>
      <c r="C206" t="s">
        <v>450</v>
      </c>
      <c r="D206" t="s">
        <v>140</v>
      </c>
      <c r="E206" t="s">
        <v>428</v>
      </c>
      <c r="F206" t="s">
        <v>141</v>
      </c>
      <c r="G206" t="s">
        <v>136</v>
      </c>
      <c r="H206" t="s">
        <v>146</v>
      </c>
      <c r="I206" t="s">
        <v>156</v>
      </c>
      <c r="J206" t="s">
        <v>25</v>
      </c>
      <c r="K206" t="s">
        <v>157</v>
      </c>
      <c r="L206" t="s">
        <v>143</v>
      </c>
      <c r="M206" t="s">
        <v>144</v>
      </c>
      <c r="N206" t="s">
        <v>451</v>
      </c>
      <c r="O206">
        <v>24</v>
      </c>
      <c r="P206" t="s">
        <v>159</v>
      </c>
      <c r="R206">
        <v>441.5</v>
      </c>
      <c r="S206">
        <v>400.56</v>
      </c>
      <c r="T206" t="s">
        <v>172</v>
      </c>
      <c r="U206" t="s">
        <v>216</v>
      </c>
      <c r="V206" t="s">
        <v>27</v>
      </c>
      <c r="W206" t="s">
        <v>66</v>
      </c>
      <c r="X206" t="s">
        <v>67</v>
      </c>
      <c r="Y206" t="s">
        <v>138</v>
      </c>
      <c r="AA206" t="s">
        <v>494</v>
      </c>
      <c r="AC206" t="s">
        <v>139</v>
      </c>
      <c r="AD206" t="s">
        <v>887</v>
      </c>
      <c r="AG206" t="s">
        <v>156</v>
      </c>
      <c r="AH206" t="s">
        <v>68</v>
      </c>
      <c r="AI206" t="s">
        <v>493</v>
      </c>
    </row>
    <row r="207" spans="1:37" customFormat="1">
      <c r="A207" t="s">
        <v>23</v>
      </c>
      <c r="B207" t="s">
        <v>24</v>
      </c>
      <c r="C207" t="s">
        <v>452</v>
      </c>
      <c r="D207" t="s">
        <v>140</v>
      </c>
      <c r="E207" t="s">
        <v>430</v>
      </c>
      <c r="F207" t="s">
        <v>141</v>
      </c>
      <c r="G207" t="s">
        <v>136</v>
      </c>
      <c r="H207" t="s">
        <v>184</v>
      </c>
      <c r="I207" t="s">
        <v>156</v>
      </c>
      <c r="J207" t="s">
        <v>25</v>
      </c>
      <c r="K207" t="s">
        <v>157</v>
      </c>
      <c r="L207" t="s">
        <v>143</v>
      </c>
      <c r="M207" t="s">
        <v>144</v>
      </c>
      <c r="N207" t="s">
        <v>453</v>
      </c>
      <c r="O207">
        <v>75</v>
      </c>
      <c r="P207" t="s">
        <v>159</v>
      </c>
      <c r="R207">
        <v>974</v>
      </c>
      <c r="S207">
        <v>933</v>
      </c>
      <c r="T207" t="s">
        <v>172</v>
      </c>
      <c r="U207" t="s">
        <v>389</v>
      </c>
      <c r="V207" t="s">
        <v>27</v>
      </c>
      <c r="W207" t="s">
        <v>66</v>
      </c>
      <c r="X207" t="s">
        <v>67</v>
      </c>
      <c r="Y207" t="s">
        <v>138</v>
      </c>
      <c r="AA207" t="s">
        <v>494</v>
      </c>
      <c r="AC207" t="s">
        <v>139</v>
      </c>
      <c r="AD207" t="s">
        <v>888</v>
      </c>
      <c r="AG207" t="s">
        <v>156</v>
      </c>
      <c r="AH207" t="s">
        <v>68</v>
      </c>
      <c r="AI207" t="s">
        <v>493</v>
      </c>
    </row>
    <row r="208" spans="1:37" customFormat="1">
      <c r="A208" t="s">
        <v>23</v>
      </c>
      <c r="B208" t="s">
        <v>24</v>
      </c>
      <c r="C208" t="s">
        <v>452</v>
      </c>
      <c r="D208" t="s">
        <v>140</v>
      </c>
      <c r="E208" t="s">
        <v>430</v>
      </c>
      <c r="F208" t="s">
        <v>141</v>
      </c>
      <c r="G208" t="s">
        <v>136</v>
      </c>
      <c r="H208" t="s">
        <v>184</v>
      </c>
      <c r="I208" t="s">
        <v>156</v>
      </c>
      <c r="J208" t="s">
        <v>25</v>
      </c>
      <c r="K208" t="s">
        <v>157</v>
      </c>
      <c r="L208" t="s">
        <v>143</v>
      </c>
      <c r="M208" t="s">
        <v>144</v>
      </c>
      <c r="N208" t="s">
        <v>454</v>
      </c>
      <c r="O208">
        <v>75</v>
      </c>
      <c r="P208" t="s">
        <v>159</v>
      </c>
      <c r="R208">
        <v>970.5</v>
      </c>
      <c r="S208">
        <v>933</v>
      </c>
      <c r="T208" t="s">
        <v>172</v>
      </c>
      <c r="U208" t="s">
        <v>389</v>
      </c>
      <c r="V208" t="s">
        <v>27</v>
      </c>
      <c r="W208" t="s">
        <v>66</v>
      </c>
      <c r="X208" t="s">
        <v>67</v>
      </c>
      <c r="Y208" t="s">
        <v>138</v>
      </c>
      <c r="AA208" t="s">
        <v>494</v>
      </c>
      <c r="AC208" t="s">
        <v>139</v>
      </c>
      <c r="AD208" t="s">
        <v>889</v>
      </c>
      <c r="AG208" t="s">
        <v>156</v>
      </c>
      <c r="AH208" t="s">
        <v>68</v>
      </c>
      <c r="AI208" t="s">
        <v>493</v>
      </c>
    </row>
    <row r="209" spans="1:35" customFormat="1">
      <c r="A209" t="s">
        <v>23</v>
      </c>
      <c r="B209" t="s">
        <v>24</v>
      </c>
      <c r="C209" t="s">
        <v>452</v>
      </c>
      <c r="D209" t="s">
        <v>140</v>
      </c>
      <c r="E209" t="s">
        <v>430</v>
      </c>
      <c r="F209" t="s">
        <v>141</v>
      </c>
      <c r="G209" t="s">
        <v>136</v>
      </c>
      <c r="H209" t="s">
        <v>184</v>
      </c>
      <c r="I209" t="s">
        <v>156</v>
      </c>
      <c r="J209" t="s">
        <v>25</v>
      </c>
      <c r="K209" t="s">
        <v>157</v>
      </c>
      <c r="L209" t="s">
        <v>143</v>
      </c>
      <c r="M209" t="s">
        <v>144</v>
      </c>
      <c r="N209" t="s">
        <v>455</v>
      </c>
      <c r="O209">
        <v>75</v>
      </c>
      <c r="P209" t="s">
        <v>159</v>
      </c>
      <c r="R209">
        <v>972.5</v>
      </c>
      <c r="S209">
        <v>933</v>
      </c>
      <c r="T209" t="s">
        <v>172</v>
      </c>
      <c r="U209" t="s">
        <v>389</v>
      </c>
      <c r="V209" t="s">
        <v>27</v>
      </c>
      <c r="W209" t="s">
        <v>66</v>
      </c>
      <c r="X209" t="s">
        <v>67</v>
      </c>
      <c r="Y209" t="s">
        <v>138</v>
      </c>
      <c r="AA209" t="s">
        <v>494</v>
      </c>
      <c r="AC209" t="s">
        <v>139</v>
      </c>
      <c r="AD209" t="s">
        <v>890</v>
      </c>
      <c r="AG209" t="s">
        <v>156</v>
      </c>
      <c r="AH209" t="s">
        <v>68</v>
      </c>
      <c r="AI209" t="s">
        <v>493</v>
      </c>
    </row>
    <row r="210" spans="1:35" customFormat="1">
      <c r="A210" t="s">
        <v>23</v>
      </c>
      <c r="B210" t="s">
        <v>24</v>
      </c>
      <c r="C210" t="s">
        <v>452</v>
      </c>
      <c r="D210" t="s">
        <v>140</v>
      </c>
      <c r="E210" t="s">
        <v>430</v>
      </c>
      <c r="F210" t="s">
        <v>141</v>
      </c>
      <c r="G210" t="s">
        <v>136</v>
      </c>
      <c r="H210" t="s">
        <v>184</v>
      </c>
      <c r="I210" t="s">
        <v>156</v>
      </c>
      <c r="J210" t="s">
        <v>25</v>
      </c>
      <c r="K210" t="s">
        <v>157</v>
      </c>
      <c r="L210" t="s">
        <v>143</v>
      </c>
      <c r="M210" t="s">
        <v>144</v>
      </c>
      <c r="N210" t="s">
        <v>456</v>
      </c>
      <c r="O210">
        <v>75</v>
      </c>
      <c r="P210" t="s">
        <v>159</v>
      </c>
      <c r="R210">
        <v>974</v>
      </c>
      <c r="S210">
        <v>933</v>
      </c>
      <c r="T210" t="s">
        <v>172</v>
      </c>
      <c r="U210" t="s">
        <v>389</v>
      </c>
      <c r="V210" t="s">
        <v>27</v>
      </c>
      <c r="W210" t="s">
        <v>66</v>
      </c>
      <c r="X210" t="s">
        <v>67</v>
      </c>
      <c r="Y210" t="s">
        <v>138</v>
      </c>
      <c r="AA210" t="s">
        <v>494</v>
      </c>
      <c r="AC210" t="s">
        <v>139</v>
      </c>
      <c r="AD210" t="s">
        <v>891</v>
      </c>
      <c r="AG210" t="s">
        <v>156</v>
      </c>
      <c r="AH210" t="s">
        <v>68</v>
      </c>
      <c r="AI210" t="s">
        <v>493</v>
      </c>
    </row>
    <row r="211" spans="1:35" customFormat="1">
      <c r="A211" t="s">
        <v>23</v>
      </c>
      <c r="B211" t="s">
        <v>24</v>
      </c>
      <c r="C211" t="s">
        <v>452</v>
      </c>
      <c r="D211" t="s">
        <v>140</v>
      </c>
      <c r="E211" t="s">
        <v>430</v>
      </c>
      <c r="F211" t="s">
        <v>141</v>
      </c>
      <c r="G211" t="s">
        <v>136</v>
      </c>
      <c r="H211" t="s">
        <v>184</v>
      </c>
      <c r="I211" t="s">
        <v>156</v>
      </c>
      <c r="J211" t="s">
        <v>25</v>
      </c>
      <c r="K211" t="s">
        <v>157</v>
      </c>
      <c r="L211" t="s">
        <v>143</v>
      </c>
      <c r="M211" t="s">
        <v>144</v>
      </c>
      <c r="N211" t="s">
        <v>457</v>
      </c>
      <c r="O211">
        <v>75</v>
      </c>
      <c r="P211" t="s">
        <v>159</v>
      </c>
      <c r="R211">
        <v>970.5</v>
      </c>
      <c r="S211">
        <v>933</v>
      </c>
      <c r="T211" t="s">
        <v>172</v>
      </c>
      <c r="U211" t="s">
        <v>389</v>
      </c>
      <c r="V211" t="s">
        <v>27</v>
      </c>
      <c r="W211" t="s">
        <v>66</v>
      </c>
      <c r="X211" t="s">
        <v>67</v>
      </c>
      <c r="Y211" t="s">
        <v>138</v>
      </c>
      <c r="AA211" t="s">
        <v>494</v>
      </c>
      <c r="AC211" t="s">
        <v>139</v>
      </c>
      <c r="AD211" t="s">
        <v>892</v>
      </c>
      <c r="AG211" t="s">
        <v>156</v>
      </c>
      <c r="AH211" t="s">
        <v>68</v>
      </c>
      <c r="AI211" t="s">
        <v>493</v>
      </c>
    </row>
    <row r="212" spans="1:35" customFormat="1">
      <c r="A212" t="s">
        <v>23</v>
      </c>
      <c r="B212" t="s">
        <v>24</v>
      </c>
      <c r="C212" t="s">
        <v>452</v>
      </c>
      <c r="D212" t="s">
        <v>140</v>
      </c>
      <c r="E212" t="s">
        <v>430</v>
      </c>
      <c r="F212" t="s">
        <v>141</v>
      </c>
      <c r="G212" t="s">
        <v>136</v>
      </c>
      <c r="H212" t="s">
        <v>184</v>
      </c>
      <c r="I212" t="s">
        <v>156</v>
      </c>
      <c r="J212" t="s">
        <v>25</v>
      </c>
      <c r="K212" t="s">
        <v>157</v>
      </c>
      <c r="L212" t="s">
        <v>143</v>
      </c>
      <c r="M212" t="s">
        <v>144</v>
      </c>
      <c r="N212" t="s">
        <v>458</v>
      </c>
      <c r="O212">
        <v>75</v>
      </c>
      <c r="P212" t="s">
        <v>159</v>
      </c>
      <c r="R212">
        <v>970</v>
      </c>
      <c r="S212">
        <v>933</v>
      </c>
      <c r="T212" t="s">
        <v>172</v>
      </c>
      <c r="U212" t="s">
        <v>389</v>
      </c>
      <c r="V212" t="s">
        <v>27</v>
      </c>
      <c r="W212" t="s">
        <v>66</v>
      </c>
      <c r="X212" t="s">
        <v>67</v>
      </c>
      <c r="Y212" t="s">
        <v>138</v>
      </c>
      <c r="AA212" t="s">
        <v>494</v>
      </c>
      <c r="AC212" t="s">
        <v>139</v>
      </c>
      <c r="AD212" t="s">
        <v>893</v>
      </c>
      <c r="AG212" t="s">
        <v>156</v>
      </c>
      <c r="AH212" t="s">
        <v>68</v>
      </c>
      <c r="AI212" t="s">
        <v>493</v>
      </c>
    </row>
    <row r="213" spans="1:35" customFormat="1">
      <c r="A213" t="s">
        <v>23</v>
      </c>
      <c r="B213" t="s">
        <v>24</v>
      </c>
      <c r="C213" t="s">
        <v>452</v>
      </c>
      <c r="D213" t="s">
        <v>140</v>
      </c>
      <c r="E213" t="s">
        <v>430</v>
      </c>
      <c r="F213" t="s">
        <v>141</v>
      </c>
      <c r="G213" t="s">
        <v>136</v>
      </c>
      <c r="H213" t="s">
        <v>184</v>
      </c>
      <c r="I213" t="s">
        <v>156</v>
      </c>
      <c r="J213" t="s">
        <v>25</v>
      </c>
      <c r="K213" t="s">
        <v>157</v>
      </c>
      <c r="L213" t="s">
        <v>143</v>
      </c>
      <c r="M213" t="s">
        <v>144</v>
      </c>
      <c r="N213" t="s">
        <v>459</v>
      </c>
      <c r="O213">
        <v>75</v>
      </c>
      <c r="P213" t="s">
        <v>159</v>
      </c>
      <c r="R213">
        <v>970</v>
      </c>
      <c r="S213">
        <v>933</v>
      </c>
      <c r="T213" t="s">
        <v>172</v>
      </c>
      <c r="U213" t="s">
        <v>389</v>
      </c>
      <c r="V213" t="s">
        <v>27</v>
      </c>
      <c r="W213" t="s">
        <v>66</v>
      </c>
      <c r="X213" t="s">
        <v>67</v>
      </c>
      <c r="Y213" t="s">
        <v>138</v>
      </c>
      <c r="AA213" t="s">
        <v>494</v>
      </c>
      <c r="AC213" t="s">
        <v>139</v>
      </c>
      <c r="AD213" t="s">
        <v>894</v>
      </c>
      <c r="AG213" t="s">
        <v>156</v>
      </c>
      <c r="AH213" t="s">
        <v>68</v>
      </c>
      <c r="AI213" t="s">
        <v>493</v>
      </c>
    </row>
    <row r="214" spans="1:35" customFormat="1">
      <c r="A214" t="s">
        <v>23</v>
      </c>
      <c r="B214" t="s">
        <v>24</v>
      </c>
      <c r="C214" t="s">
        <v>452</v>
      </c>
      <c r="D214" t="s">
        <v>140</v>
      </c>
      <c r="E214" t="s">
        <v>430</v>
      </c>
      <c r="F214" t="s">
        <v>141</v>
      </c>
      <c r="G214" t="s">
        <v>136</v>
      </c>
      <c r="H214" t="s">
        <v>184</v>
      </c>
      <c r="I214" t="s">
        <v>156</v>
      </c>
      <c r="J214" t="s">
        <v>25</v>
      </c>
      <c r="K214" t="s">
        <v>157</v>
      </c>
      <c r="L214" t="s">
        <v>143</v>
      </c>
      <c r="M214" t="s">
        <v>144</v>
      </c>
      <c r="N214" t="s">
        <v>460</v>
      </c>
      <c r="O214">
        <v>75</v>
      </c>
      <c r="P214" t="s">
        <v>159</v>
      </c>
      <c r="R214">
        <v>974</v>
      </c>
      <c r="S214">
        <v>933</v>
      </c>
      <c r="T214" t="s">
        <v>172</v>
      </c>
      <c r="U214" t="s">
        <v>389</v>
      </c>
      <c r="V214" t="s">
        <v>27</v>
      </c>
      <c r="W214" t="s">
        <v>66</v>
      </c>
      <c r="X214" t="s">
        <v>67</v>
      </c>
      <c r="Y214" t="s">
        <v>138</v>
      </c>
      <c r="AA214" t="s">
        <v>494</v>
      </c>
      <c r="AC214" t="s">
        <v>139</v>
      </c>
      <c r="AD214" t="s">
        <v>895</v>
      </c>
      <c r="AG214" t="s">
        <v>156</v>
      </c>
      <c r="AH214" t="s">
        <v>68</v>
      </c>
      <c r="AI214" t="s">
        <v>493</v>
      </c>
    </row>
    <row r="215" spans="1:35" customFormat="1">
      <c r="A215" t="s">
        <v>23</v>
      </c>
      <c r="B215" t="s">
        <v>24</v>
      </c>
      <c r="C215" t="s">
        <v>452</v>
      </c>
      <c r="D215" t="s">
        <v>140</v>
      </c>
      <c r="E215" t="s">
        <v>430</v>
      </c>
      <c r="F215" t="s">
        <v>141</v>
      </c>
      <c r="G215" t="s">
        <v>136</v>
      </c>
      <c r="H215" t="s">
        <v>184</v>
      </c>
      <c r="I215" t="s">
        <v>156</v>
      </c>
      <c r="J215" t="s">
        <v>25</v>
      </c>
      <c r="K215" t="s">
        <v>157</v>
      </c>
      <c r="L215" t="s">
        <v>143</v>
      </c>
      <c r="M215" t="s">
        <v>144</v>
      </c>
      <c r="N215" t="s">
        <v>461</v>
      </c>
      <c r="O215">
        <v>75</v>
      </c>
      <c r="P215" t="s">
        <v>159</v>
      </c>
      <c r="R215">
        <v>973</v>
      </c>
      <c r="S215">
        <v>933</v>
      </c>
      <c r="T215" t="s">
        <v>172</v>
      </c>
      <c r="U215" t="s">
        <v>389</v>
      </c>
      <c r="V215" t="s">
        <v>27</v>
      </c>
      <c r="W215" t="s">
        <v>66</v>
      </c>
      <c r="X215" t="s">
        <v>67</v>
      </c>
      <c r="Y215" t="s">
        <v>138</v>
      </c>
      <c r="AA215" t="s">
        <v>494</v>
      </c>
      <c r="AC215" t="s">
        <v>139</v>
      </c>
      <c r="AD215" t="s">
        <v>896</v>
      </c>
      <c r="AG215" t="s">
        <v>156</v>
      </c>
      <c r="AH215" t="s">
        <v>68</v>
      </c>
      <c r="AI215" t="s">
        <v>493</v>
      </c>
    </row>
    <row r="216" spans="1:35" customFormat="1">
      <c r="A216" t="s">
        <v>23</v>
      </c>
      <c r="B216" t="s">
        <v>24</v>
      </c>
      <c r="C216" t="s">
        <v>452</v>
      </c>
      <c r="D216" t="s">
        <v>140</v>
      </c>
      <c r="E216" t="s">
        <v>430</v>
      </c>
      <c r="F216" t="s">
        <v>141</v>
      </c>
      <c r="G216" t="s">
        <v>136</v>
      </c>
      <c r="H216" t="s">
        <v>184</v>
      </c>
      <c r="I216" t="s">
        <v>156</v>
      </c>
      <c r="J216" t="s">
        <v>25</v>
      </c>
      <c r="K216" t="s">
        <v>157</v>
      </c>
      <c r="L216" t="s">
        <v>147</v>
      </c>
      <c r="M216" t="s">
        <v>144</v>
      </c>
      <c r="N216" t="s">
        <v>462</v>
      </c>
      <c r="O216">
        <v>39</v>
      </c>
      <c r="P216" t="s">
        <v>159</v>
      </c>
      <c r="R216">
        <v>519.5</v>
      </c>
      <c r="S216">
        <v>485.16</v>
      </c>
      <c r="T216" t="s">
        <v>172</v>
      </c>
      <c r="U216" t="s">
        <v>389</v>
      </c>
      <c r="V216" t="s">
        <v>27</v>
      </c>
      <c r="W216" t="s">
        <v>66</v>
      </c>
      <c r="X216" t="s">
        <v>67</v>
      </c>
      <c r="Y216" t="s">
        <v>138</v>
      </c>
      <c r="AA216" t="s">
        <v>494</v>
      </c>
      <c r="AC216" t="s">
        <v>139</v>
      </c>
      <c r="AD216" t="s">
        <v>897</v>
      </c>
      <c r="AG216" t="s">
        <v>156</v>
      </c>
      <c r="AH216" t="s">
        <v>68</v>
      </c>
      <c r="AI216" t="s">
        <v>493</v>
      </c>
    </row>
    <row r="217" spans="1:35" customFormat="1">
      <c r="A217" t="s">
        <v>23</v>
      </c>
      <c r="B217" t="s">
        <v>24</v>
      </c>
      <c r="C217" t="s">
        <v>452</v>
      </c>
      <c r="D217" t="s">
        <v>140</v>
      </c>
      <c r="E217" t="s">
        <v>431</v>
      </c>
      <c r="F217" t="s">
        <v>141</v>
      </c>
      <c r="G217" t="s">
        <v>136</v>
      </c>
      <c r="H217" t="s">
        <v>184</v>
      </c>
      <c r="I217" t="s">
        <v>156</v>
      </c>
      <c r="J217" t="s">
        <v>25</v>
      </c>
      <c r="K217" t="s">
        <v>157</v>
      </c>
      <c r="L217" t="s">
        <v>147</v>
      </c>
      <c r="M217" t="s">
        <v>144</v>
      </c>
      <c r="N217" t="s">
        <v>463</v>
      </c>
      <c r="O217">
        <v>75</v>
      </c>
      <c r="P217" t="s">
        <v>159</v>
      </c>
      <c r="R217">
        <v>962.5</v>
      </c>
      <c r="S217">
        <v>924.75</v>
      </c>
      <c r="T217" t="s">
        <v>172</v>
      </c>
      <c r="U217" t="s">
        <v>389</v>
      </c>
      <c r="V217" t="s">
        <v>27</v>
      </c>
      <c r="W217" t="s">
        <v>66</v>
      </c>
      <c r="X217" t="s">
        <v>67</v>
      </c>
      <c r="Y217" t="s">
        <v>138</v>
      </c>
      <c r="AA217" t="s">
        <v>494</v>
      </c>
      <c r="AC217" t="s">
        <v>139</v>
      </c>
      <c r="AD217" t="s">
        <v>898</v>
      </c>
      <c r="AG217" t="s">
        <v>156</v>
      </c>
      <c r="AH217" t="s">
        <v>68</v>
      </c>
      <c r="AI217" t="s">
        <v>493</v>
      </c>
    </row>
    <row r="218" spans="1:35" customFormat="1">
      <c r="A218" t="s">
        <v>23</v>
      </c>
      <c r="B218" t="s">
        <v>24</v>
      </c>
      <c r="C218" t="s">
        <v>452</v>
      </c>
      <c r="D218" t="s">
        <v>140</v>
      </c>
      <c r="E218" t="s">
        <v>431</v>
      </c>
      <c r="F218" t="s">
        <v>141</v>
      </c>
      <c r="G218" t="s">
        <v>136</v>
      </c>
      <c r="H218" t="s">
        <v>184</v>
      </c>
      <c r="I218" t="s">
        <v>156</v>
      </c>
      <c r="J218" t="s">
        <v>25</v>
      </c>
      <c r="K218" t="s">
        <v>157</v>
      </c>
      <c r="L218" t="s">
        <v>147</v>
      </c>
      <c r="M218" t="s">
        <v>144</v>
      </c>
      <c r="N218" t="s">
        <v>464</v>
      </c>
      <c r="O218">
        <v>75</v>
      </c>
      <c r="P218" t="s">
        <v>159</v>
      </c>
      <c r="R218">
        <v>970</v>
      </c>
      <c r="S218">
        <v>924.75</v>
      </c>
      <c r="T218" t="s">
        <v>172</v>
      </c>
      <c r="U218" t="s">
        <v>389</v>
      </c>
      <c r="V218" t="s">
        <v>27</v>
      </c>
      <c r="W218" t="s">
        <v>66</v>
      </c>
      <c r="X218" t="s">
        <v>67</v>
      </c>
      <c r="Y218" t="s">
        <v>138</v>
      </c>
      <c r="AA218" t="s">
        <v>494</v>
      </c>
      <c r="AC218" t="s">
        <v>139</v>
      </c>
      <c r="AD218" t="s">
        <v>899</v>
      </c>
      <c r="AG218" t="s">
        <v>156</v>
      </c>
      <c r="AH218" t="s">
        <v>68</v>
      </c>
      <c r="AI218" t="s">
        <v>493</v>
      </c>
    </row>
    <row r="219" spans="1:35" customFormat="1">
      <c r="A219" t="s">
        <v>23</v>
      </c>
      <c r="B219" t="s">
        <v>24</v>
      </c>
      <c r="C219" t="s">
        <v>452</v>
      </c>
      <c r="D219" t="s">
        <v>140</v>
      </c>
      <c r="E219" t="s">
        <v>431</v>
      </c>
      <c r="F219" t="s">
        <v>141</v>
      </c>
      <c r="G219" t="s">
        <v>136</v>
      </c>
      <c r="H219" t="s">
        <v>184</v>
      </c>
      <c r="I219" t="s">
        <v>156</v>
      </c>
      <c r="J219" t="s">
        <v>25</v>
      </c>
      <c r="K219" t="s">
        <v>157</v>
      </c>
      <c r="L219" t="s">
        <v>147</v>
      </c>
      <c r="M219" t="s">
        <v>144</v>
      </c>
      <c r="N219" t="s">
        <v>465</v>
      </c>
      <c r="O219">
        <v>75</v>
      </c>
      <c r="P219" t="s">
        <v>159</v>
      </c>
      <c r="R219">
        <v>967.5</v>
      </c>
      <c r="S219">
        <v>924.75</v>
      </c>
      <c r="T219" t="s">
        <v>172</v>
      </c>
      <c r="U219" t="s">
        <v>389</v>
      </c>
      <c r="V219" t="s">
        <v>27</v>
      </c>
      <c r="W219" t="s">
        <v>66</v>
      </c>
      <c r="X219" t="s">
        <v>67</v>
      </c>
      <c r="Y219" t="s">
        <v>138</v>
      </c>
      <c r="AA219" t="s">
        <v>494</v>
      </c>
      <c r="AC219" t="s">
        <v>139</v>
      </c>
      <c r="AD219" t="s">
        <v>900</v>
      </c>
      <c r="AG219" t="s">
        <v>156</v>
      </c>
      <c r="AH219" t="s">
        <v>68</v>
      </c>
      <c r="AI219" t="s">
        <v>493</v>
      </c>
    </row>
    <row r="220" spans="1:35" customFormat="1">
      <c r="A220" t="s">
        <v>23</v>
      </c>
      <c r="B220" t="s">
        <v>24</v>
      </c>
      <c r="C220" t="s">
        <v>452</v>
      </c>
      <c r="D220" t="s">
        <v>140</v>
      </c>
      <c r="E220" t="s">
        <v>431</v>
      </c>
      <c r="F220" t="s">
        <v>141</v>
      </c>
      <c r="G220" t="s">
        <v>136</v>
      </c>
      <c r="H220" t="s">
        <v>184</v>
      </c>
      <c r="I220" t="s">
        <v>156</v>
      </c>
      <c r="J220" t="s">
        <v>25</v>
      </c>
      <c r="K220" t="s">
        <v>157</v>
      </c>
      <c r="L220" t="s">
        <v>147</v>
      </c>
      <c r="M220" t="s">
        <v>144</v>
      </c>
      <c r="N220" t="s">
        <v>466</v>
      </c>
      <c r="O220">
        <v>75</v>
      </c>
      <c r="P220" t="s">
        <v>159</v>
      </c>
      <c r="R220">
        <v>964</v>
      </c>
      <c r="S220">
        <v>924.75</v>
      </c>
      <c r="T220" t="s">
        <v>172</v>
      </c>
      <c r="U220" t="s">
        <v>389</v>
      </c>
      <c r="V220" t="s">
        <v>27</v>
      </c>
      <c r="W220" t="s">
        <v>66</v>
      </c>
      <c r="X220" t="s">
        <v>67</v>
      </c>
      <c r="Y220" t="s">
        <v>138</v>
      </c>
      <c r="AA220" t="s">
        <v>494</v>
      </c>
      <c r="AC220" t="s">
        <v>139</v>
      </c>
      <c r="AD220" t="s">
        <v>901</v>
      </c>
      <c r="AG220" t="s">
        <v>156</v>
      </c>
      <c r="AH220" t="s">
        <v>68</v>
      </c>
      <c r="AI220" t="s">
        <v>493</v>
      </c>
    </row>
    <row r="221" spans="1:35" customFormat="1">
      <c r="A221" t="s">
        <v>23</v>
      </c>
      <c r="B221" t="s">
        <v>24</v>
      </c>
      <c r="C221" t="s">
        <v>452</v>
      </c>
      <c r="D221" t="s">
        <v>140</v>
      </c>
      <c r="E221" t="s">
        <v>431</v>
      </c>
      <c r="F221" t="s">
        <v>141</v>
      </c>
      <c r="G221" t="s">
        <v>136</v>
      </c>
      <c r="H221" t="s">
        <v>184</v>
      </c>
      <c r="I221" t="s">
        <v>156</v>
      </c>
      <c r="J221" t="s">
        <v>25</v>
      </c>
      <c r="K221" t="s">
        <v>157</v>
      </c>
      <c r="L221" t="s">
        <v>147</v>
      </c>
      <c r="M221" t="s">
        <v>144</v>
      </c>
      <c r="N221" t="s">
        <v>467</v>
      </c>
      <c r="O221">
        <v>75</v>
      </c>
      <c r="P221" t="s">
        <v>159</v>
      </c>
      <c r="R221">
        <v>968</v>
      </c>
      <c r="S221">
        <v>924.75</v>
      </c>
      <c r="T221" t="s">
        <v>172</v>
      </c>
      <c r="U221" t="s">
        <v>389</v>
      </c>
      <c r="V221" t="s">
        <v>27</v>
      </c>
      <c r="W221" t="s">
        <v>66</v>
      </c>
      <c r="X221" t="s">
        <v>67</v>
      </c>
      <c r="Y221" t="s">
        <v>138</v>
      </c>
      <c r="AA221" t="s">
        <v>494</v>
      </c>
      <c r="AC221" t="s">
        <v>139</v>
      </c>
      <c r="AD221" t="s">
        <v>902</v>
      </c>
      <c r="AG221" t="s">
        <v>156</v>
      </c>
      <c r="AH221" t="s">
        <v>68</v>
      </c>
      <c r="AI221" t="s">
        <v>493</v>
      </c>
    </row>
    <row r="222" spans="1:35" customFormat="1">
      <c r="A222" t="s">
        <v>23</v>
      </c>
      <c r="B222" t="s">
        <v>24</v>
      </c>
      <c r="C222" t="s">
        <v>452</v>
      </c>
      <c r="D222" t="s">
        <v>140</v>
      </c>
      <c r="E222" t="s">
        <v>431</v>
      </c>
      <c r="F222" t="s">
        <v>141</v>
      </c>
      <c r="G222" t="s">
        <v>136</v>
      </c>
      <c r="H222" t="s">
        <v>184</v>
      </c>
      <c r="I222" t="s">
        <v>156</v>
      </c>
      <c r="J222" t="s">
        <v>25</v>
      </c>
      <c r="K222" t="s">
        <v>157</v>
      </c>
      <c r="L222" t="s">
        <v>147</v>
      </c>
      <c r="M222" t="s">
        <v>144</v>
      </c>
      <c r="N222" t="s">
        <v>468</v>
      </c>
      <c r="O222">
        <v>75</v>
      </c>
      <c r="P222" t="s">
        <v>159</v>
      </c>
      <c r="R222">
        <v>965</v>
      </c>
      <c r="S222">
        <v>924.75</v>
      </c>
      <c r="T222" t="s">
        <v>172</v>
      </c>
      <c r="U222" t="s">
        <v>389</v>
      </c>
      <c r="V222" t="s">
        <v>27</v>
      </c>
      <c r="W222" t="s">
        <v>66</v>
      </c>
      <c r="X222" t="s">
        <v>67</v>
      </c>
      <c r="Y222" t="s">
        <v>138</v>
      </c>
      <c r="AA222" t="s">
        <v>494</v>
      </c>
      <c r="AC222" t="s">
        <v>139</v>
      </c>
      <c r="AD222" t="s">
        <v>903</v>
      </c>
      <c r="AG222" t="s">
        <v>156</v>
      </c>
      <c r="AH222" t="s">
        <v>68</v>
      </c>
      <c r="AI222" t="s">
        <v>493</v>
      </c>
    </row>
    <row r="223" spans="1:35" customFormat="1">
      <c r="A223" t="s">
        <v>23</v>
      </c>
      <c r="B223" t="s">
        <v>24</v>
      </c>
      <c r="C223" t="s">
        <v>452</v>
      </c>
      <c r="D223" t="s">
        <v>140</v>
      </c>
      <c r="E223" t="s">
        <v>431</v>
      </c>
      <c r="F223" t="s">
        <v>141</v>
      </c>
      <c r="G223" t="s">
        <v>136</v>
      </c>
      <c r="H223" t="s">
        <v>184</v>
      </c>
      <c r="I223" t="s">
        <v>156</v>
      </c>
      <c r="J223" t="s">
        <v>25</v>
      </c>
      <c r="K223" t="s">
        <v>157</v>
      </c>
      <c r="L223" t="s">
        <v>147</v>
      </c>
      <c r="M223" t="s">
        <v>144</v>
      </c>
      <c r="N223" t="s">
        <v>469</v>
      </c>
      <c r="O223">
        <v>75</v>
      </c>
      <c r="P223" t="s">
        <v>159</v>
      </c>
      <c r="R223">
        <v>963.5</v>
      </c>
      <c r="S223">
        <v>924.75</v>
      </c>
      <c r="T223" t="s">
        <v>172</v>
      </c>
      <c r="U223" t="s">
        <v>389</v>
      </c>
      <c r="V223" t="s">
        <v>27</v>
      </c>
      <c r="W223" t="s">
        <v>66</v>
      </c>
      <c r="X223" t="s">
        <v>67</v>
      </c>
      <c r="Y223" t="s">
        <v>138</v>
      </c>
      <c r="AA223" t="s">
        <v>494</v>
      </c>
      <c r="AC223" t="s">
        <v>139</v>
      </c>
      <c r="AD223" t="s">
        <v>904</v>
      </c>
      <c r="AG223" t="s">
        <v>156</v>
      </c>
      <c r="AH223" t="s">
        <v>68</v>
      </c>
      <c r="AI223" t="s">
        <v>493</v>
      </c>
    </row>
    <row r="224" spans="1:35" customFormat="1">
      <c r="A224" t="s">
        <v>23</v>
      </c>
      <c r="B224" t="s">
        <v>24</v>
      </c>
      <c r="C224" t="s">
        <v>452</v>
      </c>
      <c r="D224" t="s">
        <v>140</v>
      </c>
      <c r="E224" t="s">
        <v>431</v>
      </c>
      <c r="F224" t="s">
        <v>141</v>
      </c>
      <c r="G224" t="s">
        <v>136</v>
      </c>
      <c r="H224" t="s">
        <v>184</v>
      </c>
      <c r="I224" t="s">
        <v>156</v>
      </c>
      <c r="J224" t="s">
        <v>25</v>
      </c>
      <c r="K224" t="s">
        <v>157</v>
      </c>
      <c r="L224" t="s">
        <v>147</v>
      </c>
      <c r="M224" t="s">
        <v>144</v>
      </c>
      <c r="N224" t="s">
        <v>470</v>
      </c>
      <c r="O224">
        <v>75</v>
      </c>
      <c r="P224" t="s">
        <v>159</v>
      </c>
      <c r="R224">
        <v>964.5</v>
      </c>
      <c r="S224">
        <v>924.75</v>
      </c>
      <c r="T224" t="s">
        <v>172</v>
      </c>
      <c r="U224" t="s">
        <v>389</v>
      </c>
      <c r="V224" t="s">
        <v>27</v>
      </c>
      <c r="W224" t="s">
        <v>66</v>
      </c>
      <c r="X224" t="s">
        <v>67</v>
      </c>
      <c r="Y224" t="s">
        <v>138</v>
      </c>
      <c r="AA224" t="s">
        <v>494</v>
      </c>
      <c r="AC224" t="s">
        <v>139</v>
      </c>
      <c r="AD224" t="s">
        <v>905</v>
      </c>
      <c r="AG224" t="s">
        <v>156</v>
      </c>
      <c r="AH224" t="s">
        <v>68</v>
      </c>
      <c r="AI224" t="s">
        <v>493</v>
      </c>
    </row>
    <row r="225" spans="1:35" customFormat="1">
      <c r="A225" t="s">
        <v>23</v>
      </c>
      <c r="B225" t="s">
        <v>24</v>
      </c>
      <c r="C225" t="s">
        <v>452</v>
      </c>
      <c r="D225" t="s">
        <v>140</v>
      </c>
      <c r="E225" t="s">
        <v>431</v>
      </c>
      <c r="F225" t="s">
        <v>141</v>
      </c>
      <c r="G225" t="s">
        <v>136</v>
      </c>
      <c r="H225" t="s">
        <v>184</v>
      </c>
      <c r="I225" t="s">
        <v>156</v>
      </c>
      <c r="J225" t="s">
        <v>25</v>
      </c>
      <c r="K225" t="s">
        <v>157</v>
      </c>
      <c r="L225" t="s">
        <v>147</v>
      </c>
      <c r="M225" t="s">
        <v>144</v>
      </c>
      <c r="N225" t="s">
        <v>471</v>
      </c>
      <c r="O225">
        <v>75</v>
      </c>
      <c r="P225" t="s">
        <v>159</v>
      </c>
      <c r="R225">
        <v>968</v>
      </c>
      <c r="S225">
        <v>924.75</v>
      </c>
      <c r="T225" t="s">
        <v>172</v>
      </c>
      <c r="U225" t="s">
        <v>389</v>
      </c>
      <c r="V225" t="s">
        <v>27</v>
      </c>
      <c r="W225" t="s">
        <v>66</v>
      </c>
      <c r="X225" t="s">
        <v>67</v>
      </c>
      <c r="Y225" t="s">
        <v>138</v>
      </c>
      <c r="AA225" t="s">
        <v>494</v>
      </c>
      <c r="AC225" t="s">
        <v>139</v>
      </c>
      <c r="AD225" t="s">
        <v>906</v>
      </c>
      <c r="AG225" t="s">
        <v>156</v>
      </c>
      <c r="AH225" t="s">
        <v>68</v>
      </c>
      <c r="AI225" t="s">
        <v>493</v>
      </c>
    </row>
    <row r="226" spans="1:35" customFormat="1">
      <c r="A226" t="s">
        <v>23</v>
      </c>
      <c r="B226" t="s">
        <v>24</v>
      </c>
      <c r="C226" t="s">
        <v>452</v>
      </c>
      <c r="D226" t="s">
        <v>140</v>
      </c>
      <c r="E226" t="s">
        <v>431</v>
      </c>
      <c r="F226" t="s">
        <v>141</v>
      </c>
      <c r="G226" t="s">
        <v>136</v>
      </c>
      <c r="H226" t="s">
        <v>184</v>
      </c>
      <c r="I226" t="s">
        <v>156</v>
      </c>
      <c r="J226" t="s">
        <v>25</v>
      </c>
      <c r="K226" t="s">
        <v>157</v>
      </c>
      <c r="L226" t="s">
        <v>147</v>
      </c>
      <c r="M226" t="s">
        <v>144</v>
      </c>
      <c r="N226" t="s">
        <v>472</v>
      </c>
      <c r="O226">
        <v>75</v>
      </c>
      <c r="P226" t="s">
        <v>159</v>
      </c>
      <c r="R226">
        <v>966</v>
      </c>
      <c r="S226">
        <v>924.75</v>
      </c>
      <c r="T226" t="s">
        <v>172</v>
      </c>
      <c r="U226" t="s">
        <v>389</v>
      </c>
      <c r="V226" t="s">
        <v>27</v>
      </c>
      <c r="W226" t="s">
        <v>66</v>
      </c>
      <c r="X226" t="s">
        <v>67</v>
      </c>
      <c r="Y226" t="s">
        <v>138</v>
      </c>
      <c r="AA226" t="s">
        <v>494</v>
      </c>
      <c r="AC226" t="s">
        <v>139</v>
      </c>
      <c r="AD226" t="s">
        <v>907</v>
      </c>
      <c r="AG226" t="s">
        <v>156</v>
      </c>
      <c r="AH226" t="s">
        <v>68</v>
      </c>
      <c r="AI226" t="s">
        <v>493</v>
      </c>
    </row>
    <row r="227" spans="1:35" customFormat="1">
      <c r="A227" t="s">
        <v>23</v>
      </c>
      <c r="B227" t="s">
        <v>24</v>
      </c>
      <c r="C227" t="s">
        <v>452</v>
      </c>
      <c r="D227" t="s">
        <v>140</v>
      </c>
      <c r="E227" t="s">
        <v>473</v>
      </c>
      <c r="F227" t="s">
        <v>141</v>
      </c>
      <c r="G227" t="s">
        <v>136</v>
      </c>
      <c r="H227" t="s">
        <v>184</v>
      </c>
      <c r="I227" t="s">
        <v>156</v>
      </c>
      <c r="J227" t="s">
        <v>25</v>
      </c>
      <c r="K227" t="s">
        <v>157</v>
      </c>
      <c r="L227" t="s">
        <v>147</v>
      </c>
      <c r="M227" t="s">
        <v>144</v>
      </c>
      <c r="N227" t="s">
        <v>474</v>
      </c>
      <c r="O227">
        <v>75</v>
      </c>
      <c r="P227" t="s">
        <v>159</v>
      </c>
      <c r="R227">
        <v>969</v>
      </c>
      <c r="S227">
        <v>930</v>
      </c>
      <c r="T227" t="s">
        <v>172</v>
      </c>
      <c r="U227" t="s">
        <v>195</v>
      </c>
      <c r="V227" t="s">
        <v>27</v>
      </c>
      <c r="W227" t="s">
        <v>66</v>
      </c>
      <c r="X227" t="s">
        <v>67</v>
      </c>
      <c r="Y227" t="s">
        <v>138</v>
      </c>
      <c r="AA227" t="s">
        <v>494</v>
      </c>
      <c r="AC227" t="s">
        <v>139</v>
      </c>
      <c r="AD227" t="s">
        <v>908</v>
      </c>
      <c r="AG227" t="s">
        <v>156</v>
      </c>
      <c r="AH227" t="s">
        <v>68</v>
      </c>
      <c r="AI227" t="s">
        <v>493</v>
      </c>
    </row>
    <row r="228" spans="1:35" customFormat="1">
      <c r="A228" t="s">
        <v>23</v>
      </c>
      <c r="B228" t="s">
        <v>24</v>
      </c>
      <c r="C228" t="s">
        <v>452</v>
      </c>
      <c r="D228" t="s">
        <v>140</v>
      </c>
      <c r="E228" t="s">
        <v>473</v>
      </c>
      <c r="F228" t="s">
        <v>141</v>
      </c>
      <c r="G228" t="s">
        <v>136</v>
      </c>
      <c r="H228" t="s">
        <v>184</v>
      </c>
      <c r="I228" t="s">
        <v>156</v>
      </c>
      <c r="J228" t="s">
        <v>25</v>
      </c>
      <c r="K228" t="s">
        <v>157</v>
      </c>
      <c r="L228" t="s">
        <v>147</v>
      </c>
      <c r="M228" t="s">
        <v>144</v>
      </c>
      <c r="N228" t="s">
        <v>475</v>
      </c>
      <c r="O228">
        <v>75</v>
      </c>
      <c r="P228" t="s">
        <v>159</v>
      </c>
      <c r="R228">
        <v>969.5</v>
      </c>
      <c r="S228">
        <v>930</v>
      </c>
      <c r="T228" t="s">
        <v>172</v>
      </c>
      <c r="U228" t="s">
        <v>195</v>
      </c>
      <c r="V228" t="s">
        <v>27</v>
      </c>
      <c r="W228" t="s">
        <v>66</v>
      </c>
      <c r="X228" t="s">
        <v>67</v>
      </c>
      <c r="Y228" t="s">
        <v>138</v>
      </c>
      <c r="AA228" t="s">
        <v>494</v>
      </c>
      <c r="AC228" t="s">
        <v>139</v>
      </c>
      <c r="AD228" t="s">
        <v>909</v>
      </c>
      <c r="AG228" t="s">
        <v>156</v>
      </c>
      <c r="AH228" t="s">
        <v>68</v>
      </c>
      <c r="AI228" t="s">
        <v>493</v>
      </c>
    </row>
    <row r="229" spans="1:35" customFormat="1">
      <c r="A229" t="s">
        <v>23</v>
      </c>
      <c r="B229" t="s">
        <v>24</v>
      </c>
      <c r="C229" t="s">
        <v>452</v>
      </c>
      <c r="D229" t="s">
        <v>140</v>
      </c>
      <c r="E229" t="s">
        <v>473</v>
      </c>
      <c r="F229" t="s">
        <v>141</v>
      </c>
      <c r="G229" t="s">
        <v>136</v>
      </c>
      <c r="H229" t="s">
        <v>184</v>
      </c>
      <c r="I229" t="s">
        <v>156</v>
      </c>
      <c r="J229" t="s">
        <v>25</v>
      </c>
      <c r="K229" t="s">
        <v>157</v>
      </c>
      <c r="L229" t="s">
        <v>147</v>
      </c>
      <c r="M229" t="s">
        <v>144</v>
      </c>
      <c r="N229" t="s">
        <v>476</v>
      </c>
      <c r="O229">
        <v>75</v>
      </c>
      <c r="P229" t="s">
        <v>159</v>
      </c>
      <c r="R229">
        <v>969</v>
      </c>
      <c r="S229">
        <v>930</v>
      </c>
      <c r="T229" t="s">
        <v>172</v>
      </c>
      <c r="U229" t="s">
        <v>195</v>
      </c>
      <c r="V229" t="s">
        <v>27</v>
      </c>
      <c r="W229" t="s">
        <v>66</v>
      </c>
      <c r="X229" t="s">
        <v>67</v>
      </c>
      <c r="Y229" t="s">
        <v>138</v>
      </c>
      <c r="AA229" t="s">
        <v>494</v>
      </c>
      <c r="AC229" t="s">
        <v>139</v>
      </c>
      <c r="AD229" t="s">
        <v>910</v>
      </c>
      <c r="AG229" t="s">
        <v>156</v>
      </c>
      <c r="AH229" t="s">
        <v>68</v>
      </c>
      <c r="AI229" t="s">
        <v>493</v>
      </c>
    </row>
    <row r="230" spans="1:35" customFormat="1">
      <c r="A230" t="s">
        <v>23</v>
      </c>
      <c r="B230" t="s">
        <v>24</v>
      </c>
      <c r="C230" t="s">
        <v>452</v>
      </c>
      <c r="D230" t="s">
        <v>140</v>
      </c>
      <c r="E230" t="s">
        <v>473</v>
      </c>
      <c r="F230" t="s">
        <v>141</v>
      </c>
      <c r="G230" t="s">
        <v>136</v>
      </c>
      <c r="H230" t="s">
        <v>184</v>
      </c>
      <c r="I230" t="s">
        <v>156</v>
      </c>
      <c r="J230" t="s">
        <v>25</v>
      </c>
      <c r="K230" t="s">
        <v>157</v>
      </c>
      <c r="L230" t="s">
        <v>147</v>
      </c>
      <c r="M230" t="s">
        <v>144</v>
      </c>
      <c r="N230" t="s">
        <v>477</v>
      </c>
      <c r="O230">
        <v>75</v>
      </c>
      <c r="P230" t="s">
        <v>159</v>
      </c>
      <c r="R230">
        <v>968</v>
      </c>
      <c r="S230">
        <v>930</v>
      </c>
      <c r="T230" t="s">
        <v>172</v>
      </c>
      <c r="U230" t="s">
        <v>195</v>
      </c>
      <c r="V230" t="s">
        <v>27</v>
      </c>
      <c r="W230" t="s">
        <v>66</v>
      </c>
      <c r="X230" t="s">
        <v>67</v>
      </c>
      <c r="Y230" t="s">
        <v>138</v>
      </c>
      <c r="AA230" t="s">
        <v>494</v>
      </c>
      <c r="AC230" t="s">
        <v>139</v>
      </c>
      <c r="AD230" t="s">
        <v>911</v>
      </c>
      <c r="AG230" t="s">
        <v>156</v>
      </c>
      <c r="AH230" t="s">
        <v>68</v>
      </c>
      <c r="AI230" t="s">
        <v>493</v>
      </c>
    </row>
    <row r="231" spans="1:35" customFormat="1">
      <c r="A231" t="s">
        <v>23</v>
      </c>
      <c r="B231" t="s">
        <v>24</v>
      </c>
      <c r="C231" t="s">
        <v>452</v>
      </c>
      <c r="D231" t="s">
        <v>140</v>
      </c>
      <c r="E231" t="s">
        <v>473</v>
      </c>
      <c r="F231" t="s">
        <v>141</v>
      </c>
      <c r="G231" t="s">
        <v>136</v>
      </c>
      <c r="H231" t="s">
        <v>184</v>
      </c>
      <c r="I231" t="s">
        <v>156</v>
      </c>
      <c r="J231" t="s">
        <v>25</v>
      </c>
      <c r="K231" t="s">
        <v>157</v>
      </c>
      <c r="L231" t="s">
        <v>147</v>
      </c>
      <c r="M231" t="s">
        <v>144</v>
      </c>
      <c r="N231" t="s">
        <v>478</v>
      </c>
      <c r="O231">
        <v>75</v>
      </c>
      <c r="P231" t="s">
        <v>159</v>
      </c>
      <c r="R231">
        <v>968.5</v>
      </c>
      <c r="S231">
        <v>930</v>
      </c>
      <c r="T231" t="s">
        <v>172</v>
      </c>
      <c r="U231" t="s">
        <v>195</v>
      </c>
      <c r="V231" t="s">
        <v>27</v>
      </c>
      <c r="W231" t="s">
        <v>66</v>
      </c>
      <c r="X231" t="s">
        <v>67</v>
      </c>
      <c r="Y231" t="s">
        <v>138</v>
      </c>
      <c r="AA231" t="s">
        <v>494</v>
      </c>
      <c r="AC231" t="s">
        <v>139</v>
      </c>
      <c r="AD231" t="s">
        <v>912</v>
      </c>
      <c r="AG231" t="s">
        <v>156</v>
      </c>
      <c r="AH231" t="s">
        <v>68</v>
      </c>
      <c r="AI231" t="s">
        <v>493</v>
      </c>
    </row>
    <row r="232" spans="1:35" customFormat="1">
      <c r="A232" t="s">
        <v>23</v>
      </c>
      <c r="B232" t="s">
        <v>24</v>
      </c>
      <c r="C232" t="s">
        <v>452</v>
      </c>
      <c r="D232" t="s">
        <v>140</v>
      </c>
      <c r="E232" t="s">
        <v>473</v>
      </c>
      <c r="F232" t="s">
        <v>141</v>
      </c>
      <c r="G232" t="s">
        <v>136</v>
      </c>
      <c r="H232" t="s">
        <v>184</v>
      </c>
      <c r="I232" t="s">
        <v>156</v>
      </c>
      <c r="J232" t="s">
        <v>25</v>
      </c>
      <c r="K232" t="s">
        <v>157</v>
      </c>
      <c r="L232" t="s">
        <v>147</v>
      </c>
      <c r="M232" t="s">
        <v>144</v>
      </c>
      <c r="N232" t="s">
        <v>479</v>
      </c>
      <c r="O232">
        <v>75</v>
      </c>
      <c r="P232" t="s">
        <v>159</v>
      </c>
      <c r="R232">
        <v>972</v>
      </c>
      <c r="S232">
        <v>930</v>
      </c>
      <c r="T232" t="s">
        <v>172</v>
      </c>
      <c r="U232" t="s">
        <v>195</v>
      </c>
      <c r="V232" t="s">
        <v>27</v>
      </c>
      <c r="W232" t="s">
        <v>66</v>
      </c>
      <c r="X232" t="s">
        <v>67</v>
      </c>
      <c r="Y232" t="s">
        <v>138</v>
      </c>
      <c r="AA232" t="s">
        <v>494</v>
      </c>
      <c r="AC232" t="s">
        <v>139</v>
      </c>
      <c r="AD232" t="s">
        <v>913</v>
      </c>
      <c r="AG232" t="s">
        <v>156</v>
      </c>
      <c r="AH232" t="s">
        <v>68</v>
      </c>
      <c r="AI232" t="s">
        <v>493</v>
      </c>
    </row>
    <row r="233" spans="1:35" customFormat="1">
      <c r="A233" t="s">
        <v>23</v>
      </c>
      <c r="B233" t="s">
        <v>24</v>
      </c>
      <c r="C233" t="s">
        <v>452</v>
      </c>
      <c r="D233" t="s">
        <v>140</v>
      </c>
      <c r="E233" t="s">
        <v>473</v>
      </c>
      <c r="F233" t="s">
        <v>141</v>
      </c>
      <c r="G233" t="s">
        <v>136</v>
      </c>
      <c r="H233" t="s">
        <v>184</v>
      </c>
      <c r="I233" t="s">
        <v>156</v>
      </c>
      <c r="J233" t="s">
        <v>25</v>
      </c>
      <c r="K233" t="s">
        <v>157</v>
      </c>
      <c r="L233" t="s">
        <v>147</v>
      </c>
      <c r="M233" t="s">
        <v>144</v>
      </c>
      <c r="N233" t="s">
        <v>480</v>
      </c>
      <c r="O233">
        <v>75</v>
      </c>
      <c r="P233" t="s">
        <v>159</v>
      </c>
      <c r="R233">
        <v>974</v>
      </c>
      <c r="S233">
        <v>930</v>
      </c>
      <c r="T233" t="s">
        <v>172</v>
      </c>
      <c r="U233" t="s">
        <v>195</v>
      </c>
      <c r="V233" t="s">
        <v>27</v>
      </c>
      <c r="W233" t="s">
        <v>66</v>
      </c>
      <c r="X233" t="s">
        <v>67</v>
      </c>
      <c r="Y233" t="s">
        <v>138</v>
      </c>
      <c r="AA233" t="s">
        <v>494</v>
      </c>
      <c r="AC233" t="s">
        <v>139</v>
      </c>
      <c r="AD233" t="s">
        <v>914</v>
      </c>
      <c r="AG233" t="s">
        <v>156</v>
      </c>
      <c r="AH233" t="s">
        <v>68</v>
      </c>
      <c r="AI233" t="s">
        <v>493</v>
      </c>
    </row>
    <row r="234" spans="1:35" customFormat="1">
      <c r="A234" t="s">
        <v>23</v>
      </c>
      <c r="B234" t="s">
        <v>24</v>
      </c>
      <c r="C234" t="s">
        <v>452</v>
      </c>
      <c r="D234" t="s">
        <v>140</v>
      </c>
      <c r="E234" t="s">
        <v>473</v>
      </c>
      <c r="F234" t="s">
        <v>141</v>
      </c>
      <c r="G234" t="s">
        <v>136</v>
      </c>
      <c r="H234" t="s">
        <v>184</v>
      </c>
      <c r="I234" t="s">
        <v>156</v>
      </c>
      <c r="J234" t="s">
        <v>25</v>
      </c>
      <c r="K234" t="s">
        <v>157</v>
      </c>
      <c r="L234" t="s">
        <v>147</v>
      </c>
      <c r="M234" t="s">
        <v>144</v>
      </c>
      <c r="N234" t="s">
        <v>481</v>
      </c>
      <c r="O234">
        <v>75</v>
      </c>
      <c r="P234" t="s">
        <v>159</v>
      </c>
      <c r="R234">
        <v>967</v>
      </c>
      <c r="S234">
        <v>930</v>
      </c>
      <c r="T234" t="s">
        <v>172</v>
      </c>
      <c r="U234" t="s">
        <v>195</v>
      </c>
      <c r="V234" t="s">
        <v>27</v>
      </c>
      <c r="W234" t="s">
        <v>66</v>
      </c>
      <c r="X234" t="s">
        <v>67</v>
      </c>
      <c r="Y234" t="s">
        <v>138</v>
      </c>
      <c r="AA234" t="s">
        <v>494</v>
      </c>
      <c r="AC234" t="s">
        <v>139</v>
      </c>
      <c r="AD234" t="s">
        <v>915</v>
      </c>
      <c r="AG234" t="s">
        <v>156</v>
      </c>
      <c r="AH234" t="s">
        <v>68</v>
      </c>
      <c r="AI234" t="s">
        <v>493</v>
      </c>
    </row>
    <row r="235" spans="1:35" customFormat="1">
      <c r="A235" t="s">
        <v>23</v>
      </c>
      <c r="B235" t="s">
        <v>24</v>
      </c>
      <c r="C235" t="s">
        <v>452</v>
      </c>
      <c r="D235" t="s">
        <v>140</v>
      </c>
      <c r="E235" t="s">
        <v>473</v>
      </c>
      <c r="F235" t="s">
        <v>141</v>
      </c>
      <c r="G235" t="s">
        <v>136</v>
      </c>
      <c r="H235" t="s">
        <v>184</v>
      </c>
      <c r="I235" t="s">
        <v>156</v>
      </c>
      <c r="J235" t="s">
        <v>25</v>
      </c>
      <c r="K235" t="s">
        <v>157</v>
      </c>
      <c r="L235" t="s">
        <v>147</v>
      </c>
      <c r="M235" t="s">
        <v>144</v>
      </c>
      <c r="N235" t="s">
        <v>482</v>
      </c>
      <c r="O235">
        <v>68</v>
      </c>
      <c r="P235" t="s">
        <v>159</v>
      </c>
      <c r="R235">
        <v>879.5</v>
      </c>
      <c r="S235">
        <v>843.2</v>
      </c>
      <c r="T235" t="s">
        <v>172</v>
      </c>
      <c r="U235" t="s">
        <v>195</v>
      </c>
      <c r="V235" t="s">
        <v>27</v>
      </c>
      <c r="W235" t="s">
        <v>66</v>
      </c>
      <c r="X235" t="s">
        <v>67</v>
      </c>
      <c r="Y235" t="s">
        <v>138</v>
      </c>
      <c r="AA235" t="s">
        <v>494</v>
      </c>
      <c r="AC235" t="s">
        <v>139</v>
      </c>
      <c r="AD235" t="s">
        <v>916</v>
      </c>
      <c r="AG235" t="s">
        <v>156</v>
      </c>
      <c r="AH235" t="s">
        <v>68</v>
      </c>
      <c r="AI235" t="s">
        <v>493</v>
      </c>
    </row>
    <row r="236" spans="1:35" customFormat="1">
      <c r="A236" t="s">
        <v>23</v>
      </c>
      <c r="B236" t="s">
        <v>24</v>
      </c>
      <c r="C236" t="s">
        <v>452</v>
      </c>
      <c r="D236" t="s">
        <v>140</v>
      </c>
      <c r="E236" t="s">
        <v>483</v>
      </c>
      <c r="F236" t="s">
        <v>141</v>
      </c>
      <c r="G236" t="s">
        <v>136</v>
      </c>
      <c r="H236" t="s">
        <v>184</v>
      </c>
      <c r="I236" t="s">
        <v>156</v>
      </c>
      <c r="J236" t="s">
        <v>25</v>
      </c>
      <c r="K236" t="s">
        <v>157</v>
      </c>
      <c r="L236" t="s">
        <v>147</v>
      </c>
      <c r="M236" t="s">
        <v>144</v>
      </c>
      <c r="N236" t="s">
        <v>484</v>
      </c>
      <c r="O236">
        <v>75</v>
      </c>
      <c r="P236" t="s">
        <v>159</v>
      </c>
      <c r="R236">
        <v>891</v>
      </c>
      <c r="S236">
        <v>849</v>
      </c>
      <c r="T236" t="s">
        <v>172</v>
      </c>
      <c r="U236" t="s">
        <v>195</v>
      </c>
      <c r="V236" t="s">
        <v>27</v>
      </c>
      <c r="W236" t="s">
        <v>66</v>
      </c>
      <c r="X236" t="s">
        <v>67</v>
      </c>
      <c r="Y236" t="s">
        <v>138</v>
      </c>
      <c r="AA236" t="s">
        <v>494</v>
      </c>
      <c r="AC236" t="s">
        <v>139</v>
      </c>
      <c r="AD236" t="s">
        <v>917</v>
      </c>
      <c r="AG236" t="s">
        <v>156</v>
      </c>
      <c r="AH236" t="s">
        <v>68</v>
      </c>
      <c r="AI236" t="s">
        <v>493</v>
      </c>
    </row>
    <row r="237" spans="1:35" customFormat="1">
      <c r="A237" t="s">
        <v>23</v>
      </c>
      <c r="B237" t="s">
        <v>24</v>
      </c>
      <c r="C237" t="s">
        <v>452</v>
      </c>
      <c r="D237" t="s">
        <v>140</v>
      </c>
      <c r="E237" t="s">
        <v>483</v>
      </c>
      <c r="F237" t="s">
        <v>141</v>
      </c>
      <c r="G237" t="s">
        <v>136</v>
      </c>
      <c r="H237" t="s">
        <v>184</v>
      </c>
      <c r="I237" t="s">
        <v>156</v>
      </c>
      <c r="J237" t="s">
        <v>25</v>
      </c>
      <c r="K237" t="s">
        <v>157</v>
      </c>
      <c r="L237" t="s">
        <v>147</v>
      </c>
      <c r="M237" t="s">
        <v>144</v>
      </c>
      <c r="N237" t="s">
        <v>485</v>
      </c>
      <c r="O237">
        <v>75</v>
      </c>
      <c r="P237" t="s">
        <v>159</v>
      </c>
      <c r="R237">
        <v>889.5</v>
      </c>
      <c r="S237">
        <v>849</v>
      </c>
      <c r="T237" t="s">
        <v>172</v>
      </c>
      <c r="U237" t="s">
        <v>195</v>
      </c>
      <c r="V237" t="s">
        <v>27</v>
      </c>
      <c r="W237" t="s">
        <v>66</v>
      </c>
      <c r="X237" t="s">
        <v>67</v>
      </c>
      <c r="Y237" t="s">
        <v>138</v>
      </c>
      <c r="AA237" t="s">
        <v>494</v>
      </c>
      <c r="AC237" t="s">
        <v>139</v>
      </c>
      <c r="AD237" t="s">
        <v>918</v>
      </c>
      <c r="AG237" t="s">
        <v>156</v>
      </c>
      <c r="AH237" t="s">
        <v>68</v>
      </c>
      <c r="AI237" t="s">
        <v>493</v>
      </c>
    </row>
    <row r="238" spans="1:35" customFormat="1">
      <c r="A238" t="s">
        <v>23</v>
      </c>
      <c r="B238" t="s">
        <v>24</v>
      </c>
      <c r="C238" t="s">
        <v>452</v>
      </c>
      <c r="D238" t="s">
        <v>140</v>
      </c>
      <c r="E238" t="s">
        <v>483</v>
      </c>
      <c r="F238" t="s">
        <v>141</v>
      </c>
      <c r="G238" t="s">
        <v>136</v>
      </c>
      <c r="H238" t="s">
        <v>184</v>
      </c>
      <c r="I238" t="s">
        <v>156</v>
      </c>
      <c r="J238" t="s">
        <v>25</v>
      </c>
      <c r="K238" t="s">
        <v>157</v>
      </c>
      <c r="L238" t="s">
        <v>147</v>
      </c>
      <c r="M238" t="s">
        <v>144</v>
      </c>
      <c r="N238" t="s">
        <v>486</v>
      </c>
      <c r="O238">
        <v>75</v>
      </c>
      <c r="P238" t="s">
        <v>159</v>
      </c>
      <c r="R238">
        <v>890</v>
      </c>
      <c r="S238">
        <v>849</v>
      </c>
      <c r="T238" t="s">
        <v>172</v>
      </c>
      <c r="U238" t="s">
        <v>195</v>
      </c>
      <c r="V238" t="s">
        <v>27</v>
      </c>
      <c r="W238" t="s">
        <v>66</v>
      </c>
      <c r="X238" t="s">
        <v>67</v>
      </c>
      <c r="Y238" t="s">
        <v>138</v>
      </c>
      <c r="AA238" t="s">
        <v>494</v>
      </c>
      <c r="AC238" t="s">
        <v>139</v>
      </c>
      <c r="AD238" t="s">
        <v>919</v>
      </c>
      <c r="AG238" t="s">
        <v>156</v>
      </c>
      <c r="AH238" t="s">
        <v>68</v>
      </c>
      <c r="AI238" t="s">
        <v>493</v>
      </c>
    </row>
    <row r="239" spans="1:35" customFormat="1">
      <c r="A239" t="s">
        <v>23</v>
      </c>
      <c r="B239" t="s">
        <v>24</v>
      </c>
      <c r="C239" t="s">
        <v>452</v>
      </c>
      <c r="D239" t="s">
        <v>140</v>
      </c>
      <c r="E239" t="s">
        <v>483</v>
      </c>
      <c r="F239" t="s">
        <v>141</v>
      </c>
      <c r="G239" t="s">
        <v>136</v>
      </c>
      <c r="H239" t="s">
        <v>184</v>
      </c>
      <c r="I239" t="s">
        <v>156</v>
      </c>
      <c r="J239" t="s">
        <v>25</v>
      </c>
      <c r="K239" t="s">
        <v>157</v>
      </c>
      <c r="L239" t="s">
        <v>147</v>
      </c>
      <c r="M239" t="s">
        <v>144</v>
      </c>
      <c r="N239" t="s">
        <v>487</v>
      </c>
      <c r="O239">
        <v>75</v>
      </c>
      <c r="P239" t="s">
        <v>159</v>
      </c>
      <c r="R239">
        <v>886.5</v>
      </c>
      <c r="S239">
        <v>849</v>
      </c>
      <c r="T239" t="s">
        <v>172</v>
      </c>
      <c r="U239" t="s">
        <v>195</v>
      </c>
      <c r="V239" t="s">
        <v>27</v>
      </c>
      <c r="W239" t="s">
        <v>66</v>
      </c>
      <c r="X239" t="s">
        <v>67</v>
      </c>
      <c r="Y239" t="s">
        <v>138</v>
      </c>
      <c r="AA239" t="s">
        <v>494</v>
      </c>
      <c r="AC239" t="s">
        <v>139</v>
      </c>
      <c r="AD239" t="s">
        <v>920</v>
      </c>
      <c r="AG239" t="s">
        <v>156</v>
      </c>
      <c r="AH239" t="s">
        <v>68</v>
      </c>
      <c r="AI239" t="s">
        <v>493</v>
      </c>
    </row>
    <row r="240" spans="1:35" customFormat="1">
      <c r="A240" t="s">
        <v>23</v>
      </c>
      <c r="B240" t="s">
        <v>24</v>
      </c>
      <c r="C240" t="s">
        <v>452</v>
      </c>
      <c r="D240" t="s">
        <v>140</v>
      </c>
      <c r="E240" t="s">
        <v>483</v>
      </c>
      <c r="F240" t="s">
        <v>141</v>
      </c>
      <c r="G240" t="s">
        <v>136</v>
      </c>
      <c r="H240" t="s">
        <v>184</v>
      </c>
      <c r="I240" t="s">
        <v>156</v>
      </c>
      <c r="J240" t="s">
        <v>25</v>
      </c>
      <c r="K240" t="s">
        <v>157</v>
      </c>
      <c r="L240" t="s">
        <v>147</v>
      </c>
      <c r="M240" t="s">
        <v>144</v>
      </c>
      <c r="N240" t="s">
        <v>488</v>
      </c>
      <c r="O240">
        <v>18</v>
      </c>
      <c r="P240" t="s">
        <v>159</v>
      </c>
      <c r="R240">
        <v>235</v>
      </c>
      <c r="S240">
        <v>203.76</v>
      </c>
      <c r="T240" t="s">
        <v>172</v>
      </c>
      <c r="U240" t="s">
        <v>195</v>
      </c>
      <c r="V240" t="s">
        <v>27</v>
      </c>
      <c r="W240" t="s">
        <v>66</v>
      </c>
      <c r="X240" t="s">
        <v>67</v>
      </c>
      <c r="Y240" t="s">
        <v>138</v>
      </c>
      <c r="AA240" t="s">
        <v>494</v>
      </c>
      <c r="AC240" t="s">
        <v>139</v>
      </c>
      <c r="AD240" t="s">
        <v>921</v>
      </c>
      <c r="AG240" t="s">
        <v>156</v>
      </c>
      <c r="AH240" t="s">
        <v>68</v>
      </c>
      <c r="AI240" t="s">
        <v>493</v>
      </c>
    </row>
    <row r="241" spans="1:37" customFormat="1">
      <c r="A241" t="s">
        <v>23</v>
      </c>
      <c r="B241" t="s">
        <v>24</v>
      </c>
      <c r="C241" t="s">
        <v>219</v>
      </c>
      <c r="D241" t="s">
        <v>140</v>
      </c>
      <c r="E241" t="s">
        <v>489</v>
      </c>
      <c r="F241" t="s">
        <v>141</v>
      </c>
      <c r="G241" t="s">
        <v>136</v>
      </c>
      <c r="H241" t="s">
        <v>151</v>
      </c>
      <c r="I241" t="s">
        <v>156</v>
      </c>
      <c r="J241" t="s">
        <v>26</v>
      </c>
      <c r="K241" t="s">
        <v>157</v>
      </c>
      <c r="L241" t="s">
        <v>182</v>
      </c>
      <c r="M241" t="s">
        <v>144</v>
      </c>
      <c r="N241" t="s">
        <v>490</v>
      </c>
      <c r="O241">
        <v>1</v>
      </c>
      <c r="P241" t="s">
        <v>160</v>
      </c>
      <c r="R241">
        <v>752</v>
      </c>
      <c r="S241">
        <v>748.5</v>
      </c>
      <c r="T241" t="s">
        <v>172</v>
      </c>
      <c r="U241" t="s">
        <v>922</v>
      </c>
      <c r="V241" t="s">
        <v>27</v>
      </c>
      <c r="W241" t="s">
        <v>66</v>
      </c>
      <c r="X241" t="s">
        <v>67</v>
      </c>
      <c r="Y241" t="s">
        <v>148</v>
      </c>
      <c r="AA241" t="s">
        <v>494</v>
      </c>
      <c r="AC241" t="s">
        <v>139</v>
      </c>
      <c r="AD241" t="s">
        <v>923</v>
      </c>
      <c r="AF241" t="s">
        <v>493</v>
      </c>
      <c r="AG241" t="s">
        <v>156</v>
      </c>
      <c r="AH241" t="s">
        <v>68</v>
      </c>
      <c r="AI241" t="s">
        <v>493</v>
      </c>
      <c r="AK241" t="s">
        <v>924</v>
      </c>
    </row>
    <row r="242" spans="1:37" customFormat="1">
      <c r="A242" t="s">
        <v>23</v>
      </c>
      <c r="B242" t="s">
        <v>24</v>
      </c>
      <c r="C242" t="s">
        <v>219</v>
      </c>
      <c r="D242" t="s">
        <v>140</v>
      </c>
      <c r="E242" t="s">
        <v>489</v>
      </c>
      <c r="F242" t="s">
        <v>141</v>
      </c>
      <c r="G242" t="s">
        <v>136</v>
      </c>
      <c r="H242" t="s">
        <v>151</v>
      </c>
      <c r="I242" t="s">
        <v>156</v>
      </c>
      <c r="J242" t="s">
        <v>26</v>
      </c>
      <c r="K242" t="s">
        <v>157</v>
      </c>
      <c r="L242" t="s">
        <v>182</v>
      </c>
      <c r="M242" t="s">
        <v>144</v>
      </c>
      <c r="N242" t="s">
        <v>491</v>
      </c>
      <c r="O242">
        <v>1</v>
      </c>
      <c r="P242" t="s">
        <v>160</v>
      </c>
      <c r="R242">
        <v>754</v>
      </c>
      <c r="S242">
        <v>748.5</v>
      </c>
      <c r="T242" t="s">
        <v>172</v>
      </c>
      <c r="U242" t="s">
        <v>922</v>
      </c>
      <c r="V242" t="s">
        <v>27</v>
      </c>
      <c r="W242" t="s">
        <v>66</v>
      </c>
      <c r="X242" t="s">
        <v>67</v>
      </c>
      <c r="Y242" t="s">
        <v>148</v>
      </c>
      <c r="AA242" t="s">
        <v>494</v>
      </c>
      <c r="AC242" t="s">
        <v>139</v>
      </c>
      <c r="AD242" t="s">
        <v>925</v>
      </c>
      <c r="AF242" t="s">
        <v>493</v>
      </c>
      <c r="AG242" t="s">
        <v>156</v>
      </c>
      <c r="AH242" t="s">
        <v>68</v>
      </c>
      <c r="AI242" t="s">
        <v>493</v>
      </c>
      <c r="AK242" t="s">
        <v>926</v>
      </c>
    </row>
    <row r="243" spans="1:37" customFormat="1">
      <c r="A243" t="s">
        <v>23</v>
      </c>
      <c r="B243" t="s">
        <v>24</v>
      </c>
      <c r="C243" t="s">
        <v>219</v>
      </c>
      <c r="D243" t="s">
        <v>140</v>
      </c>
      <c r="E243" t="s">
        <v>489</v>
      </c>
      <c r="F243" t="s">
        <v>141</v>
      </c>
      <c r="G243" t="s">
        <v>136</v>
      </c>
      <c r="H243" t="s">
        <v>151</v>
      </c>
      <c r="I243" t="s">
        <v>156</v>
      </c>
      <c r="J243" t="s">
        <v>26</v>
      </c>
      <c r="K243" t="s">
        <v>157</v>
      </c>
      <c r="L243" t="s">
        <v>182</v>
      </c>
      <c r="M243" t="s">
        <v>144</v>
      </c>
      <c r="N243" t="s">
        <v>492</v>
      </c>
      <c r="O243">
        <v>1</v>
      </c>
      <c r="P243" t="s">
        <v>160</v>
      </c>
      <c r="R243">
        <v>752</v>
      </c>
      <c r="S243">
        <v>748.5</v>
      </c>
      <c r="T243" t="s">
        <v>172</v>
      </c>
      <c r="U243" t="s">
        <v>922</v>
      </c>
      <c r="V243" t="s">
        <v>27</v>
      </c>
      <c r="W243" t="s">
        <v>66</v>
      </c>
      <c r="X243" t="s">
        <v>67</v>
      </c>
      <c r="Y243" t="s">
        <v>148</v>
      </c>
      <c r="AA243" t="s">
        <v>494</v>
      </c>
      <c r="AC243" t="s">
        <v>139</v>
      </c>
      <c r="AD243" t="s">
        <v>927</v>
      </c>
      <c r="AF243" t="s">
        <v>493</v>
      </c>
      <c r="AG243" t="s">
        <v>156</v>
      </c>
      <c r="AH243" t="s">
        <v>68</v>
      </c>
      <c r="AI243" t="s">
        <v>493</v>
      </c>
      <c r="AK243" t="s">
        <v>928</v>
      </c>
    </row>
    <row r="244" spans="1:37" customFormat="1">
      <c r="A244" t="s">
        <v>23</v>
      </c>
      <c r="B244" t="s">
        <v>24</v>
      </c>
      <c r="C244" t="s">
        <v>175</v>
      </c>
      <c r="D244" t="s">
        <v>135</v>
      </c>
      <c r="E244" t="s">
        <v>936</v>
      </c>
      <c r="F244" t="s">
        <v>931</v>
      </c>
      <c r="G244" t="s">
        <v>136</v>
      </c>
      <c r="H244" t="s">
        <v>142</v>
      </c>
      <c r="I244" t="s">
        <v>156</v>
      </c>
      <c r="J244" t="s">
        <v>26</v>
      </c>
      <c r="K244" t="s">
        <v>157</v>
      </c>
      <c r="L244" t="s">
        <v>143</v>
      </c>
      <c r="M244" t="s">
        <v>144</v>
      </c>
      <c r="N244" t="s">
        <v>948</v>
      </c>
      <c r="O244">
        <v>1</v>
      </c>
      <c r="P244" t="s">
        <v>160</v>
      </c>
      <c r="R244">
        <v>725</v>
      </c>
      <c r="S244">
        <v>718.8</v>
      </c>
      <c r="T244" t="s">
        <v>145</v>
      </c>
      <c r="U244" t="s">
        <v>183</v>
      </c>
      <c r="V244" t="s">
        <v>27</v>
      </c>
      <c r="W244" t="s">
        <v>66</v>
      </c>
      <c r="X244" t="s">
        <v>67</v>
      </c>
      <c r="Y244" t="s">
        <v>138</v>
      </c>
      <c r="AA244" t="s">
        <v>494</v>
      </c>
      <c r="AC244" t="s">
        <v>139</v>
      </c>
      <c r="AD244" t="s">
        <v>949</v>
      </c>
      <c r="AG244" t="s">
        <v>156</v>
      </c>
      <c r="AH244" t="s">
        <v>68</v>
      </c>
      <c r="AI244" t="s">
        <v>493</v>
      </c>
      <c r="AK244" t="s">
        <v>950</v>
      </c>
    </row>
    <row r="245" spans="1:37" customFormat="1">
      <c r="A245" t="s">
        <v>23</v>
      </c>
      <c r="B245" t="s">
        <v>24</v>
      </c>
      <c r="C245" t="s">
        <v>175</v>
      </c>
      <c r="D245" t="s">
        <v>135</v>
      </c>
      <c r="E245" t="s">
        <v>936</v>
      </c>
      <c r="F245" t="s">
        <v>931</v>
      </c>
      <c r="G245" t="s">
        <v>136</v>
      </c>
      <c r="H245" t="s">
        <v>142</v>
      </c>
      <c r="I245" t="s">
        <v>156</v>
      </c>
      <c r="J245" t="s">
        <v>26</v>
      </c>
      <c r="K245" t="s">
        <v>157</v>
      </c>
      <c r="L245" t="s">
        <v>143</v>
      </c>
      <c r="M245" t="s">
        <v>144</v>
      </c>
      <c r="N245" t="s">
        <v>951</v>
      </c>
      <c r="O245">
        <v>1</v>
      </c>
      <c r="P245" t="s">
        <v>160</v>
      </c>
      <c r="R245">
        <v>721</v>
      </c>
      <c r="S245">
        <v>718.8</v>
      </c>
      <c r="T245" t="s">
        <v>145</v>
      </c>
      <c r="U245" t="s">
        <v>183</v>
      </c>
      <c r="V245" t="s">
        <v>27</v>
      </c>
      <c r="W245" t="s">
        <v>66</v>
      </c>
      <c r="X245" t="s">
        <v>67</v>
      </c>
      <c r="Y245" t="s">
        <v>138</v>
      </c>
      <c r="AA245" t="s">
        <v>494</v>
      </c>
      <c r="AC245" t="s">
        <v>139</v>
      </c>
      <c r="AD245" t="s">
        <v>952</v>
      </c>
      <c r="AG245" t="s">
        <v>156</v>
      </c>
      <c r="AH245" t="s">
        <v>68</v>
      </c>
      <c r="AI245" t="s">
        <v>493</v>
      </c>
      <c r="AK245" t="s">
        <v>953</v>
      </c>
    </row>
    <row r="246" spans="1:37" customFormat="1">
      <c r="A246" t="s">
        <v>23</v>
      </c>
      <c r="B246" t="s">
        <v>24</v>
      </c>
      <c r="C246" t="s">
        <v>175</v>
      </c>
      <c r="D246" t="s">
        <v>135</v>
      </c>
      <c r="E246" t="s">
        <v>936</v>
      </c>
      <c r="F246" t="s">
        <v>931</v>
      </c>
      <c r="G246" t="s">
        <v>136</v>
      </c>
      <c r="H246" t="s">
        <v>142</v>
      </c>
      <c r="I246" t="s">
        <v>156</v>
      </c>
      <c r="J246" t="s">
        <v>26</v>
      </c>
      <c r="K246" t="s">
        <v>157</v>
      </c>
      <c r="L246" t="s">
        <v>143</v>
      </c>
      <c r="M246" t="s">
        <v>144</v>
      </c>
      <c r="N246" t="s">
        <v>954</v>
      </c>
      <c r="O246">
        <v>1</v>
      </c>
      <c r="P246" t="s">
        <v>160</v>
      </c>
      <c r="R246">
        <v>725</v>
      </c>
      <c r="S246">
        <v>718.8</v>
      </c>
      <c r="T246" t="s">
        <v>145</v>
      </c>
      <c r="U246" t="s">
        <v>183</v>
      </c>
      <c r="V246" t="s">
        <v>27</v>
      </c>
      <c r="W246" t="s">
        <v>66</v>
      </c>
      <c r="X246" t="s">
        <v>67</v>
      </c>
      <c r="Y246" t="s">
        <v>138</v>
      </c>
      <c r="AA246" t="s">
        <v>494</v>
      </c>
      <c r="AC246" t="s">
        <v>139</v>
      </c>
      <c r="AD246" t="s">
        <v>955</v>
      </c>
      <c r="AG246" t="s">
        <v>156</v>
      </c>
      <c r="AH246" t="s">
        <v>68</v>
      </c>
      <c r="AI246" t="s">
        <v>493</v>
      </c>
      <c r="AK246" t="s">
        <v>956</v>
      </c>
    </row>
    <row r="247" spans="1:37" customFormat="1">
      <c r="A247" t="s">
        <v>23</v>
      </c>
      <c r="B247" t="s">
        <v>24</v>
      </c>
      <c r="C247" t="s">
        <v>175</v>
      </c>
      <c r="D247" t="s">
        <v>135</v>
      </c>
      <c r="E247" t="s">
        <v>936</v>
      </c>
      <c r="F247" t="s">
        <v>931</v>
      </c>
      <c r="G247" t="s">
        <v>136</v>
      </c>
      <c r="H247" t="s">
        <v>142</v>
      </c>
      <c r="I247" t="s">
        <v>156</v>
      </c>
      <c r="J247" t="s">
        <v>26</v>
      </c>
      <c r="K247" t="s">
        <v>157</v>
      </c>
      <c r="L247" t="s">
        <v>143</v>
      </c>
      <c r="M247" t="s">
        <v>144</v>
      </c>
      <c r="N247" t="s">
        <v>957</v>
      </c>
      <c r="O247">
        <v>1</v>
      </c>
      <c r="P247" t="s">
        <v>160</v>
      </c>
      <c r="R247">
        <v>725</v>
      </c>
      <c r="S247">
        <v>718.8</v>
      </c>
      <c r="T247" t="s">
        <v>145</v>
      </c>
      <c r="U247" t="s">
        <v>183</v>
      </c>
      <c r="V247" t="s">
        <v>27</v>
      </c>
      <c r="W247" t="s">
        <v>66</v>
      </c>
      <c r="X247" t="s">
        <v>67</v>
      </c>
      <c r="Y247" t="s">
        <v>138</v>
      </c>
      <c r="AA247" t="s">
        <v>494</v>
      </c>
      <c r="AC247" t="s">
        <v>139</v>
      </c>
      <c r="AD247" t="s">
        <v>958</v>
      </c>
      <c r="AG247" t="s">
        <v>156</v>
      </c>
      <c r="AH247" t="s">
        <v>68</v>
      </c>
      <c r="AI247" t="s">
        <v>493</v>
      </c>
      <c r="AK247" t="s">
        <v>959</v>
      </c>
    </row>
    <row r="248" spans="1:37" customFormat="1">
      <c r="A248" t="s">
        <v>23</v>
      </c>
      <c r="B248" t="s">
        <v>24</v>
      </c>
      <c r="C248" t="s">
        <v>175</v>
      </c>
      <c r="D248" t="s">
        <v>135</v>
      </c>
      <c r="E248" t="s">
        <v>936</v>
      </c>
      <c r="F248" t="s">
        <v>931</v>
      </c>
      <c r="G248" t="s">
        <v>136</v>
      </c>
      <c r="H248" t="s">
        <v>142</v>
      </c>
      <c r="I248" t="s">
        <v>156</v>
      </c>
      <c r="J248" t="s">
        <v>26</v>
      </c>
      <c r="K248" t="s">
        <v>157</v>
      </c>
      <c r="L248" t="s">
        <v>143</v>
      </c>
      <c r="M248" t="s">
        <v>144</v>
      </c>
      <c r="N248" t="s">
        <v>960</v>
      </c>
      <c r="O248">
        <v>1</v>
      </c>
      <c r="P248" t="s">
        <v>160</v>
      </c>
      <c r="R248">
        <v>725</v>
      </c>
      <c r="S248">
        <v>718.8</v>
      </c>
      <c r="T248" t="s">
        <v>145</v>
      </c>
      <c r="U248" t="s">
        <v>183</v>
      </c>
      <c r="V248" t="s">
        <v>27</v>
      </c>
      <c r="W248" t="s">
        <v>66</v>
      </c>
      <c r="X248" t="s">
        <v>67</v>
      </c>
      <c r="Y248" t="s">
        <v>138</v>
      </c>
      <c r="AA248" t="s">
        <v>494</v>
      </c>
      <c r="AC248" t="s">
        <v>139</v>
      </c>
      <c r="AD248" t="s">
        <v>961</v>
      </c>
      <c r="AG248" t="s">
        <v>156</v>
      </c>
      <c r="AH248" t="s">
        <v>68</v>
      </c>
      <c r="AI248" t="s">
        <v>493</v>
      </c>
      <c r="AK248" t="s">
        <v>962</v>
      </c>
    </row>
    <row r="249" spans="1:37" customFormat="1">
      <c r="A249" t="s">
        <v>23</v>
      </c>
      <c r="B249" t="s">
        <v>24</v>
      </c>
      <c r="C249" t="s">
        <v>175</v>
      </c>
      <c r="D249" t="s">
        <v>135</v>
      </c>
      <c r="E249" t="s">
        <v>936</v>
      </c>
      <c r="F249" t="s">
        <v>931</v>
      </c>
      <c r="G249" t="s">
        <v>136</v>
      </c>
      <c r="H249" t="s">
        <v>142</v>
      </c>
      <c r="I249" t="s">
        <v>156</v>
      </c>
      <c r="J249" t="s">
        <v>26</v>
      </c>
      <c r="K249" t="s">
        <v>157</v>
      </c>
      <c r="L249" t="s">
        <v>143</v>
      </c>
      <c r="M249" t="s">
        <v>144</v>
      </c>
      <c r="N249" t="s">
        <v>963</v>
      </c>
      <c r="O249">
        <v>1</v>
      </c>
      <c r="P249" t="s">
        <v>160</v>
      </c>
      <c r="R249">
        <v>725.5</v>
      </c>
      <c r="S249">
        <v>718.8</v>
      </c>
      <c r="T249" t="s">
        <v>145</v>
      </c>
      <c r="U249" t="s">
        <v>183</v>
      </c>
      <c r="V249" t="s">
        <v>27</v>
      </c>
      <c r="W249" t="s">
        <v>66</v>
      </c>
      <c r="X249" t="s">
        <v>67</v>
      </c>
      <c r="Y249" t="s">
        <v>138</v>
      </c>
      <c r="AA249" t="s">
        <v>494</v>
      </c>
      <c r="AC249" t="s">
        <v>139</v>
      </c>
      <c r="AD249" t="s">
        <v>964</v>
      </c>
      <c r="AG249" t="s">
        <v>156</v>
      </c>
      <c r="AH249" t="s">
        <v>68</v>
      </c>
      <c r="AI249" t="s">
        <v>493</v>
      </c>
      <c r="AK249" t="s">
        <v>965</v>
      </c>
    </row>
    <row r="250" spans="1:37" customFormat="1">
      <c r="A250" t="s">
        <v>23</v>
      </c>
      <c r="B250" t="s">
        <v>24</v>
      </c>
      <c r="C250" t="s">
        <v>175</v>
      </c>
      <c r="D250" t="s">
        <v>135</v>
      </c>
      <c r="E250" t="s">
        <v>936</v>
      </c>
      <c r="F250" t="s">
        <v>931</v>
      </c>
      <c r="G250" t="s">
        <v>136</v>
      </c>
      <c r="H250" t="s">
        <v>142</v>
      </c>
      <c r="I250" t="s">
        <v>156</v>
      </c>
      <c r="J250" t="s">
        <v>26</v>
      </c>
      <c r="K250" t="s">
        <v>157</v>
      </c>
      <c r="L250" t="s">
        <v>143</v>
      </c>
      <c r="M250" t="s">
        <v>144</v>
      </c>
      <c r="N250" t="s">
        <v>966</v>
      </c>
      <c r="O250">
        <v>1</v>
      </c>
      <c r="P250" t="s">
        <v>160</v>
      </c>
      <c r="R250">
        <v>725</v>
      </c>
      <c r="S250">
        <v>718.8</v>
      </c>
      <c r="T250" t="s">
        <v>145</v>
      </c>
      <c r="U250" t="s">
        <v>183</v>
      </c>
      <c r="V250" t="s">
        <v>27</v>
      </c>
      <c r="W250" t="s">
        <v>66</v>
      </c>
      <c r="X250" t="s">
        <v>67</v>
      </c>
      <c r="Y250" t="s">
        <v>138</v>
      </c>
      <c r="AA250" t="s">
        <v>494</v>
      </c>
      <c r="AC250" t="s">
        <v>139</v>
      </c>
      <c r="AD250" t="s">
        <v>967</v>
      </c>
      <c r="AG250" t="s">
        <v>156</v>
      </c>
      <c r="AH250" t="s">
        <v>68</v>
      </c>
      <c r="AI250" t="s">
        <v>493</v>
      </c>
      <c r="AK250" t="s">
        <v>968</v>
      </c>
    </row>
    <row r="251" spans="1:37" customFormat="1">
      <c r="A251" t="s">
        <v>23</v>
      </c>
      <c r="B251" t="s">
        <v>24</v>
      </c>
      <c r="C251" t="s">
        <v>175</v>
      </c>
      <c r="D251" t="s">
        <v>135</v>
      </c>
      <c r="E251" t="s">
        <v>936</v>
      </c>
      <c r="F251" t="s">
        <v>931</v>
      </c>
      <c r="G251" t="s">
        <v>136</v>
      </c>
      <c r="H251" t="s">
        <v>142</v>
      </c>
      <c r="I251" t="s">
        <v>156</v>
      </c>
      <c r="J251" t="s">
        <v>26</v>
      </c>
      <c r="K251" t="s">
        <v>157</v>
      </c>
      <c r="L251" t="s">
        <v>143</v>
      </c>
      <c r="M251" t="s">
        <v>144</v>
      </c>
      <c r="N251" t="s">
        <v>969</v>
      </c>
      <c r="O251">
        <v>1</v>
      </c>
      <c r="P251" t="s">
        <v>160</v>
      </c>
      <c r="R251">
        <v>720</v>
      </c>
      <c r="S251">
        <v>718.8</v>
      </c>
      <c r="T251" t="s">
        <v>145</v>
      </c>
      <c r="U251" t="s">
        <v>183</v>
      </c>
      <c r="V251" t="s">
        <v>27</v>
      </c>
      <c r="W251" t="s">
        <v>66</v>
      </c>
      <c r="X251" t="s">
        <v>67</v>
      </c>
      <c r="Y251" t="s">
        <v>138</v>
      </c>
      <c r="AA251" t="s">
        <v>494</v>
      </c>
      <c r="AC251" t="s">
        <v>139</v>
      </c>
      <c r="AD251" t="s">
        <v>970</v>
      </c>
      <c r="AG251" t="s">
        <v>156</v>
      </c>
      <c r="AH251" t="s">
        <v>68</v>
      </c>
      <c r="AI251" t="s">
        <v>493</v>
      </c>
      <c r="AK251" t="s">
        <v>971</v>
      </c>
    </row>
    <row r="252" spans="1:37" customFormat="1">
      <c r="A252" t="s">
        <v>23</v>
      </c>
      <c r="B252" t="s">
        <v>24</v>
      </c>
      <c r="C252" t="s">
        <v>175</v>
      </c>
      <c r="D252" t="s">
        <v>135</v>
      </c>
      <c r="E252" t="s">
        <v>936</v>
      </c>
      <c r="F252" t="s">
        <v>931</v>
      </c>
      <c r="G252" t="s">
        <v>136</v>
      </c>
      <c r="H252" t="s">
        <v>142</v>
      </c>
      <c r="I252" t="s">
        <v>156</v>
      </c>
      <c r="J252" t="s">
        <v>26</v>
      </c>
      <c r="K252" t="s">
        <v>157</v>
      </c>
      <c r="L252" t="s">
        <v>143</v>
      </c>
      <c r="M252" t="s">
        <v>144</v>
      </c>
      <c r="N252" t="s">
        <v>972</v>
      </c>
      <c r="O252">
        <v>1</v>
      </c>
      <c r="P252" t="s">
        <v>160</v>
      </c>
      <c r="R252">
        <v>725</v>
      </c>
      <c r="S252">
        <v>718.8</v>
      </c>
      <c r="T252" t="s">
        <v>145</v>
      </c>
      <c r="U252" t="s">
        <v>183</v>
      </c>
      <c r="V252" t="s">
        <v>27</v>
      </c>
      <c r="W252" t="s">
        <v>66</v>
      </c>
      <c r="X252" t="s">
        <v>67</v>
      </c>
      <c r="Y252" t="s">
        <v>138</v>
      </c>
      <c r="AA252" t="s">
        <v>494</v>
      </c>
      <c r="AC252" t="s">
        <v>139</v>
      </c>
      <c r="AD252" t="s">
        <v>973</v>
      </c>
      <c r="AG252" t="s">
        <v>156</v>
      </c>
      <c r="AH252" t="s">
        <v>68</v>
      </c>
      <c r="AI252" t="s">
        <v>493</v>
      </c>
      <c r="AK252" t="s">
        <v>974</v>
      </c>
    </row>
    <row r="253" spans="1:37" customFormat="1">
      <c r="A253" t="s">
        <v>23</v>
      </c>
      <c r="B253" t="s">
        <v>24</v>
      </c>
      <c r="C253" t="s">
        <v>175</v>
      </c>
      <c r="D253" t="s">
        <v>135</v>
      </c>
      <c r="E253" t="s">
        <v>936</v>
      </c>
      <c r="F253" t="s">
        <v>931</v>
      </c>
      <c r="G253" t="s">
        <v>136</v>
      </c>
      <c r="H253" t="s">
        <v>142</v>
      </c>
      <c r="I253" t="s">
        <v>156</v>
      </c>
      <c r="J253" t="s">
        <v>26</v>
      </c>
      <c r="K253" t="s">
        <v>157</v>
      </c>
      <c r="L253" t="s">
        <v>143</v>
      </c>
      <c r="M253" t="s">
        <v>144</v>
      </c>
      <c r="N253" t="s">
        <v>975</v>
      </c>
      <c r="O253">
        <v>1</v>
      </c>
      <c r="P253" t="s">
        <v>160</v>
      </c>
      <c r="R253">
        <v>725.5</v>
      </c>
      <c r="S253">
        <v>718.8</v>
      </c>
      <c r="T253" t="s">
        <v>145</v>
      </c>
      <c r="U253" t="s">
        <v>183</v>
      </c>
      <c r="V253" t="s">
        <v>27</v>
      </c>
      <c r="W253" t="s">
        <v>66</v>
      </c>
      <c r="X253" t="s">
        <v>67</v>
      </c>
      <c r="Y253" t="s">
        <v>138</v>
      </c>
      <c r="AA253" t="s">
        <v>494</v>
      </c>
      <c r="AC253" t="s">
        <v>139</v>
      </c>
      <c r="AD253" t="s">
        <v>976</v>
      </c>
      <c r="AG253" t="s">
        <v>156</v>
      </c>
      <c r="AH253" t="s">
        <v>68</v>
      </c>
      <c r="AI253" t="s">
        <v>493</v>
      </c>
      <c r="AK253" t="s">
        <v>977</v>
      </c>
    </row>
    <row r="254" spans="1:37" customFormat="1">
      <c r="A254" t="s">
        <v>23</v>
      </c>
      <c r="B254" t="s">
        <v>24</v>
      </c>
      <c r="C254" t="s">
        <v>175</v>
      </c>
      <c r="D254" t="s">
        <v>135</v>
      </c>
      <c r="E254" t="s">
        <v>936</v>
      </c>
      <c r="F254" t="s">
        <v>931</v>
      </c>
      <c r="G254" t="s">
        <v>136</v>
      </c>
      <c r="H254" t="s">
        <v>142</v>
      </c>
      <c r="I254" t="s">
        <v>156</v>
      </c>
      <c r="J254" t="s">
        <v>26</v>
      </c>
      <c r="K254" t="s">
        <v>157</v>
      </c>
      <c r="L254" t="s">
        <v>143</v>
      </c>
      <c r="M254" t="s">
        <v>144</v>
      </c>
      <c r="N254" t="s">
        <v>978</v>
      </c>
      <c r="O254">
        <v>1</v>
      </c>
      <c r="P254" t="s">
        <v>160</v>
      </c>
      <c r="R254">
        <v>725</v>
      </c>
      <c r="S254">
        <v>718.8</v>
      </c>
      <c r="T254" t="s">
        <v>145</v>
      </c>
      <c r="U254" t="s">
        <v>183</v>
      </c>
      <c r="V254" t="s">
        <v>27</v>
      </c>
      <c r="W254" t="s">
        <v>66</v>
      </c>
      <c r="X254" t="s">
        <v>67</v>
      </c>
      <c r="Y254" t="s">
        <v>138</v>
      </c>
      <c r="AA254" t="s">
        <v>494</v>
      </c>
      <c r="AC254" t="s">
        <v>139</v>
      </c>
      <c r="AD254" t="s">
        <v>979</v>
      </c>
      <c r="AG254" t="s">
        <v>156</v>
      </c>
      <c r="AH254" t="s">
        <v>68</v>
      </c>
      <c r="AI254" t="s">
        <v>493</v>
      </c>
      <c r="AK254" t="s">
        <v>980</v>
      </c>
    </row>
    <row r="255" spans="1:37" customFormat="1">
      <c r="A255" t="s">
        <v>23</v>
      </c>
      <c r="B255" t="s">
        <v>24</v>
      </c>
      <c r="C255" t="s">
        <v>175</v>
      </c>
      <c r="D255" t="s">
        <v>135</v>
      </c>
      <c r="E255" t="s">
        <v>936</v>
      </c>
      <c r="F255" t="s">
        <v>931</v>
      </c>
      <c r="G255" t="s">
        <v>136</v>
      </c>
      <c r="H255" t="s">
        <v>142</v>
      </c>
      <c r="I255" t="s">
        <v>156</v>
      </c>
      <c r="J255" t="s">
        <v>26</v>
      </c>
      <c r="K255" t="s">
        <v>157</v>
      </c>
      <c r="L255" t="s">
        <v>143</v>
      </c>
      <c r="M255" t="s">
        <v>144</v>
      </c>
      <c r="N255" t="s">
        <v>981</v>
      </c>
      <c r="O255">
        <v>1</v>
      </c>
      <c r="P255" t="s">
        <v>160</v>
      </c>
      <c r="R255">
        <v>725</v>
      </c>
      <c r="S255">
        <v>718.8</v>
      </c>
      <c r="T255" t="s">
        <v>145</v>
      </c>
      <c r="U255" t="s">
        <v>183</v>
      </c>
      <c r="V255" t="s">
        <v>27</v>
      </c>
      <c r="W255" t="s">
        <v>66</v>
      </c>
      <c r="X255" t="s">
        <v>67</v>
      </c>
      <c r="Y255" t="s">
        <v>138</v>
      </c>
      <c r="AA255" t="s">
        <v>494</v>
      </c>
      <c r="AC255" t="s">
        <v>139</v>
      </c>
      <c r="AD255" t="s">
        <v>982</v>
      </c>
      <c r="AG255" t="s">
        <v>156</v>
      </c>
      <c r="AH255" t="s">
        <v>68</v>
      </c>
      <c r="AI255" t="s">
        <v>493</v>
      </c>
      <c r="AK255" t="s">
        <v>983</v>
      </c>
    </row>
    <row r="256" spans="1:37" customFormat="1">
      <c r="A256" t="s">
        <v>23</v>
      </c>
      <c r="B256" t="s">
        <v>24</v>
      </c>
      <c r="C256" t="s">
        <v>175</v>
      </c>
      <c r="D256" t="s">
        <v>135</v>
      </c>
      <c r="E256" t="s">
        <v>936</v>
      </c>
      <c r="F256" t="s">
        <v>931</v>
      </c>
      <c r="G256" t="s">
        <v>136</v>
      </c>
      <c r="H256" t="s">
        <v>142</v>
      </c>
      <c r="I256" t="s">
        <v>156</v>
      </c>
      <c r="J256" t="s">
        <v>26</v>
      </c>
      <c r="K256" t="s">
        <v>157</v>
      </c>
      <c r="L256" t="s">
        <v>143</v>
      </c>
      <c r="M256" t="s">
        <v>144</v>
      </c>
      <c r="N256" t="s">
        <v>984</v>
      </c>
      <c r="O256">
        <v>1</v>
      </c>
      <c r="P256" t="s">
        <v>160</v>
      </c>
      <c r="R256">
        <v>722</v>
      </c>
      <c r="S256">
        <v>718.8</v>
      </c>
      <c r="T256" t="s">
        <v>145</v>
      </c>
      <c r="U256" t="s">
        <v>183</v>
      </c>
      <c r="V256" t="s">
        <v>27</v>
      </c>
      <c r="W256" t="s">
        <v>66</v>
      </c>
      <c r="X256" t="s">
        <v>67</v>
      </c>
      <c r="Y256" t="s">
        <v>138</v>
      </c>
      <c r="AA256" t="s">
        <v>494</v>
      </c>
      <c r="AC256" t="s">
        <v>139</v>
      </c>
      <c r="AD256" t="s">
        <v>985</v>
      </c>
      <c r="AG256" t="s">
        <v>156</v>
      </c>
      <c r="AH256" t="s">
        <v>68</v>
      </c>
      <c r="AI256" t="s">
        <v>493</v>
      </c>
      <c r="AK256" t="s">
        <v>986</v>
      </c>
    </row>
    <row r="257" spans="1:37" customFormat="1">
      <c r="A257" t="s">
        <v>23</v>
      </c>
      <c r="B257" t="s">
        <v>24</v>
      </c>
      <c r="C257" t="s">
        <v>176</v>
      </c>
      <c r="D257" t="s">
        <v>135</v>
      </c>
      <c r="E257" t="s">
        <v>944</v>
      </c>
      <c r="F257" t="s">
        <v>931</v>
      </c>
      <c r="G257" t="s">
        <v>136</v>
      </c>
      <c r="H257" t="s">
        <v>142</v>
      </c>
      <c r="I257" t="s">
        <v>156</v>
      </c>
      <c r="J257" t="s">
        <v>25</v>
      </c>
      <c r="K257" t="s">
        <v>157</v>
      </c>
      <c r="L257" t="s">
        <v>147</v>
      </c>
      <c r="M257" t="s">
        <v>144</v>
      </c>
      <c r="N257" t="s">
        <v>987</v>
      </c>
      <c r="O257">
        <v>33</v>
      </c>
      <c r="P257" t="s">
        <v>159</v>
      </c>
      <c r="R257">
        <v>629</v>
      </c>
      <c r="S257">
        <v>593.01</v>
      </c>
      <c r="T257" t="s">
        <v>145</v>
      </c>
      <c r="U257" t="s">
        <v>988</v>
      </c>
      <c r="V257" t="s">
        <v>27</v>
      </c>
      <c r="W257" t="s">
        <v>66</v>
      </c>
      <c r="X257" t="s">
        <v>67</v>
      </c>
      <c r="Y257" t="s">
        <v>138</v>
      </c>
      <c r="AA257" t="s">
        <v>494</v>
      </c>
      <c r="AC257" t="s">
        <v>139</v>
      </c>
      <c r="AD257" t="s">
        <v>989</v>
      </c>
      <c r="AG257" t="s">
        <v>156</v>
      </c>
      <c r="AH257" t="s">
        <v>68</v>
      </c>
      <c r="AI257" t="s">
        <v>493</v>
      </c>
    </row>
    <row r="258" spans="1:37" customFormat="1">
      <c r="A258" t="s">
        <v>23</v>
      </c>
      <c r="B258" t="s">
        <v>24</v>
      </c>
      <c r="C258" t="s">
        <v>175</v>
      </c>
      <c r="D258" t="s">
        <v>135</v>
      </c>
      <c r="E258" t="s">
        <v>942</v>
      </c>
      <c r="F258" t="s">
        <v>931</v>
      </c>
      <c r="G258" t="s">
        <v>136</v>
      </c>
      <c r="H258" t="s">
        <v>142</v>
      </c>
      <c r="I258" t="s">
        <v>156</v>
      </c>
      <c r="J258" t="s">
        <v>26</v>
      </c>
      <c r="K258" t="s">
        <v>157</v>
      </c>
      <c r="L258" t="s">
        <v>147</v>
      </c>
      <c r="M258" t="s">
        <v>144</v>
      </c>
      <c r="N258" t="s">
        <v>990</v>
      </c>
      <c r="O258">
        <v>1</v>
      </c>
      <c r="P258" t="s">
        <v>160</v>
      </c>
      <c r="R258">
        <v>727</v>
      </c>
      <c r="S258">
        <v>720.4</v>
      </c>
      <c r="T258" t="s">
        <v>145</v>
      </c>
      <c r="U258" t="s">
        <v>183</v>
      </c>
      <c r="V258" t="s">
        <v>27</v>
      </c>
      <c r="W258" t="s">
        <v>66</v>
      </c>
      <c r="X258" t="s">
        <v>67</v>
      </c>
      <c r="Y258" t="s">
        <v>138</v>
      </c>
      <c r="AA258" t="s">
        <v>494</v>
      </c>
      <c r="AC258" t="s">
        <v>139</v>
      </c>
      <c r="AD258" t="s">
        <v>991</v>
      </c>
      <c r="AG258" t="s">
        <v>156</v>
      </c>
      <c r="AH258" t="s">
        <v>68</v>
      </c>
      <c r="AI258" t="s">
        <v>493</v>
      </c>
      <c r="AK258" t="s">
        <v>992</v>
      </c>
    </row>
    <row r="259" spans="1:37" customFormat="1">
      <c r="A259" t="s">
        <v>23</v>
      </c>
      <c r="B259" t="s">
        <v>24</v>
      </c>
      <c r="C259" t="s">
        <v>175</v>
      </c>
      <c r="D259" t="s">
        <v>135</v>
      </c>
      <c r="E259" t="s">
        <v>942</v>
      </c>
      <c r="F259" t="s">
        <v>931</v>
      </c>
      <c r="G259" t="s">
        <v>136</v>
      </c>
      <c r="H259" t="s">
        <v>142</v>
      </c>
      <c r="I259" t="s">
        <v>156</v>
      </c>
      <c r="J259" t="s">
        <v>26</v>
      </c>
      <c r="K259" t="s">
        <v>157</v>
      </c>
      <c r="L259" t="s">
        <v>147</v>
      </c>
      <c r="M259" t="s">
        <v>144</v>
      </c>
      <c r="N259" t="s">
        <v>993</v>
      </c>
      <c r="O259">
        <v>1</v>
      </c>
      <c r="P259" t="s">
        <v>160</v>
      </c>
      <c r="R259">
        <v>727</v>
      </c>
      <c r="S259">
        <v>720.4</v>
      </c>
      <c r="T259" t="s">
        <v>145</v>
      </c>
      <c r="U259" t="s">
        <v>183</v>
      </c>
      <c r="V259" t="s">
        <v>27</v>
      </c>
      <c r="W259" t="s">
        <v>66</v>
      </c>
      <c r="X259" t="s">
        <v>67</v>
      </c>
      <c r="Y259" t="s">
        <v>138</v>
      </c>
      <c r="AA259" t="s">
        <v>494</v>
      </c>
      <c r="AC259" t="s">
        <v>139</v>
      </c>
      <c r="AD259" t="s">
        <v>994</v>
      </c>
      <c r="AG259" t="s">
        <v>156</v>
      </c>
      <c r="AH259" t="s">
        <v>68</v>
      </c>
      <c r="AI259" t="s">
        <v>493</v>
      </c>
      <c r="AK259" t="s">
        <v>995</v>
      </c>
    </row>
    <row r="260" spans="1:37" customFormat="1">
      <c r="A260" t="s">
        <v>23</v>
      </c>
      <c r="B260" t="s">
        <v>24</v>
      </c>
      <c r="C260" t="s">
        <v>175</v>
      </c>
      <c r="D260" t="s">
        <v>135</v>
      </c>
      <c r="E260" t="s">
        <v>942</v>
      </c>
      <c r="F260" t="s">
        <v>931</v>
      </c>
      <c r="G260" t="s">
        <v>136</v>
      </c>
      <c r="H260" t="s">
        <v>142</v>
      </c>
      <c r="I260" t="s">
        <v>156</v>
      </c>
      <c r="J260" t="s">
        <v>26</v>
      </c>
      <c r="K260" t="s">
        <v>157</v>
      </c>
      <c r="L260" t="s">
        <v>147</v>
      </c>
      <c r="M260" t="s">
        <v>144</v>
      </c>
      <c r="N260" t="s">
        <v>996</v>
      </c>
      <c r="O260">
        <v>1</v>
      </c>
      <c r="P260" t="s">
        <v>160</v>
      </c>
      <c r="R260">
        <v>726</v>
      </c>
      <c r="S260">
        <v>720.4</v>
      </c>
      <c r="T260" t="s">
        <v>145</v>
      </c>
      <c r="U260" t="s">
        <v>183</v>
      </c>
      <c r="V260" t="s">
        <v>27</v>
      </c>
      <c r="W260" t="s">
        <v>66</v>
      </c>
      <c r="X260" t="s">
        <v>67</v>
      </c>
      <c r="Y260" t="s">
        <v>138</v>
      </c>
      <c r="AA260" t="s">
        <v>494</v>
      </c>
      <c r="AC260" t="s">
        <v>139</v>
      </c>
      <c r="AD260" t="s">
        <v>997</v>
      </c>
      <c r="AG260" t="s">
        <v>156</v>
      </c>
      <c r="AH260" t="s">
        <v>68</v>
      </c>
      <c r="AI260" t="s">
        <v>493</v>
      </c>
      <c r="AK260" t="s">
        <v>998</v>
      </c>
    </row>
    <row r="261" spans="1:37" customFormat="1">
      <c r="A261" t="s">
        <v>23</v>
      </c>
      <c r="B261" t="s">
        <v>24</v>
      </c>
      <c r="C261" t="s">
        <v>175</v>
      </c>
      <c r="D261" t="s">
        <v>135</v>
      </c>
      <c r="E261" t="s">
        <v>942</v>
      </c>
      <c r="F261" t="s">
        <v>931</v>
      </c>
      <c r="G261" t="s">
        <v>136</v>
      </c>
      <c r="H261" t="s">
        <v>142</v>
      </c>
      <c r="I261" t="s">
        <v>156</v>
      </c>
      <c r="J261" t="s">
        <v>26</v>
      </c>
      <c r="K261" t="s">
        <v>157</v>
      </c>
      <c r="L261" t="s">
        <v>147</v>
      </c>
      <c r="M261" t="s">
        <v>144</v>
      </c>
      <c r="N261" t="s">
        <v>999</v>
      </c>
      <c r="O261">
        <v>1</v>
      </c>
      <c r="P261" t="s">
        <v>160</v>
      </c>
      <c r="R261">
        <v>726</v>
      </c>
      <c r="S261">
        <v>720.4</v>
      </c>
      <c r="T261" t="s">
        <v>145</v>
      </c>
      <c r="U261" t="s">
        <v>183</v>
      </c>
      <c r="V261" t="s">
        <v>27</v>
      </c>
      <c r="W261" t="s">
        <v>66</v>
      </c>
      <c r="X261" t="s">
        <v>67</v>
      </c>
      <c r="Y261" t="s">
        <v>138</v>
      </c>
      <c r="AA261" t="s">
        <v>494</v>
      </c>
      <c r="AC261" t="s">
        <v>139</v>
      </c>
      <c r="AD261" t="s">
        <v>1000</v>
      </c>
      <c r="AG261" t="s">
        <v>156</v>
      </c>
      <c r="AH261" t="s">
        <v>68</v>
      </c>
      <c r="AI261" t="s">
        <v>493</v>
      </c>
      <c r="AK261" t="s">
        <v>1001</v>
      </c>
    </row>
    <row r="262" spans="1:37" customFormat="1">
      <c r="A262" t="s">
        <v>23</v>
      </c>
      <c r="B262" t="s">
        <v>24</v>
      </c>
      <c r="C262" t="s">
        <v>175</v>
      </c>
      <c r="D262" t="s">
        <v>135</v>
      </c>
      <c r="E262" t="s">
        <v>942</v>
      </c>
      <c r="F262" t="s">
        <v>931</v>
      </c>
      <c r="G262" t="s">
        <v>136</v>
      </c>
      <c r="H262" t="s">
        <v>142</v>
      </c>
      <c r="I262" t="s">
        <v>156</v>
      </c>
      <c r="J262" t="s">
        <v>26</v>
      </c>
      <c r="K262" t="s">
        <v>157</v>
      </c>
      <c r="L262" t="s">
        <v>147</v>
      </c>
      <c r="M262" t="s">
        <v>144</v>
      </c>
      <c r="N262" t="s">
        <v>1002</v>
      </c>
      <c r="O262">
        <v>1</v>
      </c>
      <c r="P262" t="s">
        <v>160</v>
      </c>
      <c r="R262">
        <v>727</v>
      </c>
      <c r="S262">
        <v>720.4</v>
      </c>
      <c r="T262" t="s">
        <v>145</v>
      </c>
      <c r="U262" t="s">
        <v>183</v>
      </c>
      <c r="V262" t="s">
        <v>27</v>
      </c>
      <c r="W262" t="s">
        <v>66</v>
      </c>
      <c r="X262" t="s">
        <v>67</v>
      </c>
      <c r="Y262" t="s">
        <v>138</v>
      </c>
      <c r="AA262" t="s">
        <v>494</v>
      </c>
      <c r="AC262" t="s">
        <v>139</v>
      </c>
      <c r="AD262" t="s">
        <v>1003</v>
      </c>
      <c r="AG262" t="s">
        <v>156</v>
      </c>
      <c r="AH262" t="s">
        <v>68</v>
      </c>
      <c r="AI262" t="s">
        <v>493</v>
      </c>
      <c r="AK262" t="s">
        <v>1004</v>
      </c>
    </row>
    <row r="263" spans="1:37" customFormat="1">
      <c r="A263" t="s">
        <v>23</v>
      </c>
      <c r="B263" t="s">
        <v>24</v>
      </c>
      <c r="C263" t="s">
        <v>175</v>
      </c>
      <c r="D263" t="s">
        <v>135</v>
      </c>
      <c r="E263" t="s">
        <v>942</v>
      </c>
      <c r="F263" t="s">
        <v>931</v>
      </c>
      <c r="G263" t="s">
        <v>136</v>
      </c>
      <c r="H263" t="s">
        <v>142</v>
      </c>
      <c r="I263" t="s">
        <v>156</v>
      </c>
      <c r="J263" t="s">
        <v>26</v>
      </c>
      <c r="K263" t="s">
        <v>157</v>
      </c>
      <c r="L263" t="s">
        <v>147</v>
      </c>
      <c r="M263" t="s">
        <v>144</v>
      </c>
      <c r="N263" t="s">
        <v>1005</v>
      </c>
      <c r="O263">
        <v>1</v>
      </c>
      <c r="P263" t="s">
        <v>160</v>
      </c>
      <c r="R263">
        <v>727.6</v>
      </c>
      <c r="S263">
        <v>720.4</v>
      </c>
      <c r="T263" t="s">
        <v>145</v>
      </c>
      <c r="U263" t="s">
        <v>183</v>
      </c>
      <c r="V263" t="s">
        <v>27</v>
      </c>
      <c r="W263" t="s">
        <v>66</v>
      </c>
      <c r="X263" t="s">
        <v>67</v>
      </c>
      <c r="Y263" t="s">
        <v>138</v>
      </c>
      <c r="AA263" t="s">
        <v>494</v>
      </c>
      <c r="AC263" t="s">
        <v>139</v>
      </c>
      <c r="AD263" t="s">
        <v>1006</v>
      </c>
      <c r="AG263" t="s">
        <v>156</v>
      </c>
      <c r="AH263" t="s">
        <v>68</v>
      </c>
      <c r="AI263" t="s">
        <v>493</v>
      </c>
      <c r="AK263" t="s">
        <v>1007</v>
      </c>
    </row>
    <row r="264" spans="1:37" customFormat="1">
      <c r="A264" t="s">
        <v>23</v>
      </c>
      <c r="B264" t="s">
        <v>24</v>
      </c>
      <c r="C264" t="s">
        <v>175</v>
      </c>
      <c r="D264" t="s">
        <v>135</v>
      </c>
      <c r="E264" t="s">
        <v>942</v>
      </c>
      <c r="F264" t="s">
        <v>931</v>
      </c>
      <c r="G264" t="s">
        <v>136</v>
      </c>
      <c r="H264" t="s">
        <v>142</v>
      </c>
      <c r="I264" t="s">
        <v>156</v>
      </c>
      <c r="J264" t="s">
        <v>26</v>
      </c>
      <c r="K264" t="s">
        <v>157</v>
      </c>
      <c r="L264" t="s">
        <v>147</v>
      </c>
      <c r="M264" t="s">
        <v>144</v>
      </c>
      <c r="N264" t="s">
        <v>1008</v>
      </c>
      <c r="O264">
        <v>1</v>
      </c>
      <c r="P264" t="s">
        <v>160</v>
      </c>
      <c r="R264">
        <v>727</v>
      </c>
      <c r="S264">
        <v>720.4</v>
      </c>
      <c r="T264" t="s">
        <v>145</v>
      </c>
      <c r="U264" t="s">
        <v>183</v>
      </c>
      <c r="V264" t="s">
        <v>27</v>
      </c>
      <c r="W264" t="s">
        <v>66</v>
      </c>
      <c r="X264" t="s">
        <v>67</v>
      </c>
      <c r="Y264" t="s">
        <v>138</v>
      </c>
      <c r="AA264" t="s">
        <v>494</v>
      </c>
      <c r="AC264" t="s">
        <v>139</v>
      </c>
      <c r="AD264" t="s">
        <v>1009</v>
      </c>
      <c r="AG264" t="s">
        <v>156</v>
      </c>
      <c r="AH264" t="s">
        <v>68</v>
      </c>
      <c r="AI264" t="s">
        <v>493</v>
      </c>
      <c r="AK264" t="s">
        <v>1010</v>
      </c>
    </row>
    <row r="265" spans="1:37" customFormat="1">
      <c r="A265" t="s">
        <v>23</v>
      </c>
      <c r="B265" t="s">
        <v>24</v>
      </c>
      <c r="C265" t="s">
        <v>175</v>
      </c>
      <c r="D265" t="s">
        <v>135</v>
      </c>
      <c r="E265" t="s">
        <v>942</v>
      </c>
      <c r="F265" t="s">
        <v>931</v>
      </c>
      <c r="G265" t="s">
        <v>136</v>
      </c>
      <c r="H265" t="s">
        <v>142</v>
      </c>
      <c r="I265" t="s">
        <v>156</v>
      </c>
      <c r="J265" t="s">
        <v>26</v>
      </c>
      <c r="K265" t="s">
        <v>157</v>
      </c>
      <c r="L265" t="s">
        <v>147</v>
      </c>
      <c r="M265" t="s">
        <v>144</v>
      </c>
      <c r="N265" t="s">
        <v>1011</v>
      </c>
      <c r="O265">
        <v>1</v>
      </c>
      <c r="P265" t="s">
        <v>160</v>
      </c>
      <c r="R265">
        <v>727.5</v>
      </c>
      <c r="S265">
        <v>720.4</v>
      </c>
      <c r="T265" t="s">
        <v>145</v>
      </c>
      <c r="U265" t="s">
        <v>183</v>
      </c>
      <c r="V265" t="s">
        <v>27</v>
      </c>
      <c r="W265" t="s">
        <v>66</v>
      </c>
      <c r="X265" t="s">
        <v>67</v>
      </c>
      <c r="Y265" t="s">
        <v>138</v>
      </c>
      <c r="AA265" t="s">
        <v>494</v>
      </c>
      <c r="AC265" t="s">
        <v>139</v>
      </c>
      <c r="AD265" t="s">
        <v>1012</v>
      </c>
      <c r="AG265" t="s">
        <v>156</v>
      </c>
      <c r="AH265" t="s">
        <v>68</v>
      </c>
      <c r="AI265" t="s">
        <v>493</v>
      </c>
      <c r="AK265" t="s">
        <v>1013</v>
      </c>
    </row>
    <row r="266" spans="1:37" customFormat="1">
      <c r="A266" t="s">
        <v>23</v>
      </c>
      <c r="B266" t="s">
        <v>24</v>
      </c>
      <c r="C266" t="s">
        <v>175</v>
      </c>
      <c r="D266" t="s">
        <v>135</v>
      </c>
      <c r="E266" t="s">
        <v>942</v>
      </c>
      <c r="F266" t="s">
        <v>931</v>
      </c>
      <c r="G266" t="s">
        <v>136</v>
      </c>
      <c r="H266" t="s">
        <v>142</v>
      </c>
      <c r="I266" t="s">
        <v>156</v>
      </c>
      <c r="J266" t="s">
        <v>26</v>
      </c>
      <c r="K266" t="s">
        <v>157</v>
      </c>
      <c r="L266" t="s">
        <v>147</v>
      </c>
      <c r="M266" t="s">
        <v>144</v>
      </c>
      <c r="N266" t="s">
        <v>1014</v>
      </c>
      <c r="O266">
        <v>1</v>
      </c>
      <c r="P266" t="s">
        <v>160</v>
      </c>
      <c r="R266">
        <v>727</v>
      </c>
      <c r="S266">
        <v>720.4</v>
      </c>
      <c r="T266" t="s">
        <v>145</v>
      </c>
      <c r="U266" t="s">
        <v>183</v>
      </c>
      <c r="V266" t="s">
        <v>27</v>
      </c>
      <c r="W266" t="s">
        <v>66</v>
      </c>
      <c r="X266" t="s">
        <v>67</v>
      </c>
      <c r="Y266" t="s">
        <v>138</v>
      </c>
      <c r="AA266" t="s">
        <v>494</v>
      </c>
      <c r="AC266" t="s">
        <v>139</v>
      </c>
      <c r="AD266" t="s">
        <v>1015</v>
      </c>
      <c r="AG266" t="s">
        <v>156</v>
      </c>
      <c r="AH266" t="s">
        <v>68</v>
      </c>
      <c r="AI266" t="s">
        <v>493</v>
      </c>
      <c r="AK266" t="s">
        <v>1016</v>
      </c>
    </row>
    <row r="267" spans="1:37" customFormat="1">
      <c r="A267" t="s">
        <v>23</v>
      </c>
      <c r="B267" t="s">
        <v>24</v>
      </c>
      <c r="C267" t="s">
        <v>175</v>
      </c>
      <c r="D267" t="s">
        <v>135</v>
      </c>
      <c r="E267" t="s">
        <v>942</v>
      </c>
      <c r="F267" t="s">
        <v>931</v>
      </c>
      <c r="G267" t="s">
        <v>136</v>
      </c>
      <c r="H267" t="s">
        <v>142</v>
      </c>
      <c r="I267" t="s">
        <v>156</v>
      </c>
      <c r="J267" t="s">
        <v>26</v>
      </c>
      <c r="K267" t="s">
        <v>157</v>
      </c>
      <c r="L267" t="s">
        <v>147</v>
      </c>
      <c r="M267" t="s">
        <v>144</v>
      </c>
      <c r="N267" t="s">
        <v>1017</v>
      </c>
      <c r="O267">
        <v>1</v>
      </c>
      <c r="P267" t="s">
        <v>160</v>
      </c>
      <c r="R267">
        <v>727.5</v>
      </c>
      <c r="S267">
        <v>720.4</v>
      </c>
      <c r="T267" t="s">
        <v>145</v>
      </c>
      <c r="U267" t="s">
        <v>183</v>
      </c>
      <c r="V267" t="s">
        <v>27</v>
      </c>
      <c r="W267" t="s">
        <v>66</v>
      </c>
      <c r="X267" t="s">
        <v>67</v>
      </c>
      <c r="Y267" t="s">
        <v>138</v>
      </c>
      <c r="AA267" t="s">
        <v>494</v>
      </c>
      <c r="AC267" t="s">
        <v>139</v>
      </c>
      <c r="AD267" t="s">
        <v>1018</v>
      </c>
      <c r="AG267" t="s">
        <v>156</v>
      </c>
      <c r="AH267" t="s">
        <v>68</v>
      </c>
      <c r="AI267" t="s">
        <v>493</v>
      </c>
      <c r="AK267" t="s">
        <v>1019</v>
      </c>
    </row>
    <row r="268" spans="1:37" customFormat="1">
      <c r="A268" t="s">
        <v>23</v>
      </c>
      <c r="B268" t="s">
        <v>24</v>
      </c>
      <c r="C268" t="s">
        <v>175</v>
      </c>
      <c r="D268" t="s">
        <v>135</v>
      </c>
      <c r="E268" t="s">
        <v>942</v>
      </c>
      <c r="F268" t="s">
        <v>931</v>
      </c>
      <c r="G268" t="s">
        <v>136</v>
      </c>
      <c r="H268" t="s">
        <v>142</v>
      </c>
      <c r="I268" t="s">
        <v>156</v>
      </c>
      <c r="J268" t="s">
        <v>26</v>
      </c>
      <c r="K268" t="s">
        <v>157</v>
      </c>
      <c r="L268" t="s">
        <v>147</v>
      </c>
      <c r="M268" t="s">
        <v>144</v>
      </c>
      <c r="N268" t="s">
        <v>1020</v>
      </c>
      <c r="O268">
        <v>1</v>
      </c>
      <c r="P268" t="s">
        <v>160</v>
      </c>
      <c r="R268">
        <v>727</v>
      </c>
      <c r="S268">
        <v>720.4</v>
      </c>
      <c r="T268" t="s">
        <v>145</v>
      </c>
      <c r="U268" t="s">
        <v>183</v>
      </c>
      <c r="V268" t="s">
        <v>27</v>
      </c>
      <c r="W268" t="s">
        <v>66</v>
      </c>
      <c r="X268" t="s">
        <v>67</v>
      </c>
      <c r="Y268" t="s">
        <v>138</v>
      </c>
      <c r="AA268" t="s">
        <v>494</v>
      </c>
      <c r="AC268" t="s">
        <v>139</v>
      </c>
      <c r="AD268" t="s">
        <v>1021</v>
      </c>
      <c r="AG268" t="s">
        <v>156</v>
      </c>
      <c r="AH268" t="s">
        <v>68</v>
      </c>
      <c r="AI268" t="s">
        <v>493</v>
      </c>
      <c r="AK268" t="s">
        <v>1022</v>
      </c>
    </row>
    <row r="269" spans="1:37" customFormat="1">
      <c r="A269" t="s">
        <v>23</v>
      </c>
      <c r="B269" t="s">
        <v>24</v>
      </c>
      <c r="C269" t="s">
        <v>175</v>
      </c>
      <c r="D269" t="s">
        <v>135</v>
      </c>
      <c r="E269" t="s">
        <v>942</v>
      </c>
      <c r="F269" t="s">
        <v>931</v>
      </c>
      <c r="G269" t="s">
        <v>136</v>
      </c>
      <c r="H269" t="s">
        <v>142</v>
      </c>
      <c r="I269" t="s">
        <v>156</v>
      </c>
      <c r="J269" t="s">
        <v>26</v>
      </c>
      <c r="K269" t="s">
        <v>157</v>
      </c>
      <c r="L269" t="s">
        <v>147</v>
      </c>
      <c r="M269" t="s">
        <v>144</v>
      </c>
      <c r="N269" t="s">
        <v>1023</v>
      </c>
      <c r="O269">
        <v>1</v>
      </c>
      <c r="P269" t="s">
        <v>160</v>
      </c>
      <c r="R269">
        <v>727.5</v>
      </c>
      <c r="S269">
        <v>720.4</v>
      </c>
      <c r="T269" t="s">
        <v>145</v>
      </c>
      <c r="U269" t="s">
        <v>183</v>
      </c>
      <c r="V269" t="s">
        <v>27</v>
      </c>
      <c r="W269" t="s">
        <v>66</v>
      </c>
      <c r="X269" t="s">
        <v>67</v>
      </c>
      <c r="Y269" t="s">
        <v>138</v>
      </c>
      <c r="AA269" t="s">
        <v>494</v>
      </c>
      <c r="AC269" t="s">
        <v>139</v>
      </c>
      <c r="AD269" t="s">
        <v>1024</v>
      </c>
      <c r="AG269" t="s">
        <v>156</v>
      </c>
      <c r="AH269" t="s">
        <v>68</v>
      </c>
      <c r="AI269" t="s">
        <v>493</v>
      </c>
      <c r="AK269" t="s">
        <v>1025</v>
      </c>
    </row>
    <row r="270" spans="1:37" customFormat="1">
      <c r="A270" t="s">
        <v>23</v>
      </c>
      <c r="B270" t="s">
        <v>24</v>
      </c>
      <c r="C270" t="s">
        <v>175</v>
      </c>
      <c r="D270" t="s">
        <v>135</v>
      </c>
      <c r="E270" t="s">
        <v>942</v>
      </c>
      <c r="F270" t="s">
        <v>931</v>
      </c>
      <c r="G270" t="s">
        <v>136</v>
      </c>
      <c r="H270" t="s">
        <v>142</v>
      </c>
      <c r="I270" t="s">
        <v>156</v>
      </c>
      <c r="J270" t="s">
        <v>26</v>
      </c>
      <c r="K270" t="s">
        <v>157</v>
      </c>
      <c r="L270" t="s">
        <v>147</v>
      </c>
      <c r="M270" t="s">
        <v>144</v>
      </c>
      <c r="N270" t="s">
        <v>1026</v>
      </c>
      <c r="O270">
        <v>1</v>
      </c>
      <c r="P270" t="s">
        <v>160</v>
      </c>
      <c r="R270">
        <v>727.5</v>
      </c>
      <c r="S270">
        <v>720.4</v>
      </c>
      <c r="T270" t="s">
        <v>145</v>
      </c>
      <c r="U270" t="s">
        <v>183</v>
      </c>
      <c r="V270" t="s">
        <v>27</v>
      </c>
      <c r="W270" t="s">
        <v>66</v>
      </c>
      <c r="X270" t="s">
        <v>67</v>
      </c>
      <c r="Y270" t="s">
        <v>138</v>
      </c>
      <c r="AA270" t="s">
        <v>494</v>
      </c>
      <c r="AC270" t="s">
        <v>139</v>
      </c>
      <c r="AD270" t="s">
        <v>1027</v>
      </c>
      <c r="AG270" t="s">
        <v>156</v>
      </c>
      <c r="AH270" t="s">
        <v>68</v>
      </c>
      <c r="AI270" t="s">
        <v>493</v>
      </c>
      <c r="AK270" t="s">
        <v>1028</v>
      </c>
    </row>
    <row r="271" spans="1:37" customFormat="1">
      <c r="A271" t="s">
        <v>23</v>
      </c>
      <c r="B271" t="s">
        <v>24</v>
      </c>
      <c r="C271" t="s">
        <v>175</v>
      </c>
      <c r="D271" t="s">
        <v>135</v>
      </c>
      <c r="E271" t="s">
        <v>942</v>
      </c>
      <c r="F271" t="s">
        <v>931</v>
      </c>
      <c r="G271" t="s">
        <v>136</v>
      </c>
      <c r="H271" t="s">
        <v>142</v>
      </c>
      <c r="I271" t="s">
        <v>156</v>
      </c>
      <c r="J271" t="s">
        <v>26</v>
      </c>
      <c r="K271" t="s">
        <v>157</v>
      </c>
      <c r="L271" t="s">
        <v>147</v>
      </c>
      <c r="M271" t="s">
        <v>144</v>
      </c>
      <c r="N271" t="s">
        <v>1029</v>
      </c>
      <c r="O271">
        <v>1</v>
      </c>
      <c r="P271" t="s">
        <v>160</v>
      </c>
      <c r="R271">
        <v>727.5</v>
      </c>
      <c r="S271">
        <v>720.4</v>
      </c>
      <c r="T271" t="s">
        <v>145</v>
      </c>
      <c r="U271" t="s">
        <v>183</v>
      </c>
      <c r="V271" t="s">
        <v>27</v>
      </c>
      <c r="W271" t="s">
        <v>66</v>
      </c>
      <c r="X271" t="s">
        <v>67</v>
      </c>
      <c r="Y271" t="s">
        <v>138</v>
      </c>
      <c r="AA271" t="s">
        <v>494</v>
      </c>
      <c r="AC271" t="s">
        <v>139</v>
      </c>
      <c r="AD271" t="s">
        <v>1030</v>
      </c>
      <c r="AG271" t="s">
        <v>156</v>
      </c>
      <c r="AH271" t="s">
        <v>68</v>
      </c>
      <c r="AI271" t="s">
        <v>493</v>
      </c>
      <c r="AK271" t="s">
        <v>1031</v>
      </c>
    </row>
    <row r="272" spans="1:37" customFormat="1">
      <c r="A272" t="s">
        <v>23</v>
      </c>
      <c r="B272" t="s">
        <v>24</v>
      </c>
      <c r="C272" t="s">
        <v>175</v>
      </c>
      <c r="D272" t="s">
        <v>135</v>
      </c>
      <c r="E272" t="s">
        <v>942</v>
      </c>
      <c r="F272" t="s">
        <v>931</v>
      </c>
      <c r="G272" t="s">
        <v>136</v>
      </c>
      <c r="H272" t="s">
        <v>142</v>
      </c>
      <c r="I272" t="s">
        <v>156</v>
      </c>
      <c r="J272" t="s">
        <v>26</v>
      </c>
      <c r="K272" t="s">
        <v>157</v>
      </c>
      <c r="L272" t="s">
        <v>147</v>
      </c>
      <c r="M272" t="s">
        <v>144</v>
      </c>
      <c r="N272" t="s">
        <v>1032</v>
      </c>
      <c r="O272">
        <v>1</v>
      </c>
      <c r="P272" t="s">
        <v>160</v>
      </c>
      <c r="R272">
        <v>724</v>
      </c>
      <c r="S272">
        <v>720.4</v>
      </c>
      <c r="T272" t="s">
        <v>145</v>
      </c>
      <c r="U272" t="s">
        <v>183</v>
      </c>
      <c r="V272" t="s">
        <v>27</v>
      </c>
      <c r="W272" t="s">
        <v>66</v>
      </c>
      <c r="X272" t="s">
        <v>67</v>
      </c>
      <c r="Y272" t="s">
        <v>138</v>
      </c>
      <c r="AA272" t="s">
        <v>494</v>
      </c>
      <c r="AC272" t="s">
        <v>139</v>
      </c>
      <c r="AD272" t="s">
        <v>1033</v>
      </c>
      <c r="AG272" t="s">
        <v>156</v>
      </c>
      <c r="AH272" t="s">
        <v>68</v>
      </c>
      <c r="AI272" t="s">
        <v>493</v>
      </c>
      <c r="AK272" t="s">
        <v>1034</v>
      </c>
    </row>
    <row r="273" spans="1:37" customFormat="1">
      <c r="A273" t="s">
        <v>23</v>
      </c>
      <c r="B273" t="s">
        <v>24</v>
      </c>
      <c r="C273" t="s">
        <v>175</v>
      </c>
      <c r="D273" t="s">
        <v>135</v>
      </c>
      <c r="E273" t="s">
        <v>942</v>
      </c>
      <c r="F273" t="s">
        <v>931</v>
      </c>
      <c r="G273" t="s">
        <v>136</v>
      </c>
      <c r="H273" t="s">
        <v>142</v>
      </c>
      <c r="I273" t="s">
        <v>156</v>
      </c>
      <c r="J273" t="s">
        <v>26</v>
      </c>
      <c r="K273" t="s">
        <v>157</v>
      </c>
      <c r="L273" t="s">
        <v>147</v>
      </c>
      <c r="M273" t="s">
        <v>144</v>
      </c>
      <c r="N273" t="s">
        <v>1035</v>
      </c>
      <c r="O273">
        <v>1</v>
      </c>
      <c r="P273" t="s">
        <v>160</v>
      </c>
      <c r="R273">
        <v>723</v>
      </c>
      <c r="S273">
        <v>720.4</v>
      </c>
      <c r="T273" t="s">
        <v>145</v>
      </c>
      <c r="U273" t="s">
        <v>183</v>
      </c>
      <c r="V273" t="s">
        <v>27</v>
      </c>
      <c r="W273" t="s">
        <v>66</v>
      </c>
      <c r="X273" t="s">
        <v>67</v>
      </c>
      <c r="Y273" t="s">
        <v>138</v>
      </c>
      <c r="AA273" t="s">
        <v>494</v>
      </c>
      <c r="AC273" t="s">
        <v>139</v>
      </c>
      <c r="AD273" t="s">
        <v>1036</v>
      </c>
      <c r="AG273" t="s">
        <v>156</v>
      </c>
      <c r="AH273" t="s">
        <v>68</v>
      </c>
      <c r="AI273" t="s">
        <v>493</v>
      </c>
      <c r="AK273" t="s">
        <v>1037</v>
      </c>
    </row>
    <row r="274" spans="1:37" customFormat="1">
      <c r="A274" t="s">
        <v>23</v>
      </c>
      <c r="B274" t="s">
        <v>24</v>
      </c>
      <c r="C274" t="s">
        <v>175</v>
      </c>
      <c r="D274" t="s">
        <v>135</v>
      </c>
      <c r="E274" t="s">
        <v>942</v>
      </c>
      <c r="F274" t="s">
        <v>931</v>
      </c>
      <c r="G274" t="s">
        <v>136</v>
      </c>
      <c r="H274" t="s">
        <v>142</v>
      </c>
      <c r="I274" t="s">
        <v>156</v>
      </c>
      <c r="J274" t="s">
        <v>26</v>
      </c>
      <c r="K274" t="s">
        <v>157</v>
      </c>
      <c r="L274" t="s">
        <v>147</v>
      </c>
      <c r="M274" t="s">
        <v>144</v>
      </c>
      <c r="N274" t="s">
        <v>1038</v>
      </c>
      <c r="O274">
        <v>1</v>
      </c>
      <c r="P274" t="s">
        <v>160</v>
      </c>
      <c r="R274">
        <v>727.5</v>
      </c>
      <c r="S274">
        <v>720.4</v>
      </c>
      <c r="T274" t="s">
        <v>145</v>
      </c>
      <c r="U274" t="s">
        <v>183</v>
      </c>
      <c r="V274" t="s">
        <v>27</v>
      </c>
      <c r="W274" t="s">
        <v>66</v>
      </c>
      <c r="X274" t="s">
        <v>67</v>
      </c>
      <c r="Y274" t="s">
        <v>138</v>
      </c>
      <c r="AA274" t="s">
        <v>494</v>
      </c>
      <c r="AC274" t="s">
        <v>139</v>
      </c>
      <c r="AD274" t="s">
        <v>1039</v>
      </c>
      <c r="AG274" t="s">
        <v>156</v>
      </c>
      <c r="AH274" t="s">
        <v>68</v>
      </c>
      <c r="AI274" t="s">
        <v>493</v>
      </c>
      <c r="AK274" t="s">
        <v>1040</v>
      </c>
    </row>
    <row r="275" spans="1:37" customFormat="1">
      <c r="A275" t="s">
        <v>23</v>
      </c>
      <c r="B275" t="s">
        <v>24</v>
      </c>
      <c r="C275" t="s">
        <v>175</v>
      </c>
      <c r="D275" t="s">
        <v>135</v>
      </c>
      <c r="E275" t="s">
        <v>942</v>
      </c>
      <c r="F275" t="s">
        <v>931</v>
      </c>
      <c r="G275" t="s">
        <v>136</v>
      </c>
      <c r="H275" t="s">
        <v>142</v>
      </c>
      <c r="I275" t="s">
        <v>156</v>
      </c>
      <c r="J275" t="s">
        <v>26</v>
      </c>
      <c r="K275" t="s">
        <v>157</v>
      </c>
      <c r="L275" t="s">
        <v>147</v>
      </c>
      <c r="M275" t="s">
        <v>144</v>
      </c>
      <c r="N275" t="s">
        <v>1041</v>
      </c>
      <c r="O275">
        <v>1</v>
      </c>
      <c r="P275" t="s">
        <v>160</v>
      </c>
      <c r="R275">
        <v>727.5</v>
      </c>
      <c r="S275">
        <v>720.4</v>
      </c>
      <c r="T275" t="s">
        <v>145</v>
      </c>
      <c r="U275" t="s">
        <v>183</v>
      </c>
      <c r="V275" t="s">
        <v>27</v>
      </c>
      <c r="W275" t="s">
        <v>66</v>
      </c>
      <c r="X275" t="s">
        <v>67</v>
      </c>
      <c r="Y275" t="s">
        <v>138</v>
      </c>
      <c r="AA275" t="s">
        <v>494</v>
      </c>
      <c r="AC275" t="s">
        <v>139</v>
      </c>
      <c r="AD275" t="s">
        <v>1042</v>
      </c>
      <c r="AG275" t="s">
        <v>156</v>
      </c>
      <c r="AH275" t="s">
        <v>68</v>
      </c>
      <c r="AI275" t="s">
        <v>493</v>
      </c>
      <c r="AK275" t="s">
        <v>1043</v>
      </c>
    </row>
    <row r="276" spans="1:37" customFormat="1">
      <c r="A276" t="s">
        <v>23</v>
      </c>
      <c r="B276" t="s">
        <v>24</v>
      </c>
      <c r="C276" t="s">
        <v>176</v>
      </c>
      <c r="D276" t="s">
        <v>135</v>
      </c>
      <c r="E276" t="s">
        <v>946</v>
      </c>
      <c r="F276" t="s">
        <v>931</v>
      </c>
      <c r="G276" t="s">
        <v>136</v>
      </c>
      <c r="H276" t="s">
        <v>142</v>
      </c>
      <c r="I276" t="s">
        <v>156</v>
      </c>
      <c r="J276" t="s">
        <v>25</v>
      </c>
      <c r="K276" t="s">
        <v>157</v>
      </c>
      <c r="L276" t="s">
        <v>147</v>
      </c>
      <c r="M276" t="s">
        <v>144</v>
      </c>
      <c r="N276" t="s">
        <v>1044</v>
      </c>
      <c r="O276">
        <v>31</v>
      </c>
      <c r="P276" t="s">
        <v>159</v>
      </c>
      <c r="R276">
        <v>591.5</v>
      </c>
      <c r="S276">
        <v>558.30999999999995</v>
      </c>
      <c r="T276" t="s">
        <v>145</v>
      </c>
      <c r="U276" t="s">
        <v>988</v>
      </c>
      <c r="V276" t="s">
        <v>27</v>
      </c>
      <c r="W276" t="s">
        <v>66</v>
      </c>
      <c r="X276" t="s">
        <v>67</v>
      </c>
      <c r="Y276" t="s">
        <v>138</v>
      </c>
      <c r="AA276" t="s">
        <v>494</v>
      </c>
      <c r="AC276" t="s">
        <v>139</v>
      </c>
      <c r="AD276" t="s">
        <v>1045</v>
      </c>
      <c r="AG276" t="s">
        <v>156</v>
      </c>
      <c r="AH276" t="s">
        <v>68</v>
      </c>
      <c r="AI276" t="s">
        <v>493</v>
      </c>
    </row>
    <row r="277" spans="1:37" customFormat="1">
      <c r="A277" t="s">
        <v>23</v>
      </c>
      <c r="B277" t="s">
        <v>24</v>
      </c>
      <c r="C277" t="s">
        <v>175</v>
      </c>
      <c r="D277" t="s">
        <v>135</v>
      </c>
      <c r="E277" t="s">
        <v>943</v>
      </c>
      <c r="F277" t="s">
        <v>931</v>
      </c>
      <c r="G277" t="s">
        <v>136</v>
      </c>
      <c r="H277" t="s">
        <v>142</v>
      </c>
      <c r="I277" t="s">
        <v>156</v>
      </c>
      <c r="J277" t="s">
        <v>26</v>
      </c>
      <c r="K277" t="s">
        <v>157</v>
      </c>
      <c r="L277" t="s">
        <v>150</v>
      </c>
      <c r="M277" t="s">
        <v>144</v>
      </c>
      <c r="N277" t="s">
        <v>1047</v>
      </c>
      <c r="O277">
        <v>1</v>
      </c>
      <c r="P277" t="s">
        <v>160</v>
      </c>
      <c r="R277">
        <v>727</v>
      </c>
      <c r="S277">
        <v>720.4</v>
      </c>
      <c r="T277" t="s">
        <v>145</v>
      </c>
      <c r="U277" t="s">
        <v>1132</v>
      </c>
      <c r="V277" t="s">
        <v>27</v>
      </c>
      <c r="W277" t="s">
        <v>66</v>
      </c>
      <c r="X277" t="s">
        <v>67</v>
      </c>
      <c r="Y277" t="s">
        <v>138</v>
      </c>
      <c r="AA277" t="s">
        <v>494</v>
      </c>
      <c r="AC277" t="s">
        <v>139</v>
      </c>
      <c r="AD277" t="s">
        <v>1133</v>
      </c>
      <c r="AG277" t="s">
        <v>156</v>
      </c>
      <c r="AH277" t="s">
        <v>68</v>
      </c>
      <c r="AI277" t="s">
        <v>493</v>
      </c>
      <c r="AK277" t="s">
        <v>1048</v>
      </c>
    </row>
    <row r="278" spans="1:37" customFormat="1">
      <c r="A278" t="s">
        <v>23</v>
      </c>
      <c r="B278" t="s">
        <v>24</v>
      </c>
      <c r="C278" t="s">
        <v>175</v>
      </c>
      <c r="D278" t="s">
        <v>135</v>
      </c>
      <c r="E278" t="s">
        <v>943</v>
      </c>
      <c r="F278" t="s">
        <v>931</v>
      </c>
      <c r="G278" t="s">
        <v>136</v>
      </c>
      <c r="H278" t="s">
        <v>142</v>
      </c>
      <c r="I278" t="s">
        <v>156</v>
      </c>
      <c r="J278" t="s">
        <v>26</v>
      </c>
      <c r="K278" t="s">
        <v>157</v>
      </c>
      <c r="L278" t="s">
        <v>150</v>
      </c>
      <c r="M278" t="s">
        <v>144</v>
      </c>
      <c r="N278" t="s">
        <v>1049</v>
      </c>
      <c r="O278">
        <v>1</v>
      </c>
      <c r="P278" t="s">
        <v>160</v>
      </c>
      <c r="R278">
        <v>727.5</v>
      </c>
      <c r="S278">
        <v>720.4</v>
      </c>
      <c r="T278" t="s">
        <v>145</v>
      </c>
      <c r="U278" t="s">
        <v>1132</v>
      </c>
      <c r="V278" t="s">
        <v>27</v>
      </c>
      <c r="W278" t="s">
        <v>66</v>
      </c>
      <c r="X278" t="s">
        <v>67</v>
      </c>
      <c r="Y278" t="s">
        <v>138</v>
      </c>
      <c r="AA278" t="s">
        <v>494</v>
      </c>
      <c r="AC278" t="s">
        <v>139</v>
      </c>
      <c r="AD278" t="s">
        <v>1134</v>
      </c>
      <c r="AG278" t="s">
        <v>156</v>
      </c>
      <c r="AH278" t="s">
        <v>68</v>
      </c>
      <c r="AI278" t="s">
        <v>493</v>
      </c>
      <c r="AK278" t="s">
        <v>1050</v>
      </c>
    </row>
    <row r="279" spans="1:37" customFormat="1">
      <c r="A279" t="s">
        <v>23</v>
      </c>
      <c r="B279" t="s">
        <v>24</v>
      </c>
      <c r="C279" t="s">
        <v>175</v>
      </c>
      <c r="D279" t="s">
        <v>135</v>
      </c>
      <c r="E279" t="s">
        <v>943</v>
      </c>
      <c r="F279" t="s">
        <v>931</v>
      </c>
      <c r="G279" t="s">
        <v>136</v>
      </c>
      <c r="H279" t="s">
        <v>142</v>
      </c>
      <c r="I279" t="s">
        <v>156</v>
      </c>
      <c r="J279" t="s">
        <v>26</v>
      </c>
      <c r="K279" t="s">
        <v>157</v>
      </c>
      <c r="L279" t="s">
        <v>150</v>
      </c>
      <c r="M279" t="s">
        <v>144</v>
      </c>
      <c r="N279" t="s">
        <v>1051</v>
      </c>
      <c r="O279">
        <v>1</v>
      </c>
      <c r="P279" t="s">
        <v>160</v>
      </c>
      <c r="R279">
        <v>727.5</v>
      </c>
      <c r="S279">
        <v>720.4</v>
      </c>
      <c r="T279" t="s">
        <v>145</v>
      </c>
      <c r="U279" t="s">
        <v>1132</v>
      </c>
      <c r="V279" t="s">
        <v>27</v>
      </c>
      <c r="W279" t="s">
        <v>66</v>
      </c>
      <c r="X279" t="s">
        <v>67</v>
      </c>
      <c r="Y279" t="s">
        <v>138</v>
      </c>
      <c r="AA279" t="s">
        <v>494</v>
      </c>
      <c r="AC279" t="s">
        <v>139</v>
      </c>
      <c r="AD279" t="s">
        <v>1135</v>
      </c>
      <c r="AG279" t="s">
        <v>156</v>
      </c>
      <c r="AH279" t="s">
        <v>68</v>
      </c>
      <c r="AI279" t="s">
        <v>493</v>
      </c>
      <c r="AK279" t="s">
        <v>1052</v>
      </c>
    </row>
    <row r="280" spans="1:37" customFormat="1">
      <c r="A280" t="s">
        <v>23</v>
      </c>
      <c r="B280" t="s">
        <v>24</v>
      </c>
      <c r="C280" t="s">
        <v>175</v>
      </c>
      <c r="D280" t="s">
        <v>135</v>
      </c>
      <c r="E280" t="s">
        <v>943</v>
      </c>
      <c r="F280" t="s">
        <v>931</v>
      </c>
      <c r="G280" t="s">
        <v>136</v>
      </c>
      <c r="H280" t="s">
        <v>142</v>
      </c>
      <c r="I280" t="s">
        <v>156</v>
      </c>
      <c r="J280" t="s">
        <v>26</v>
      </c>
      <c r="K280" t="s">
        <v>157</v>
      </c>
      <c r="L280" t="s">
        <v>150</v>
      </c>
      <c r="M280" t="s">
        <v>144</v>
      </c>
      <c r="N280" t="s">
        <v>1053</v>
      </c>
      <c r="O280">
        <v>1</v>
      </c>
      <c r="P280" t="s">
        <v>160</v>
      </c>
      <c r="R280">
        <v>727</v>
      </c>
      <c r="S280">
        <v>720.4</v>
      </c>
      <c r="T280" t="s">
        <v>145</v>
      </c>
      <c r="U280" t="s">
        <v>1132</v>
      </c>
      <c r="V280" t="s">
        <v>27</v>
      </c>
      <c r="W280" t="s">
        <v>66</v>
      </c>
      <c r="X280" t="s">
        <v>67</v>
      </c>
      <c r="Y280" t="s">
        <v>138</v>
      </c>
      <c r="AA280" t="s">
        <v>494</v>
      </c>
      <c r="AC280" t="s">
        <v>139</v>
      </c>
      <c r="AD280" t="s">
        <v>1136</v>
      </c>
      <c r="AG280" t="s">
        <v>156</v>
      </c>
      <c r="AH280" t="s">
        <v>68</v>
      </c>
      <c r="AI280" t="s">
        <v>493</v>
      </c>
      <c r="AK280" t="s">
        <v>1054</v>
      </c>
    </row>
    <row r="281" spans="1:37" customFormat="1">
      <c r="A281" t="s">
        <v>23</v>
      </c>
      <c r="B281" t="s">
        <v>24</v>
      </c>
      <c r="C281" t="s">
        <v>175</v>
      </c>
      <c r="D281" t="s">
        <v>135</v>
      </c>
      <c r="E281" t="s">
        <v>943</v>
      </c>
      <c r="F281" t="s">
        <v>931</v>
      </c>
      <c r="G281" t="s">
        <v>136</v>
      </c>
      <c r="H281" t="s">
        <v>142</v>
      </c>
      <c r="I281" t="s">
        <v>156</v>
      </c>
      <c r="J281" t="s">
        <v>26</v>
      </c>
      <c r="K281" t="s">
        <v>157</v>
      </c>
      <c r="L281" t="s">
        <v>150</v>
      </c>
      <c r="M281" t="s">
        <v>144</v>
      </c>
      <c r="N281" t="s">
        <v>1055</v>
      </c>
      <c r="O281">
        <v>1</v>
      </c>
      <c r="P281" t="s">
        <v>160</v>
      </c>
      <c r="R281">
        <v>724.5</v>
      </c>
      <c r="S281">
        <v>720.4</v>
      </c>
      <c r="T281" t="s">
        <v>145</v>
      </c>
      <c r="U281" t="s">
        <v>1132</v>
      </c>
      <c r="V281" t="s">
        <v>27</v>
      </c>
      <c r="W281" t="s">
        <v>66</v>
      </c>
      <c r="X281" t="s">
        <v>67</v>
      </c>
      <c r="Y281" t="s">
        <v>138</v>
      </c>
      <c r="AA281" t="s">
        <v>494</v>
      </c>
      <c r="AC281" t="s">
        <v>139</v>
      </c>
      <c r="AD281" t="s">
        <v>1137</v>
      </c>
      <c r="AG281" t="s">
        <v>156</v>
      </c>
      <c r="AH281" t="s">
        <v>68</v>
      </c>
      <c r="AI281" t="s">
        <v>493</v>
      </c>
      <c r="AK281" t="s">
        <v>1056</v>
      </c>
    </row>
    <row r="282" spans="1:37" customFormat="1">
      <c r="A282" t="s">
        <v>23</v>
      </c>
      <c r="B282" t="s">
        <v>24</v>
      </c>
      <c r="C282" t="s">
        <v>175</v>
      </c>
      <c r="D282" t="s">
        <v>135</v>
      </c>
      <c r="E282" t="s">
        <v>943</v>
      </c>
      <c r="F282" t="s">
        <v>931</v>
      </c>
      <c r="G282" t="s">
        <v>136</v>
      </c>
      <c r="H282" t="s">
        <v>142</v>
      </c>
      <c r="I282" t="s">
        <v>156</v>
      </c>
      <c r="J282" t="s">
        <v>26</v>
      </c>
      <c r="K282" t="s">
        <v>157</v>
      </c>
      <c r="L282" t="s">
        <v>150</v>
      </c>
      <c r="M282" t="s">
        <v>144</v>
      </c>
      <c r="N282" t="s">
        <v>1057</v>
      </c>
      <c r="O282">
        <v>1</v>
      </c>
      <c r="P282" t="s">
        <v>160</v>
      </c>
      <c r="R282">
        <v>726</v>
      </c>
      <c r="S282">
        <v>720.4</v>
      </c>
      <c r="T282" t="s">
        <v>145</v>
      </c>
      <c r="U282" t="s">
        <v>1132</v>
      </c>
      <c r="V282" t="s">
        <v>27</v>
      </c>
      <c r="W282" t="s">
        <v>66</v>
      </c>
      <c r="X282" t="s">
        <v>67</v>
      </c>
      <c r="Y282" t="s">
        <v>138</v>
      </c>
      <c r="AA282" t="s">
        <v>494</v>
      </c>
      <c r="AC282" t="s">
        <v>139</v>
      </c>
      <c r="AD282" t="s">
        <v>1138</v>
      </c>
      <c r="AG282" t="s">
        <v>156</v>
      </c>
      <c r="AH282" t="s">
        <v>68</v>
      </c>
      <c r="AI282" t="s">
        <v>493</v>
      </c>
      <c r="AK282" t="s">
        <v>1058</v>
      </c>
    </row>
    <row r="283" spans="1:37" customFormat="1">
      <c r="A283" t="s">
        <v>23</v>
      </c>
      <c r="B283" t="s">
        <v>24</v>
      </c>
      <c r="C283" t="s">
        <v>175</v>
      </c>
      <c r="D283" t="s">
        <v>135</v>
      </c>
      <c r="E283" t="s">
        <v>943</v>
      </c>
      <c r="F283" t="s">
        <v>931</v>
      </c>
      <c r="G283" t="s">
        <v>136</v>
      </c>
      <c r="H283" t="s">
        <v>142</v>
      </c>
      <c r="I283" t="s">
        <v>156</v>
      </c>
      <c r="J283" t="s">
        <v>26</v>
      </c>
      <c r="K283" t="s">
        <v>157</v>
      </c>
      <c r="L283" t="s">
        <v>150</v>
      </c>
      <c r="M283" t="s">
        <v>144</v>
      </c>
      <c r="N283" t="s">
        <v>1059</v>
      </c>
      <c r="O283">
        <v>1</v>
      </c>
      <c r="P283" t="s">
        <v>160</v>
      </c>
      <c r="R283">
        <v>727</v>
      </c>
      <c r="S283">
        <v>720.4</v>
      </c>
      <c r="T283" t="s">
        <v>145</v>
      </c>
      <c r="U283" t="s">
        <v>1132</v>
      </c>
      <c r="V283" t="s">
        <v>27</v>
      </c>
      <c r="W283" t="s">
        <v>66</v>
      </c>
      <c r="X283" t="s">
        <v>67</v>
      </c>
      <c r="Y283" t="s">
        <v>138</v>
      </c>
      <c r="AA283" t="s">
        <v>494</v>
      </c>
      <c r="AC283" t="s">
        <v>139</v>
      </c>
      <c r="AD283" t="s">
        <v>1139</v>
      </c>
      <c r="AG283" t="s">
        <v>156</v>
      </c>
      <c r="AH283" t="s">
        <v>68</v>
      </c>
      <c r="AI283" t="s">
        <v>493</v>
      </c>
      <c r="AK283" t="s">
        <v>1060</v>
      </c>
    </row>
    <row r="284" spans="1:37" customFormat="1">
      <c r="A284" t="s">
        <v>23</v>
      </c>
      <c r="B284" t="s">
        <v>24</v>
      </c>
      <c r="C284" t="s">
        <v>175</v>
      </c>
      <c r="D284" t="s">
        <v>135</v>
      </c>
      <c r="E284" t="s">
        <v>943</v>
      </c>
      <c r="F284" t="s">
        <v>931</v>
      </c>
      <c r="G284" t="s">
        <v>136</v>
      </c>
      <c r="H284" t="s">
        <v>142</v>
      </c>
      <c r="I284" t="s">
        <v>156</v>
      </c>
      <c r="J284" t="s">
        <v>26</v>
      </c>
      <c r="K284" t="s">
        <v>157</v>
      </c>
      <c r="L284" t="s">
        <v>150</v>
      </c>
      <c r="M284" t="s">
        <v>144</v>
      </c>
      <c r="N284" t="s">
        <v>1061</v>
      </c>
      <c r="O284">
        <v>1</v>
      </c>
      <c r="P284" t="s">
        <v>160</v>
      </c>
      <c r="R284">
        <v>726.5</v>
      </c>
      <c r="S284">
        <v>720.4</v>
      </c>
      <c r="T284" t="s">
        <v>145</v>
      </c>
      <c r="U284" t="s">
        <v>1132</v>
      </c>
      <c r="V284" t="s">
        <v>27</v>
      </c>
      <c r="W284" t="s">
        <v>66</v>
      </c>
      <c r="X284" t="s">
        <v>67</v>
      </c>
      <c r="Y284" t="s">
        <v>138</v>
      </c>
      <c r="AA284" t="s">
        <v>494</v>
      </c>
      <c r="AC284" t="s">
        <v>139</v>
      </c>
      <c r="AD284" t="s">
        <v>1140</v>
      </c>
      <c r="AG284" t="s">
        <v>156</v>
      </c>
      <c r="AH284" t="s">
        <v>68</v>
      </c>
      <c r="AI284" t="s">
        <v>493</v>
      </c>
      <c r="AK284" t="s">
        <v>1062</v>
      </c>
    </row>
    <row r="285" spans="1:37" customFormat="1">
      <c r="A285" t="s">
        <v>23</v>
      </c>
      <c r="B285" t="s">
        <v>24</v>
      </c>
      <c r="C285" t="s">
        <v>175</v>
      </c>
      <c r="D285" t="s">
        <v>135</v>
      </c>
      <c r="E285" t="s">
        <v>943</v>
      </c>
      <c r="F285" t="s">
        <v>931</v>
      </c>
      <c r="G285" t="s">
        <v>136</v>
      </c>
      <c r="H285" t="s">
        <v>142</v>
      </c>
      <c r="I285" t="s">
        <v>156</v>
      </c>
      <c r="J285" t="s">
        <v>26</v>
      </c>
      <c r="K285" t="s">
        <v>157</v>
      </c>
      <c r="L285" t="s">
        <v>150</v>
      </c>
      <c r="M285" t="s">
        <v>144</v>
      </c>
      <c r="N285" t="s">
        <v>1063</v>
      </c>
      <c r="O285">
        <v>1</v>
      </c>
      <c r="P285" t="s">
        <v>160</v>
      </c>
      <c r="R285">
        <v>725.5</v>
      </c>
      <c r="S285">
        <v>720.4</v>
      </c>
      <c r="T285" t="s">
        <v>145</v>
      </c>
      <c r="U285" t="s">
        <v>1132</v>
      </c>
      <c r="V285" t="s">
        <v>27</v>
      </c>
      <c r="W285" t="s">
        <v>66</v>
      </c>
      <c r="X285" t="s">
        <v>67</v>
      </c>
      <c r="Y285" t="s">
        <v>138</v>
      </c>
      <c r="AA285" t="s">
        <v>494</v>
      </c>
      <c r="AC285" t="s">
        <v>139</v>
      </c>
      <c r="AD285" t="s">
        <v>1141</v>
      </c>
      <c r="AG285" t="s">
        <v>156</v>
      </c>
      <c r="AH285" t="s">
        <v>68</v>
      </c>
      <c r="AI285" t="s">
        <v>493</v>
      </c>
      <c r="AK285" t="s">
        <v>1064</v>
      </c>
    </row>
    <row r="286" spans="1:37" customFormat="1">
      <c r="A286" t="s">
        <v>23</v>
      </c>
      <c r="B286" t="s">
        <v>24</v>
      </c>
      <c r="C286" t="s">
        <v>175</v>
      </c>
      <c r="D286" t="s">
        <v>135</v>
      </c>
      <c r="E286" t="s">
        <v>943</v>
      </c>
      <c r="F286" t="s">
        <v>931</v>
      </c>
      <c r="G286" t="s">
        <v>136</v>
      </c>
      <c r="H286" t="s">
        <v>142</v>
      </c>
      <c r="I286" t="s">
        <v>156</v>
      </c>
      <c r="J286" t="s">
        <v>26</v>
      </c>
      <c r="K286" t="s">
        <v>157</v>
      </c>
      <c r="L286" t="s">
        <v>150</v>
      </c>
      <c r="M286" t="s">
        <v>144</v>
      </c>
      <c r="N286" t="s">
        <v>1065</v>
      </c>
      <c r="O286">
        <v>1</v>
      </c>
      <c r="P286" t="s">
        <v>160</v>
      </c>
      <c r="R286">
        <v>727</v>
      </c>
      <c r="S286">
        <v>720.4</v>
      </c>
      <c r="T286" t="s">
        <v>145</v>
      </c>
      <c r="U286" t="s">
        <v>1132</v>
      </c>
      <c r="V286" t="s">
        <v>27</v>
      </c>
      <c r="W286" t="s">
        <v>66</v>
      </c>
      <c r="X286" t="s">
        <v>67</v>
      </c>
      <c r="Y286" t="s">
        <v>138</v>
      </c>
      <c r="AA286" t="s">
        <v>494</v>
      </c>
      <c r="AC286" t="s">
        <v>139</v>
      </c>
      <c r="AD286" t="s">
        <v>1142</v>
      </c>
      <c r="AG286" t="s">
        <v>156</v>
      </c>
      <c r="AH286" t="s">
        <v>68</v>
      </c>
      <c r="AI286" t="s">
        <v>493</v>
      </c>
      <c r="AK286" t="s">
        <v>1066</v>
      </c>
    </row>
    <row r="287" spans="1:37" customFormat="1">
      <c r="A287" t="s">
        <v>23</v>
      </c>
      <c r="B287" t="s">
        <v>24</v>
      </c>
      <c r="C287" t="s">
        <v>175</v>
      </c>
      <c r="D287" t="s">
        <v>135</v>
      </c>
      <c r="E287" t="s">
        <v>943</v>
      </c>
      <c r="F287" t="s">
        <v>931</v>
      </c>
      <c r="G287" t="s">
        <v>136</v>
      </c>
      <c r="H287" t="s">
        <v>142</v>
      </c>
      <c r="I287" t="s">
        <v>156</v>
      </c>
      <c r="J287" t="s">
        <v>26</v>
      </c>
      <c r="K287" t="s">
        <v>157</v>
      </c>
      <c r="L287" t="s">
        <v>150</v>
      </c>
      <c r="M287" t="s">
        <v>144</v>
      </c>
      <c r="N287" t="s">
        <v>1067</v>
      </c>
      <c r="O287">
        <v>1</v>
      </c>
      <c r="P287" t="s">
        <v>160</v>
      </c>
      <c r="R287">
        <v>727</v>
      </c>
      <c r="S287">
        <v>720.4</v>
      </c>
      <c r="T287" t="s">
        <v>145</v>
      </c>
      <c r="U287" t="s">
        <v>1132</v>
      </c>
      <c r="V287" t="s">
        <v>27</v>
      </c>
      <c r="W287" t="s">
        <v>66</v>
      </c>
      <c r="X287" t="s">
        <v>67</v>
      </c>
      <c r="Y287" t="s">
        <v>138</v>
      </c>
      <c r="AA287" t="s">
        <v>494</v>
      </c>
      <c r="AC287" t="s">
        <v>139</v>
      </c>
      <c r="AD287" t="s">
        <v>1143</v>
      </c>
      <c r="AG287" t="s">
        <v>156</v>
      </c>
      <c r="AH287" t="s">
        <v>68</v>
      </c>
      <c r="AI287" t="s">
        <v>493</v>
      </c>
      <c r="AK287" t="s">
        <v>1068</v>
      </c>
    </row>
    <row r="288" spans="1:37" customFormat="1">
      <c r="A288" t="s">
        <v>23</v>
      </c>
      <c r="B288" t="s">
        <v>24</v>
      </c>
      <c r="C288" t="s">
        <v>175</v>
      </c>
      <c r="D288" t="s">
        <v>135</v>
      </c>
      <c r="E288" t="s">
        <v>943</v>
      </c>
      <c r="F288" t="s">
        <v>931</v>
      </c>
      <c r="G288" t="s">
        <v>136</v>
      </c>
      <c r="H288" t="s">
        <v>142</v>
      </c>
      <c r="I288" t="s">
        <v>156</v>
      </c>
      <c r="J288" t="s">
        <v>26</v>
      </c>
      <c r="K288" t="s">
        <v>157</v>
      </c>
      <c r="L288" t="s">
        <v>150</v>
      </c>
      <c r="M288" t="s">
        <v>144</v>
      </c>
      <c r="N288" t="s">
        <v>1069</v>
      </c>
      <c r="O288">
        <v>1</v>
      </c>
      <c r="P288" t="s">
        <v>160</v>
      </c>
      <c r="R288">
        <v>726</v>
      </c>
      <c r="S288">
        <v>720.4</v>
      </c>
      <c r="T288" t="s">
        <v>145</v>
      </c>
      <c r="U288" t="s">
        <v>1132</v>
      </c>
      <c r="V288" t="s">
        <v>27</v>
      </c>
      <c r="W288" t="s">
        <v>66</v>
      </c>
      <c r="X288" t="s">
        <v>67</v>
      </c>
      <c r="Y288" t="s">
        <v>138</v>
      </c>
      <c r="AA288" t="s">
        <v>494</v>
      </c>
      <c r="AC288" t="s">
        <v>139</v>
      </c>
      <c r="AD288" t="s">
        <v>1144</v>
      </c>
      <c r="AG288" t="s">
        <v>156</v>
      </c>
      <c r="AH288" t="s">
        <v>68</v>
      </c>
      <c r="AI288" t="s">
        <v>493</v>
      </c>
      <c r="AK288" t="s">
        <v>1070</v>
      </c>
    </row>
    <row r="289" spans="1:37" customFormat="1">
      <c r="A289" t="s">
        <v>23</v>
      </c>
      <c r="B289" t="s">
        <v>24</v>
      </c>
      <c r="C289" t="s">
        <v>175</v>
      </c>
      <c r="D289" t="s">
        <v>135</v>
      </c>
      <c r="E289" t="s">
        <v>943</v>
      </c>
      <c r="F289" t="s">
        <v>931</v>
      </c>
      <c r="G289" t="s">
        <v>136</v>
      </c>
      <c r="H289" t="s">
        <v>142</v>
      </c>
      <c r="I289" t="s">
        <v>156</v>
      </c>
      <c r="J289" t="s">
        <v>26</v>
      </c>
      <c r="K289" t="s">
        <v>157</v>
      </c>
      <c r="L289" t="s">
        <v>150</v>
      </c>
      <c r="M289" t="s">
        <v>144</v>
      </c>
      <c r="N289" t="s">
        <v>1071</v>
      </c>
      <c r="O289">
        <v>1</v>
      </c>
      <c r="P289" t="s">
        <v>160</v>
      </c>
      <c r="R289">
        <v>725</v>
      </c>
      <c r="S289">
        <v>720.4</v>
      </c>
      <c r="T289" t="s">
        <v>145</v>
      </c>
      <c r="U289" t="s">
        <v>1132</v>
      </c>
      <c r="V289" t="s">
        <v>27</v>
      </c>
      <c r="W289" t="s">
        <v>66</v>
      </c>
      <c r="X289" t="s">
        <v>67</v>
      </c>
      <c r="Y289" t="s">
        <v>138</v>
      </c>
      <c r="AA289" t="s">
        <v>494</v>
      </c>
      <c r="AC289" t="s">
        <v>139</v>
      </c>
      <c r="AD289" t="s">
        <v>1145</v>
      </c>
      <c r="AG289" t="s">
        <v>156</v>
      </c>
      <c r="AH289" t="s">
        <v>68</v>
      </c>
      <c r="AI289" t="s">
        <v>493</v>
      </c>
      <c r="AK289" t="s">
        <v>1072</v>
      </c>
    </row>
    <row r="290" spans="1:37" customFormat="1">
      <c r="A290" t="s">
        <v>23</v>
      </c>
      <c r="B290" t="s">
        <v>24</v>
      </c>
      <c r="C290" t="s">
        <v>175</v>
      </c>
      <c r="D290" t="s">
        <v>135</v>
      </c>
      <c r="E290" t="s">
        <v>943</v>
      </c>
      <c r="F290" t="s">
        <v>931</v>
      </c>
      <c r="G290" t="s">
        <v>136</v>
      </c>
      <c r="H290" t="s">
        <v>142</v>
      </c>
      <c r="I290" t="s">
        <v>156</v>
      </c>
      <c r="J290" t="s">
        <v>26</v>
      </c>
      <c r="K290" t="s">
        <v>157</v>
      </c>
      <c r="L290" t="s">
        <v>150</v>
      </c>
      <c r="M290" t="s">
        <v>144</v>
      </c>
      <c r="N290" t="s">
        <v>1073</v>
      </c>
      <c r="O290">
        <v>1</v>
      </c>
      <c r="P290" t="s">
        <v>160</v>
      </c>
      <c r="R290">
        <v>727</v>
      </c>
      <c r="S290">
        <v>720.4</v>
      </c>
      <c r="T290" t="s">
        <v>145</v>
      </c>
      <c r="U290" t="s">
        <v>1132</v>
      </c>
      <c r="V290" t="s">
        <v>27</v>
      </c>
      <c r="W290" t="s">
        <v>66</v>
      </c>
      <c r="X290" t="s">
        <v>67</v>
      </c>
      <c r="Y290" t="s">
        <v>138</v>
      </c>
      <c r="AA290" t="s">
        <v>494</v>
      </c>
      <c r="AC290" t="s">
        <v>139</v>
      </c>
      <c r="AD290" t="s">
        <v>1146</v>
      </c>
      <c r="AG290" t="s">
        <v>156</v>
      </c>
      <c r="AH290" t="s">
        <v>68</v>
      </c>
      <c r="AI290" t="s">
        <v>493</v>
      </c>
      <c r="AK290" t="s">
        <v>1074</v>
      </c>
    </row>
    <row r="291" spans="1:37" customFormat="1">
      <c r="A291" t="s">
        <v>23</v>
      </c>
      <c r="B291" t="s">
        <v>24</v>
      </c>
      <c r="C291" t="s">
        <v>175</v>
      </c>
      <c r="D291" t="s">
        <v>135</v>
      </c>
      <c r="E291" t="s">
        <v>943</v>
      </c>
      <c r="F291" t="s">
        <v>931</v>
      </c>
      <c r="G291" t="s">
        <v>136</v>
      </c>
      <c r="H291" t="s">
        <v>142</v>
      </c>
      <c r="I291" t="s">
        <v>156</v>
      </c>
      <c r="J291" t="s">
        <v>26</v>
      </c>
      <c r="K291" t="s">
        <v>157</v>
      </c>
      <c r="L291" t="s">
        <v>150</v>
      </c>
      <c r="M291" t="s">
        <v>144</v>
      </c>
      <c r="N291" t="s">
        <v>1075</v>
      </c>
      <c r="O291">
        <v>1</v>
      </c>
      <c r="P291" t="s">
        <v>160</v>
      </c>
      <c r="R291">
        <v>727.5</v>
      </c>
      <c r="S291">
        <v>720.4</v>
      </c>
      <c r="T291" t="s">
        <v>145</v>
      </c>
      <c r="U291" t="s">
        <v>1132</v>
      </c>
      <c r="V291" t="s">
        <v>27</v>
      </c>
      <c r="W291" t="s">
        <v>66</v>
      </c>
      <c r="X291" t="s">
        <v>67</v>
      </c>
      <c r="Y291" t="s">
        <v>138</v>
      </c>
      <c r="AA291" t="s">
        <v>494</v>
      </c>
      <c r="AC291" t="s">
        <v>139</v>
      </c>
      <c r="AD291" t="s">
        <v>1147</v>
      </c>
      <c r="AG291" t="s">
        <v>156</v>
      </c>
      <c r="AH291" t="s">
        <v>68</v>
      </c>
      <c r="AI291" t="s">
        <v>493</v>
      </c>
      <c r="AK291" t="s">
        <v>1076</v>
      </c>
    </row>
    <row r="292" spans="1:37" customFormat="1">
      <c r="A292" t="s">
        <v>23</v>
      </c>
      <c r="B292" t="s">
        <v>24</v>
      </c>
      <c r="C292" t="s">
        <v>175</v>
      </c>
      <c r="D292" t="s">
        <v>135</v>
      </c>
      <c r="E292" t="s">
        <v>943</v>
      </c>
      <c r="F292" t="s">
        <v>931</v>
      </c>
      <c r="G292" t="s">
        <v>136</v>
      </c>
      <c r="H292" t="s">
        <v>142</v>
      </c>
      <c r="I292" t="s">
        <v>156</v>
      </c>
      <c r="J292" t="s">
        <v>26</v>
      </c>
      <c r="K292" t="s">
        <v>157</v>
      </c>
      <c r="L292" t="s">
        <v>150</v>
      </c>
      <c r="M292" t="s">
        <v>144</v>
      </c>
      <c r="N292" t="s">
        <v>1077</v>
      </c>
      <c r="O292">
        <v>1</v>
      </c>
      <c r="P292" t="s">
        <v>160</v>
      </c>
      <c r="R292">
        <v>727</v>
      </c>
      <c r="S292">
        <v>720.4</v>
      </c>
      <c r="T292" t="s">
        <v>145</v>
      </c>
      <c r="U292" t="s">
        <v>1132</v>
      </c>
      <c r="V292" t="s">
        <v>27</v>
      </c>
      <c r="W292" t="s">
        <v>66</v>
      </c>
      <c r="X292" t="s">
        <v>67</v>
      </c>
      <c r="Y292" t="s">
        <v>138</v>
      </c>
      <c r="AA292" t="s">
        <v>494</v>
      </c>
      <c r="AC292" t="s">
        <v>139</v>
      </c>
      <c r="AD292" t="s">
        <v>1148</v>
      </c>
      <c r="AG292" t="s">
        <v>156</v>
      </c>
      <c r="AH292" t="s">
        <v>68</v>
      </c>
      <c r="AI292" t="s">
        <v>493</v>
      </c>
      <c r="AK292" t="s">
        <v>1078</v>
      </c>
    </row>
    <row r="293" spans="1:37" customFormat="1">
      <c r="A293" t="s">
        <v>23</v>
      </c>
      <c r="B293" t="s">
        <v>24</v>
      </c>
      <c r="C293" t="s">
        <v>176</v>
      </c>
      <c r="D293" t="s">
        <v>135</v>
      </c>
      <c r="E293" t="s">
        <v>947</v>
      </c>
      <c r="F293" t="s">
        <v>931</v>
      </c>
      <c r="G293" t="s">
        <v>136</v>
      </c>
      <c r="H293" t="s">
        <v>142</v>
      </c>
      <c r="I293" t="s">
        <v>156</v>
      </c>
      <c r="J293" t="s">
        <v>25</v>
      </c>
      <c r="K293" t="s">
        <v>157</v>
      </c>
      <c r="L293" t="s">
        <v>150</v>
      </c>
      <c r="M293" t="s">
        <v>144</v>
      </c>
      <c r="N293" t="s">
        <v>1079</v>
      </c>
      <c r="O293">
        <v>29</v>
      </c>
      <c r="P293" t="s">
        <v>159</v>
      </c>
      <c r="R293">
        <v>556</v>
      </c>
      <c r="S293">
        <v>522.29</v>
      </c>
      <c r="T293" t="s">
        <v>145</v>
      </c>
      <c r="U293" t="s">
        <v>988</v>
      </c>
      <c r="V293" t="s">
        <v>27</v>
      </c>
      <c r="W293" t="s">
        <v>66</v>
      </c>
      <c r="X293" t="s">
        <v>67</v>
      </c>
      <c r="Y293" t="s">
        <v>138</v>
      </c>
      <c r="AA293" t="s">
        <v>494</v>
      </c>
      <c r="AC293" t="s">
        <v>139</v>
      </c>
      <c r="AD293" t="s">
        <v>1149</v>
      </c>
      <c r="AG293" t="s">
        <v>156</v>
      </c>
      <c r="AH293" t="s">
        <v>68</v>
      </c>
      <c r="AI293" t="s">
        <v>493</v>
      </c>
    </row>
    <row r="294" spans="1:37" customFormat="1">
      <c r="A294" t="s">
        <v>23</v>
      </c>
      <c r="B294" t="s">
        <v>24</v>
      </c>
      <c r="C294" t="s">
        <v>179</v>
      </c>
      <c r="D294" t="s">
        <v>135</v>
      </c>
      <c r="E294" t="s">
        <v>1080</v>
      </c>
      <c r="F294" t="s">
        <v>931</v>
      </c>
      <c r="G294" t="s">
        <v>136</v>
      </c>
      <c r="H294" t="s">
        <v>146</v>
      </c>
      <c r="I294" t="s">
        <v>156</v>
      </c>
      <c r="J294" t="s">
        <v>26</v>
      </c>
      <c r="K294" t="s">
        <v>157</v>
      </c>
      <c r="L294" t="s">
        <v>150</v>
      </c>
      <c r="M294" t="s">
        <v>144</v>
      </c>
      <c r="N294" t="s">
        <v>1081</v>
      </c>
      <c r="O294">
        <v>1</v>
      </c>
      <c r="P294" t="s">
        <v>160</v>
      </c>
      <c r="R294">
        <v>816.5</v>
      </c>
      <c r="S294">
        <v>809.2</v>
      </c>
      <c r="T294" t="s">
        <v>145</v>
      </c>
      <c r="U294" t="s">
        <v>1132</v>
      </c>
      <c r="V294" t="s">
        <v>27</v>
      </c>
      <c r="W294" t="s">
        <v>66</v>
      </c>
      <c r="X294" t="s">
        <v>67</v>
      </c>
      <c r="Y294" t="s">
        <v>138</v>
      </c>
      <c r="AA294" t="s">
        <v>494</v>
      </c>
      <c r="AC294" t="s">
        <v>139</v>
      </c>
      <c r="AD294" t="s">
        <v>1150</v>
      </c>
      <c r="AG294" t="s">
        <v>156</v>
      </c>
      <c r="AH294" t="s">
        <v>68</v>
      </c>
      <c r="AI294" t="s">
        <v>493</v>
      </c>
      <c r="AK294" t="s">
        <v>1083</v>
      </c>
    </row>
    <row r="295" spans="1:37" customFormat="1">
      <c r="A295" t="s">
        <v>23</v>
      </c>
      <c r="B295" t="s">
        <v>24</v>
      </c>
      <c r="C295" t="s">
        <v>179</v>
      </c>
      <c r="D295" t="s">
        <v>135</v>
      </c>
      <c r="E295" t="s">
        <v>1080</v>
      </c>
      <c r="F295" t="s">
        <v>931</v>
      </c>
      <c r="G295" t="s">
        <v>136</v>
      </c>
      <c r="H295" t="s">
        <v>146</v>
      </c>
      <c r="I295" t="s">
        <v>156</v>
      </c>
      <c r="J295" t="s">
        <v>26</v>
      </c>
      <c r="K295" t="s">
        <v>157</v>
      </c>
      <c r="L295" t="s">
        <v>150</v>
      </c>
      <c r="M295" t="s">
        <v>144</v>
      </c>
      <c r="N295" t="s">
        <v>1084</v>
      </c>
      <c r="O295">
        <v>1</v>
      </c>
      <c r="P295" t="s">
        <v>160</v>
      </c>
      <c r="R295">
        <v>813</v>
      </c>
      <c r="S295">
        <v>809.2</v>
      </c>
      <c r="T295" t="s">
        <v>145</v>
      </c>
      <c r="U295" t="s">
        <v>1132</v>
      </c>
      <c r="V295" t="s">
        <v>27</v>
      </c>
      <c r="W295" t="s">
        <v>66</v>
      </c>
      <c r="X295" t="s">
        <v>67</v>
      </c>
      <c r="Y295" t="s">
        <v>138</v>
      </c>
      <c r="AA295" t="s">
        <v>494</v>
      </c>
      <c r="AC295" t="s">
        <v>139</v>
      </c>
      <c r="AD295" t="s">
        <v>1151</v>
      </c>
      <c r="AG295" t="s">
        <v>156</v>
      </c>
      <c r="AH295" t="s">
        <v>68</v>
      </c>
      <c r="AI295" t="s">
        <v>493</v>
      </c>
      <c r="AK295" t="s">
        <v>1085</v>
      </c>
    </row>
    <row r="296" spans="1:37" customFormat="1">
      <c r="A296" t="s">
        <v>23</v>
      </c>
      <c r="B296" t="s">
        <v>24</v>
      </c>
      <c r="C296" t="s">
        <v>179</v>
      </c>
      <c r="D296" t="s">
        <v>135</v>
      </c>
      <c r="E296" t="s">
        <v>1080</v>
      </c>
      <c r="F296" t="s">
        <v>931</v>
      </c>
      <c r="G296" t="s">
        <v>136</v>
      </c>
      <c r="H296" t="s">
        <v>146</v>
      </c>
      <c r="I296" t="s">
        <v>156</v>
      </c>
      <c r="J296" t="s">
        <v>26</v>
      </c>
      <c r="K296" t="s">
        <v>157</v>
      </c>
      <c r="L296" t="s">
        <v>150</v>
      </c>
      <c r="M296" t="s">
        <v>144</v>
      </c>
      <c r="N296" t="s">
        <v>1086</v>
      </c>
      <c r="O296">
        <v>1</v>
      </c>
      <c r="P296" t="s">
        <v>160</v>
      </c>
      <c r="R296">
        <v>817</v>
      </c>
      <c r="S296">
        <v>809.2</v>
      </c>
      <c r="T296" t="s">
        <v>145</v>
      </c>
      <c r="U296" t="s">
        <v>1132</v>
      </c>
      <c r="V296" t="s">
        <v>27</v>
      </c>
      <c r="W296" t="s">
        <v>66</v>
      </c>
      <c r="X296" t="s">
        <v>67</v>
      </c>
      <c r="Y296" t="s">
        <v>138</v>
      </c>
      <c r="AA296" t="s">
        <v>494</v>
      </c>
      <c r="AC296" t="s">
        <v>139</v>
      </c>
      <c r="AD296" t="s">
        <v>1152</v>
      </c>
      <c r="AG296" t="s">
        <v>156</v>
      </c>
      <c r="AH296" t="s">
        <v>68</v>
      </c>
      <c r="AI296" t="s">
        <v>493</v>
      </c>
      <c r="AK296" t="s">
        <v>1087</v>
      </c>
    </row>
    <row r="297" spans="1:37" customFormat="1">
      <c r="A297" t="s">
        <v>23</v>
      </c>
      <c r="B297" t="s">
        <v>24</v>
      </c>
      <c r="C297" t="s">
        <v>179</v>
      </c>
      <c r="D297" t="s">
        <v>135</v>
      </c>
      <c r="E297" t="s">
        <v>1080</v>
      </c>
      <c r="F297" t="s">
        <v>931</v>
      </c>
      <c r="G297" t="s">
        <v>136</v>
      </c>
      <c r="H297" t="s">
        <v>146</v>
      </c>
      <c r="I297" t="s">
        <v>156</v>
      </c>
      <c r="J297" t="s">
        <v>26</v>
      </c>
      <c r="K297" t="s">
        <v>157</v>
      </c>
      <c r="L297" t="s">
        <v>150</v>
      </c>
      <c r="M297" t="s">
        <v>144</v>
      </c>
      <c r="N297" t="s">
        <v>1088</v>
      </c>
      <c r="O297">
        <v>1</v>
      </c>
      <c r="P297" t="s">
        <v>160</v>
      </c>
      <c r="R297">
        <v>814</v>
      </c>
      <c r="S297">
        <v>809.2</v>
      </c>
      <c r="T297" t="s">
        <v>145</v>
      </c>
      <c r="U297" t="s">
        <v>1132</v>
      </c>
      <c r="V297" t="s">
        <v>27</v>
      </c>
      <c r="W297" t="s">
        <v>66</v>
      </c>
      <c r="X297" t="s">
        <v>67</v>
      </c>
      <c r="Y297" t="s">
        <v>138</v>
      </c>
      <c r="AA297" t="s">
        <v>494</v>
      </c>
      <c r="AC297" t="s">
        <v>139</v>
      </c>
      <c r="AD297" t="s">
        <v>1153</v>
      </c>
      <c r="AG297" t="s">
        <v>156</v>
      </c>
      <c r="AH297" t="s">
        <v>68</v>
      </c>
      <c r="AI297" t="s">
        <v>493</v>
      </c>
      <c r="AK297" t="s">
        <v>1089</v>
      </c>
    </row>
    <row r="298" spans="1:37" customFormat="1">
      <c r="A298" t="s">
        <v>23</v>
      </c>
      <c r="B298" t="s">
        <v>24</v>
      </c>
      <c r="C298" t="s">
        <v>179</v>
      </c>
      <c r="D298" t="s">
        <v>135</v>
      </c>
      <c r="E298" t="s">
        <v>1080</v>
      </c>
      <c r="F298" t="s">
        <v>931</v>
      </c>
      <c r="G298" t="s">
        <v>136</v>
      </c>
      <c r="H298" t="s">
        <v>146</v>
      </c>
      <c r="I298" t="s">
        <v>156</v>
      </c>
      <c r="J298" t="s">
        <v>26</v>
      </c>
      <c r="K298" t="s">
        <v>157</v>
      </c>
      <c r="L298" t="s">
        <v>150</v>
      </c>
      <c r="M298" t="s">
        <v>144</v>
      </c>
      <c r="N298" t="s">
        <v>1090</v>
      </c>
      <c r="O298">
        <v>1</v>
      </c>
      <c r="P298" t="s">
        <v>160</v>
      </c>
      <c r="R298">
        <v>817</v>
      </c>
      <c r="S298">
        <v>809.2</v>
      </c>
      <c r="T298" t="s">
        <v>145</v>
      </c>
      <c r="U298" t="s">
        <v>1132</v>
      </c>
      <c r="V298" t="s">
        <v>27</v>
      </c>
      <c r="W298" t="s">
        <v>66</v>
      </c>
      <c r="X298" t="s">
        <v>67</v>
      </c>
      <c r="Y298" t="s">
        <v>138</v>
      </c>
      <c r="AA298" t="s">
        <v>494</v>
      </c>
      <c r="AC298" t="s">
        <v>139</v>
      </c>
      <c r="AD298" t="s">
        <v>1154</v>
      </c>
      <c r="AG298" t="s">
        <v>156</v>
      </c>
      <c r="AH298" t="s">
        <v>68</v>
      </c>
      <c r="AI298" t="s">
        <v>493</v>
      </c>
      <c r="AK298" t="s">
        <v>1091</v>
      </c>
    </row>
    <row r="299" spans="1:37" customFormat="1">
      <c r="A299" t="s">
        <v>23</v>
      </c>
      <c r="B299" t="s">
        <v>24</v>
      </c>
      <c r="C299" t="s">
        <v>179</v>
      </c>
      <c r="D299" t="s">
        <v>135</v>
      </c>
      <c r="E299" t="s">
        <v>1080</v>
      </c>
      <c r="F299" t="s">
        <v>931</v>
      </c>
      <c r="G299" t="s">
        <v>136</v>
      </c>
      <c r="H299" t="s">
        <v>146</v>
      </c>
      <c r="I299" t="s">
        <v>156</v>
      </c>
      <c r="J299" t="s">
        <v>26</v>
      </c>
      <c r="K299" t="s">
        <v>157</v>
      </c>
      <c r="L299" t="s">
        <v>150</v>
      </c>
      <c r="M299" t="s">
        <v>144</v>
      </c>
      <c r="N299" t="s">
        <v>1092</v>
      </c>
      <c r="O299">
        <v>1</v>
      </c>
      <c r="P299" t="s">
        <v>160</v>
      </c>
      <c r="R299">
        <v>811</v>
      </c>
      <c r="S299">
        <v>809.2</v>
      </c>
      <c r="T299" t="s">
        <v>145</v>
      </c>
      <c r="U299" t="s">
        <v>1132</v>
      </c>
      <c r="V299" t="s">
        <v>27</v>
      </c>
      <c r="W299" t="s">
        <v>66</v>
      </c>
      <c r="X299" t="s">
        <v>67</v>
      </c>
      <c r="Y299" t="s">
        <v>138</v>
      </c>
      <c r="AA299" t="s">
        <v>494</v>
      </c>
      <c r="AC299" t="s">
        <v>139</v>
      </c>
      <c r="AD299" t="s">
        <v>1155</v>
      </c>
      <c r="AG299" t="s">
        <v>156</v>
      </c>
      <c r="AH299" t="s">
        <v>68</v>
      </c>
      <c r="AI299" t="s">
        <v>493</v>
      </c>
      <c r="AK299" t="s">
        <v>1093</v>
      </c>
    </row>
    <row r="300" spans="1:37" customFormat="1">
      <c r="A300" t="s">
        <v>23</v>
      </c>
      <c r="B300" t="s">
        <v>24</v>
      </c>
      <c r="C300" t="s">
        <v>179</v>
      </c>
      <c r="D300" t="s">
        <v>135</v>
      </c>
      <c r="E300" t="s">
        <v>1080</v>
      </c>
      <c r="F300" t="s">
        <v>931</v>
      </c>
      <c r="G300" t="s">
        <v>136</v>
      </c>
      <c r="H300" t="s">
        <v>146</v>
      </c>
      <c r="I300" t="s">
        <v>156</v>
      </c>
      <c r="J300" t="s">
        <v>26</v>
      </c>
      <c r="K300" t="s">
        <v>157</v>
      </c>
      <c r="L300" t="s">
        <v>150</v>
      </c>
      <c r="M300" t="s">
        <v>144</v>
      </c>
      <c r="N300" t="s">
        <v>1095</v>
      </c>
      <c r="O300">
        <v>1</v>
      </c>
      <c r="P300" t="s">
        <v>160</v>
      </c>
      <c r="R300">
        <v>817</v>
      </c>
      <c r="S300">
        <v>809.2</v>
      </c>
      <c r="T300" t="s">
        <v>145</v>
      </c>
      <c r="U300" t="s">
        <v>1132</v>
      </c>
      <c r="V300" t="s">
        <v>27</v>
      </c>
      <c r="W300" t="s">
        <v>66</v>
      </c>
      <c r="X300" t="s">
        <v>67</v>
      </c>
      <c r="Y300" t="s">
        <v>138</v>
      </c>
      <c r="AA300" t="s">
        <v>494</v>
      </c>
      <c r="AC300" t="s">
        <v>139</v>
      </c>
      <c r="AD300" t="s">
        <v>1156</v>
      </c>
      <c r="AG300" t="s">
        <v>156</v>
      </c>
      <c r="AH300" t="s">
        <v>68</v>
      </c>
      <c r="AI300" t="s">
        <v>493</v>
      </c>
      <c r="AK300" t="s">
        <v>1096</v>
      </c>
    </row>
    <row r="301" spans="1:37" customFormat="1">
      <c r="A301" t="s">
        <v>23</v>
      </c>
      <c r="B301" t="s">
        <v>24</v>
      </c>
      <c r="C301" t="s">
        <v>179</v>
      </c>
      <c r="D301" t="s">
        <v>135</v>
      </c>
      <c r="E301" t="s">
        <v>1080</v>
      </c>
      <c r="F301" t="s">
        <v>931</v>
      </c>
      <c r="G301" t="s">
        <v>136</v>
      </c>
      <c r="H301" t="s">
        <v>146</v>
      </c>
      <c r="I301" t="s">
        <v>156</v>
      </c>
      <c r="J301" t="s">
        <v>26</v>
      </c>
      <c r="K301" t="s">
        <v>157</v>
      </c>
      <c r="L301" t="s">
        <v>150</v>
      </c>
      <c r="M301" t="s">
        <v>144</v>
      </c>
      <c r="N301" t="s">
        <v>1097</v>
      </c>
      <c r="O301">
        <v>1</v>
      </c>
      <c r="P301" t="s">
        <v>160</v>
      </c>
      <c r="R301">
        <v>815</v>
      </c>
      <c r="S301">
        <v>809.2</v>
      </c>
      <c r="T301" t="s">
        <v>145</v>
      </c>
      <c r="U301" t="s">
        <v>1132</v>
      </c>
      <c r="V301" t="s">
        <v>27</v>
      </c>
      <c r="W301" t="s">
        <v>66</v>
      </c>
      <c r="X301" t="s">
        <v>67</v>
      </c>
      <c r="Y301" t="s">
        <v>138</v>
      </c>
      <c r="AA301" t="s">
        <v>494</v>
      </c>
      <c r="AC301" t="s">
        <v>139</v>
      </c>
      <c r="AD301" t="s">
        <v>1157</v>
      </c>
      <c r="AG301" t="s">
        <v>156</v>
      </c>
      <c r="AH301" t="s">
        <v>68</v>
      </c>
      <c r="AI301" t="s">
        <v>493</v>
      </c>
      <c r="AK301" t="s">
        <v>1098</v>
      </c>
    </row>
    <row r="302" spans="1:37" customFormat="1">
      <c r="A302" t="s">
        <v>23</v>
      </c>
      <c r="B302" t="s">
        <v>24</v>
      </c>
      <c r="C302" t="s">
        <v>179</v>
      </c>
      <c r="D302" t="s">
        <v>135</v>
      </c>
      <c r="E302" t="s">
        <v>1080</v>
      </c>
      <c r="F302" t="s">
        <v>931</v>
      </c>
      <c r="G302" t="s">
        <v>136</v>
      </c>
      <c r="H302" t="s">
        <v>146</v>
      </c>
      <c r="I302" t="s">
        <v>156</v>
      </c>
      <c r="J302" t="s">
        <v>26</v>
      </c>
      <c r="K302" t="s">
        <v>157</v>
      </c>
      <c r="L302" t="s">
        <v>150</v>
      </c>
      <c r="M302" t="s">
        <v>144</v>
      </c>
      <c r="N302" t="s">
        <v>1099</v>
      </c>
      <c r="O302">
        <v>1</v>
      </c>
      <c r="P302" t="s">
        <v>160</v>
      </c>
      <c r="R302">
        <v>816</v>
      </c>
      <c r="S302">
        <v>809.2</v>
      </c>
      <c r="T302" t="s">
        <v>145</v>
      </c>
      <c r="U302" t="s">
        <v>1132</v>
      </c>
      <c r="V302" t="s">
        <v>27</v>
      </c>
      <c r="W302" t="s">
        <v>66</v>
      </c>
      <c r="X302" t="s">
        <v>67</v>
      </c>
      <c r="Y302" t="s">
        <v>138</v>
      </c>
      <c r="AA302" t="s">
        <v>494</v>
      </c>
      <c r="AC302" t="s">
        <v>139</v>
      </c>
      <c r="AD302" t="s">
        <v>1158</v>
      </c>
      <c r="AG302" t="s">
        <v>156</v>
      </c>
      <c r="AH302" t="s">
        <v>68</v>
      </c>
      <c r="AI302" t="s">
        <v>493</v>
      </c>
      <c r="AK302" t="s">
        <v>1100</v>
      </c>
    </row>
    <row r="303" spans="1:37" customFormat="1">
      <c r="A303" t="s">
        <v>23</v>
      </c>
      <c r="B303" t="s">
        <v>24</v>
      </c>
      <c r="C303" t="s">
        <v>179</v>
      </c>
      <c r="D303" t="s">
        <v>135</v>
      </c>
      <c r="E303" t="s">
        <v>1080</v>
      </c>
      <c r="F303" t="s">
        <v>931</v>
      </c>
      <c r="G303" t="s">
        <v>136</v>
      </c>
      <c r="H303" t="s">
        <v>146</v>
      </c>
      <c r="I303" t="s">
        <v>156</v>
      </c>
      <c r="J303" t="s">
        <v>26</v>
      </c>
      <c r="K303" t="s">
        <v>157</v>
      </c>
      <c r="L303" t="s">
        <v>150</v>
      </c>
      <c r="M303" t="s">
        <v>144</v>
      </c>
      <c r="N303" t="s">
        <v>1101</v>
      </c>
      <c r="O303">
        <v>1</v>
      </c>
      <c r="P303" t="s">
        <v>160</v>
      </c>
      <c r="R303">
        <v>810</v>
      </c>
      <c r="S303">
        <v>809.2</v>
      </c>
      <c r="T303" t="s">
        <v>145</v>
      </c>
      <c r="U303" t="s">
        <v>1132</v>
      </c>
      <c r="V303" t="s">
        <v>27</v>
      </c>
      <c r="W303" t="s">
        <v>66</v>
      </c>
      <c r="X303" t="s">
        <v>67</v>
      </c>
      <c r="Y303" t="s">
        <v>138</v>
      </c>
      <c r="AA303" t="s">
        <v>494</v>
      </c>
      <c r="AC303" t="s">
        <v>139</v>
      </c>
      <c r="AD303" t="s">
        <v>1159</v>
      </c>
      <c r="AG303" t="s">
        <v>156</v>
      </c>
      <c r="AH303" t="s">
        <v>68</v>
      </c>
      <c r="AI303" t="s">
        <v>493</v>
      </c>
      <c r="AK303" t="s">
        <v>1102</v>
      </c>
    </row>
    <row r="304" spans="1:37" customFormat="1">
      <c r="A304" t="s">
        <v>23</v>
      </c>
      <c r="B304" t="s">
        <v>24</v>
      </c>
      <c r="C304" t="s">
        <v>179</v>
      </c>
      <c r="D304" t="s">
        <v>135</v>
      </c>
      <c r="E304" t="s">
        <v>1080</v>
      </c>
      <c r="F304" t="s">
        <v>931</v>
      </c>
      <c r="G304" t="s">
        <v>136</v>
      </c>
      <c r="H304" t="s">
        <v>146</v>
      </c>
      <c r="I304" t="s">
        <v>156</v>
      </c>
      <c r="J304" t="s">
        <v>26</v>
      </c>
      <c r="K304" t="s">
        <v>157</v>
      </c>
      <c r="L304" t="s">
        <v>150</v>
      </c>
      <c r="M304" t="s">
        <v>144</v>
      </c>
      <c r="N304" t="s">
        <v>1103</v>
      </c>
      <c r="O304">
        <v>1</v>
      </c>
      <c r="P304" t="s">
        <v>160</v>
      </c>
      <c r="R304">
        <v>817</v>
      </c>
      <c r="S304">
        <v>809.2</v>
      </c>
      <c r="T304" t="s">
        <v>145</v>
      </c>
      <c r="U304" t="s">
        <v>1132</v>
      </c>
      <c r="V304" t="s">
        <v>27</v>
      </c>
      <c r="W304" t="s">
        <v>66</v>
      </c>
      <c r="X304" t="s">
        <v>67</v>
      </c>
      <c r="Y304" t="s">
        <v>138</v>
      </c>
      <c r="AA304" t="s">
        <v>494</v>
      </c>
      <c r="AC304" t="s">
        <v>139</v>
      </c>
      <c r="AD304" t="s">
        <v>1160</v>
      </c>
      <c r="AG304" t="s">
        <v>156</v>
      </c>
      <c r="AH304" t="s">
        <v>68</v>
      </c>
      <c r="AI304" t="s">
        <v>493</v>
      </c>
      <c r="AK304" t="s">
        <v>1104</v>
      </c>
    </row>
    <row r="305" spans="1:37" customFormat="1">
      <c r="A305" t="s">
        <v>23</v>
      </c>
      <c r="B305" t="s">
        <v>24</v>
      </c>
      <c r="C305" t="s">
        <v>179</v>
      </c>
      <c r="D305" t="s">
        <v>135</v>
      </c>
      <c r="E305" t="s">
        <v>1080</v>
      </c>
      <c r="F305" t="s">
        <v>931</v>
      </c>
      <c r="G305" t="s">
        <v>136</v>
      </c>
      <c r="H305" t="s">
        <v>146</v>
      </c>
      <c r="I305" t="s">
        <v>156</v>
      </c>
      <c r="J305" t="s">
        <v>26</v>
      </c>
      <c r="K305" t="s">
        <v>157</v>
      </c>
      <c r="L305" t="s">
        <v>150</v>
      </c>
      <c r="M305" t="s">
        <v>144</v>
      </c>
      <c r="N305" t="s">
        <v>1105</v>
      </c>
      <c r="O305">
        <v>1</v>
      </c>
      <c r="P305" t="s">
        <v>160</v>
      </c>
      <c r="R305">
        <v>814</v>
      </c>
      <c r="S305">
        <v>809.2</v>
      </c>
      <c r="T305" t="s">
        <v>145</v>
      </c>
      <c r="U305" t="s">
        <v>1132</v>
      </c>
      <c r="V305" t="s">
        <v>27</v>
      </c>
      <c r="W305" t="s">
        <v>66</v>
      </c>
      <c r="X305" t="s">
        <v>67</v>
      </c>
      <c r="Y305" t="s">
        <v>138</v>
      </c>
      <c r="AA305" t="s">
        <v>494</v>
      </c>
      <c r="AC305" t="s">
        <v>139</v>
      </c>
      <c r="AD305" t="s">
        <v>1161</v>
      </c>
      <c r="AG305" t="s">
        <v>156</v>
      </c>
      <c r="AH305" t="s">
        <v>68</v>
      </c>
      <c r="AI305" t="s">
        <v>493</v>
      </c>
      <c r="AK305" t="s">
        <v>1106</v>
      </c>
    </row>
    <row r="306" spans="1:37" customFormat="1">
      <c r="A306" t="s">
        <v>23</v>
      </c>
      <c r="B306" t="s">
        <v>24</v>
      </c>
      <c r="C306" t="s">
        <v>179</v>
      </c>
      <c r="D306" t="s">
        <v>135</v>
      </c>
      <c r="E306" t="s">
        <v>1080</v>
      </c>
      <c r="F306" t="s">
        <v>931</v>
      </c>
      <c r="G306" t="s">
        <v>136</v>
      </c>
      <c r="H306" t="s">
        <v>146</v>
      </c>
      <c r="I306" t="s">
        <v>156</v>
      </c>
      <c r="J306" t="s">
        <v>26</v>
      </c>
      <c r="K306" t="s">
        <v>157</v>
      </c>
      <c r="L306" t="s">
        <v>150</v>
      </c>
      <c r="M306" t="s">
        <v>144</v>
      </c>
      <c r="N306" t="s">
        <v>1107</v>
      </c>
      <c r="O306">
        <v>1</v>
      </c>
      <c r="P306" t="s">
        <v>160</v>
      </c>
      <c r="R306">
        <v>817</v>
      </c>
      <c r="S306">
        <v>809.2</v>
      </c>
      <c r="T306" t="s">
        <v>145</v>
      </c>
      <c r="U306" t="s">
        <v>1132</v>
      </c>
      <c r="V306" t="s">
        <v>27</v>
      </c>
      <c r="W306" t="s">
        <v>66</v>
      </c>
      <c r="X306" t="s">
        <v>67</v>
      </c>
      <c r="Y306" t="s">
        <v>138</v>
      </c>
      <c r="AA306" t="s">
        <v>494</v>
      </c>
      <c r="AC306" t="s">
        <v>139</v>
      </c>
      <c r="AD306" t="s">
        <v>1162</v>
      </c>
      <c r="AG306" t="s">
        <v>156</v>
      </c>
      <c r="AH306" t="s">
        <v>68</v>
      </c>
      <c r="AI306" t="s">
        <v>493</v>
      </c>
      <c r="AK306" t="s">
        <v>1108</v>
      </c>
    </row>
    <row r="307" spans="1:37" customFormat="1">
      <c r="A307" t="s">
        <v>23</v>
      </c>
      <c r="B307" t="s">
        <v>24</v>
      </c>
      <c r="C307" t="s">
        <v>179</v>
      </c>
      <c r="D307" t="s">
        <v>135</v>
      </c>
      <c r="E307" t="s">
        <v>1080</v>
      </c>
      <c r="F307" t="s">
        <v>931</v>
      </c>
      <c r="G307" t="s">
        <v>136</v>
      </c>
      <c r="H307" t="s">
        <v>146</v>
      </c>
      <c r="I307" t="s">
        <v>156</v>
      </c>
      <c r="J307" t="s">
        <v>26</v>
      </c>
      <c r="K307" t="s">
        <v>157</v>
      </c>
      <c r="L307" t="s">
        <v>150</v>
      </c>
      <c r="M307" t="s">
        <v>144</v>
      </c>
      <c r="N307" t="s">
        <v>1109</v>
      </c>
      <c r="O307">
        <v>1</v>
      </c>
      <c r="P307" t="s">
        <v>160</v>
      </c>
      <c r="R307">
        <v>812</v>
      </c>
      <c r="S307">
        <v>809.2</v>
      </c>
      <c r="T307" t="s">
        <v>145</v>
      </c>
      <c r="U307" t="s">
        <v>1132</v>
      </c>
      <c r="V307" t="s">
        <v>27</v>
      </c>
      <c r="W307" t="s">
        <v>66</v>
      </c>
      <c r="X307" t="s">
        <v>67</v>
      </c>
      <c r="Y307" t="s">
        <v>138</v>
      </c>
      <c r="AA307" t="s">
        <v>494</v>
      </c>
      <c r="AC307" t="s">
        <v>139</v>
      </c>
      <c r="AD307" t="s">
        <v>1163</v>
      </c>
      <c r="AG307" t="s">
        <v>156</v>
      </c>
      <c r="AH307" t="s">
        <v>68</v>
      </c>
      <c r="AI307" t="s">
        <v>493</v>
      </c>
      <c r="AK307" t="s">
        <v>1110</v>
      </c>
    </row>
    <row r="308" spans="1:37" customFormat="1">
      <c r="A308" t="s">
        <v>23</v>
      </c>
      <c r="B308" t="s">
        <v>24</v>
      </c>
      <c r="C308" t="s">
        <v>179</v>
      </c>
      <c r="D308" t="s">
        <v>135</v>
      </c>
      <c r="E308" t="s">
        <v>1080</v>
      </c>
      <c r="F308" t="s">
        <v>931</v>
      </c>
      <c r="G308" t="s">
        <v>136</v>
      </c>
      <c r="H308" t="s">
        <v>146</v>
      </c>
      <c r="I308" t="s">
        <v>156</v>
      </c>
      <c r="J308" t="s">
        <v>26</v>
      </c>
      <c r="K308" t="s">
        <v>157</v>
      </c>
      <c r="L308" t="s">
        <v>150</v>
      </c>
      <c r="M308" t="s">
        <v>144</v>
      </c>
      <c r="N308" t="s">
        <v>1111</v>
      </c>
      <c r="O308">
        <v>1</v>
      </c>
      <c r="P308" t="s">
        <v>160</v>
      </c>
      <c r="R308">
        <v>812</v>
      </c>
      <c r="S308">
        <v>809.2</v>
      </c>
      <c r="T308" t="s">
        <v>145</v>
      </c>
      <c r="U308" t="s">
        <v>1132</v>
      </c>
      <c r="V308" t="s">
        <v>27</v>
      </c>
      <c r="W308" t="s">
        <v>66</v>
      </c>
      <c r="X308" t="s">
        <v>67</v>
      </c>
      <c r="Y308" t="s">
        <v>138</v>
      </c>
      <c r="AA308" t="s">
        <v>494</v>
      </c>
      <c r="AC308" t="s">
        <v>139</v>
      </c>
      <c r="AD308" t="s">
        <v>1164</v>
      </c>
      <c r="AG308" t="s">
        <v>156</v>
      </c>
      <c r="AH308" t="s">
        <v>68</v>
      </c>
      <c r="AI308" t="s">
        <v>493</v>
      </c>
      <c r="AK308" t="s">
        <v>1112</v>
      </c>
    </row>
    <row r="309" spans="1:37" customFormat="1">
      <c r="A309" t="s">
        <v>23</v>
      </c>
      <c r="B309" t="s">
        <v>24</v>
      </c>
      <c r="C309" t="s">
        <v>179</v>
      </c>
      <c r="D309" t="s">
        <v>135</v>
      </c>
      <c r="E309" t="s">
        <v>1080</v>
      </c>
      <c r="F309" t="s">
        <v>931</v>
      </c>
      <c r="G309" t="s">
        <v>136</v>
      </c>
      <c r="H309" t="s">
        <v>146</v>
      </c>
      <c r="I309" t="s">
        <v>156</v>
      </c>
      <c r="J309" t="s">
        <v>26</v>
      </c>
      <c r="K309" t="s">
        <v>157</v>
      </c>
      <c r="L309" t="s">
        <v>150</v>
      </c>
      <c r="M309" t="s">
        <v>144</v>
      </c>
      <c r="N309" t="s">
        <v>1113</v>
      </c>
      <c r="O309">
        <v>1</v>
      </c>
      <c r="P309" t="s">
        <v>160</v>
      </c>
      <c r="R309">
        <v>817</v>
      </c>
      <c r="S309">
        <v>809.2</v>
      </c>
      <c r="T309" t="s">
        <v>145</v>
      </c>
      <c r="U309" t="s">
        <v>1132</v>
      </c>
      <c r="V309" t="s">
        <v>27</v>
      </c>
      <c r="W309" t="s">
        <v>66</v>
      </c>
      <c r="X309" t="s">
        <v>67</v>
      </c>
      <c r="Y309" t="s">
        <v>138</v>
      </c>
      <c r="AA309" t="s">
        <v>494</v>
      </c>
      <c r="AC309" t="s">
        <v>139</v>
      </c>
      <c r="AD309" t="s">
        <v>1165</v>
      </c>
      <c r="AG309" t="s">
        <v>156</v>
      </c>
      <c r="AH309" t="s">
        <v>68</v>
      </c>
      <c r="AI309" t="s">
        <v>493</v>
      </c>
      <c r="AK309" t="s">
        <v>1114</v>
      </c>
    </row>
    <row r="310" spans="1:37" customFormat="1">
      <c r="A310" t="s">
        <v>23</v>
      </c>
      <c r="B310" t="s">
        <v>24</v>
      </c>
      <c r="C310" t="s">
        <v>179</v>
      </c>
      <c r="D310" t="s">
        <v>135</v>
      </c>
      <c r="E310" t="s">
        <v>1080</v>
      </c>
      <c r="F310" t="s">
        <v>931</v>
      </c>
      <c r="G310" t="s">
        <v>136</v>
      </c>
      <c r="H310" t="s">
        <v>146</v>
      </c>
      <c r="I310" t="s">
        <v>156</v>
      </c>
      <c r="J310" t="s">
        <v>26</v>
      </c>
      <c r="K310" t="s">
        <v>157</v>
      </c>
      <c r="L310" t="s">
        <v>150</v>
      </c>
      <c r="M310" t="s">
        <v>144</v>
      </c>
      <c r="N310" t="s">
        <v>1115</v>
      </c>
      <c r="O310">
        <v>1</v>
      </c>
      <c r="P310" t="s">
        <v>160</v>
      </c>
      <c r="R310">
        <v>815</v>
      </c>
      <c r="S310">
        <v>809.2</v>
      </c>
      <c r="T310" t="s">
        <v>145</v>
      </c>
      <c r="U310" t="s">
        <v>1132</v>
      </c>
      <c r="V310" t="s">
        <v>27</v>
      </c>
      <c r="W310" t="s">
        <v>66</v>
      </c>
      <c r="X310" t="s">
        <v>67</v>
      </c>
      <c r="Y310" t="s">
        <v>138</v>
      </c>
      <c r="AA310" t="s">
        <v>494</v>
      </c>
      <c r="AC310" t="s">
        <v>139</v>
      </c>
      <c r="AD310" t="s">
        <v>1167</v>
      </c>
      <c r="AG310" t="s">
        <v>156</v>
      </c>
      <c r="AH310" t="s">
        <v>68</v>
      </c>
      <c r="AI310" t="s">
        <v>493</v>
      </c>
      <c r="AK310" t="s">
        <v>1116</v>
      </c>
    </row>
    <row r="311" spans="1:37" customFormat="1">
      <c r="A311" t="s">
        <v>23</v>
      </c>
      <c r="B311" t="s">
        <v>24</v>
      </c>
      <c r="C311" t="s">
        <v>179</v>
      </c>
      <c r="D311" t="s">
        <v>135</v>
      </c>
      <c r="E311" t="s">
        <v>1080</v>
      </c>
      <c r="F311" t="s">
        <v>931</v>
      </c>
      <c r="G311" t="s">
        <v>136</v>
      </c>
      <c r="H311" t="s">
        <v>146</v>
      </c>
      <c r="I311" t="s">
        <v>156</v>
      </c>
      <c r="J311" t="s">
        <v>26</v>
      </c>
      <c r="K311" t="s">
        <v>157</v>
      </c>
      <c r="L311" t="s">
        <v>150</v>
      </c>
      <c r="M311" t="s">
        <v>144</v>
      </c>
      <c r="N311" t="s">
        <v>1117</v>
      </c>
      <c r="O311">
        <v>1</v>
      </c>
      <c r="P311" t="s">
        <v>160</v>
      </c>
      <c r="R311">
        <v>816</v>
      </c>
      <c r="S311">
        <v>809.2</v>
      </c>
      <c r="T311" t="s">
        <v>145</v>
      </c>
      <c r="U311" t="s">
        <v>1132</v>
      </c>
      <c r="V311" t="s">
        <v>27</v>
      </c>
      <c r="W311" t="s">
        <v>66</v>
      </c>
      <c r="X311" t="s">
        <v>67</v>
      </c>
      <c r="Y311" t="s">
        <v>138</v>
      </c>
      <c r="AA311" t="s">
        <v>494</v>
      </c>
      <c r="AC311" t="s">
        <v>139</v>
      </c>
      <c r="AD311" t="s">
        <v>1168</v>
      </c>
      <c r="AG311" t="s">
        <v>156</v>
      </c>
      <c r="AH311" t="s">
        <v>68</v>
      </c>
      <c r="AI311" t="s">
        <v>493</v>
      </c>
      <c r="AK311" t="s">
        <v>1118</v>
      </c>
    </row>
    <row r="312" spans="1:37" customFormat="1">
      <c r="A312" t="s">
        <v>23</v>
      </c>
      <c r="B312" t="s">
        <v>24</v>
      </c>
      <c r="C312" t="s">
        <v>179</v>
      </c>
      <c r="D312" t="s">
        <v>135</v>
      </c>
      <c r="E312" t="s">
        <v>1080</v>
      </c>
      <c r="F312" t="s">
        <v>931</v>
      </c>
      <c r="G312" t="s">
        <v>136</v>
      </c>
      <c r="H312" t="s">
        <v>146</v>
      </c>
      <c r="I312" t="s">
        <v>156</v>
      </c>
      <c r="J312" t="s">
        <v>26</v>
      </c>
      <c r="K312" t="s">
        <v>157</v>
      </c>
      <c r="L312" t="s">
        <v>150</v>
      </c>
      <c r="M312" t="s">
        <v>144</v>
      </c>
      <c r="N312" t="s">
        <v>1119</v>
      </c>
      <c r="O312">
        <v>1</v>
      </c>
      <c r="P312" t="s">
        <v>160</v>
      </c>
      <c r="R312">
        <v>812</v>
      </c>
      <c r="S312">
        <v>809.2</v>
      </c>
      <c r="T312" t="s">
        <v>145</v>
      </c>
      <c r="U312" t="s">
        <v>1132</v>
      </c>
      <c r="V312" t="s">
        <v>27</v>
      </c>
      <c r="W312" t="s">
        <v>66</v>
      </c>
      <c r="X312" t="s">
        <v>67</v>
      </c>
      <c r="Y312" t="s">
        <v>138</v>
      </c>
      <c r="AA312" t="s">
        <v>494</v>
      </c>
      <c r="AC312" t="s">
        <v>139</v>
      </c>
      <c r="AD312" t="s">
        <v>1169</v>
      </c>
      <c r="AG312" t="s">
        <v>156</v>
      </c>
      <c r="AH312" t="s">
        <v>68</v>
      </c>
      <c r="AI312" t="s">
        <v>493</v>
      </c>
      <c r="AK312" t="s">
        <v>1120</v>
      </c>
    </row>
    <row r="313" spans="1:37" customFormat="1">
      <c r="A313" t="s">
        <v>23</v>
      </c>
      <c r="B313" t="s">
        <v>24</v>
      </c>
      <c r="C313" t="s">
        <v>179</v>
      </c>
      <c r="D313" t="s">
        <v>135</v>
      </c>
      <c r="E313" t="s">
        <v>1080</v>
      </c>
      <c r="F313" t="s">
        <v>931</v>
      </c>
      <c r="G313" t="s">
        <v>136</v>
      </c>
      <c r="H313" t="s">
        <v>146</v>
      </c>
      <c r="I313" t="s">
        <v>156</v>
      </c>
      <c r="J313" t="s">
        <v>26</v>
      </c>
      <c r="K313" t="s">
        <v>157</v>
      </c>
      <c r="L313" t="s">
        <v>150</v>
      </c>
      <c r="M313" t="s">
        <v>144</v>
      </c>
      <c r="N313" t="s">
        <v>1121</v>
      </c>
      <c r="O313">
        <v>1</v>
      </c>
      <c r="P313" t="s">
        <v>160</v>
      </c>
      <c r="R313">
        <v>814</v>
      </c>
      <c r="S313">
        <v>809.2</v>
      </c>
      <c r="T313" t="s">
        <v>145</v>
      </c>
      <c r="U313" t="s">
        <v>1132</v>
      </c>
      <c r="V313" t="s">
        <v>27</v>
      </c>
      <c r="W313" t="s">
        <v>66</v>
      </c>
      <c r="X313" t="s">
        <v>67</v>
      </c>
      <c r="Y313" t="s">
        <v>138</v>
      </c>
      <c r="AA313" t="s">
        <v>494</v>
      </c>
      <c r="AC313" t="s">
        <v>139</v>
      </c>
      <c r="AD313" t="s">
        <v>1170</v>
      </c>
      <c r="AG313" t="s">
        <v>156</v>
      </c>
      <c r="AH313" t="s">
        <v>68</v>
      </c>
      <c r="AI313" t="s">
        <v>493</v>
      </c>
      <c r="AK313" t="s">
        <v>1122</v>
      </c>
    </row>
    <row r="314" spans="1:37" customFormat="1">
      <c r="A314" t="s">
        <v>23</v>
      </c>
      <c r="B314" t="s">
        <v>24</v>
      </c>
      <c r="C314" t="s">
        <v>179</v>
      </c>
      <c r="D314" t="s">
        <v>135</v>
      </c>
      <c r="E314" t="s">
        <v>1080</v>
      </c>
      <c r="F314" t="s">
        <v>931</v>
      </c>
      <c r="G314" t="s">
        <v>136</v>
      </c>
      <c r="H314" t="s">
        <v>146</v>
      </c>
      <c r="I314" t="s">
        <v>156</v>
      </c>
      <c r="J314" t="s">
        <v>26</v>
      </c>
      <c r="K314" t="s">
        <v>157</v>
      </c>
      <c r="L314" t="s">
        <v>150</v>
      </c>
      <c r="M314" t="s">
        <v>144</v>
      </c>
      <c r="N314" t="s">
        <v>1171</v>
      </c>
      <c r="O314">
        <v>1</v>
      </c>
      <c r="P314" t="s">
        <v>160</v>
      </c>
      <c r="R314">
        <v>817</v>
      </c>
      <c r="S314">
        <v>809.2</v>
      </c>
      <c r="T314" t="s">
        <v>145</v>
      </c>
      <c r="U314" t="s">
        <v>1132</v>
      </c>
      <c r="V314" t="s">
        <v>27</v>
      </c>
      <c r="W314" t="s">
        <v>66</v>
      </c>
      <c r="X314" t="s">
        <v>67</v>
      </c>
      <c r="Y314" t="s">
        <v>138</v>
      </c>
      <c r="AA314" t="s">
        <v>494</v>
      </c>
      <c r="AC314" t="s">
        <v>139</v>
      </c>
      <c r="AD314" t="s">
        <v>1172</v>
      </c>
      <c r="AG314" t="s">
        <v>156</v>
      </c>
      <c r="AH314" t="s">
        <v>68</v>
      </c>
      <c r="AI314" t="s">
        <v>493</v>
      </c>
      <c r="AK314" t="s">
        <v>1173</v>
      </c>
    </row>
    <row r="315" spans="1:37" customFormat="1">
      <c r="A315" t="s">
        <v>23</v>
      </c>
      <c r="B315" t="s">
        <v>24</v>
      </c>
      <c r="C315" t="s">
        <v>179</v>
      </c>
      <c r="D315" t="s">
        <v>135</v>
      </c>
      <c r="E315" t="s">
        <v>1080</v>
      </c>
      <c r="F315" t="s">
        <v>931</v>
      </c>
      <c r="G315" t="s">
        <v>136</v>
      </c>
      <c r="H315" t="s">
        <v>146</v>
      </c>
      <c r="I315" t="s">
        <v>156</v>
      </c>
      <c r="J315" t="s">
        <v>26</v>
      </c>
      <c r="K315" t="s">
        <v>157</v>
      </c>
      <c r="L315" t="s">
        <v>150</v>
      </c>
      <c r="M315" t="s">
        <v>144</v>
      </c>
      <c r="N315" t="s">
        <v>1174</v>
      </c>
      <c r="O315">
        <v>1</v>
      </c>
      <c r="P315" t="s">
        <v>160</v>
      </c>
      <c r="R315">
        <v>815</v>
      </c>
      <c r="S315">
        <v>809.2</v>
      </c>
      <c r="T315" t="s">
        <v>145</v>
      </c>
      <c r="U315" t="s">
        <v>1132</v>
      </c>
      <c r="V315" t="s">
        <v>27</v>
      </c>
      <c r="W315" t="s">
        <v>66</v>
      </c>
      <c r="X315" t="s">
        <v>67</v>
      </c>
      <c r="Y315" t="s">
        <v>138</v>
      </c>
      <c r="AA315" t="s">
        <v>494</v>
      </c>
      <c r="AC315" t="s">
        <v>139</v>
      </c>
      <c r="AD315" t="s">
        <v>1175</v>
      </c>
      <c r="AG315" t="s">
        <v>156</v>
      </c>
      <c r="AH315" t="s">
        <v>68</v>
      </c>
      <c r="AI315" t="s">
        <v>493</v>
      </c>
      <c r="AK315" t="s">
        <v>1176</v>
      </c>
    </row>
    <row r="316" spans="1:37" customFormat="1">
      <c r="A316" t="s">
        <v>23</v>
      </c>
      <c r="B316" t="s">
        <v>24</v>
      </c>
      <c r="C316" t="s">
        <v>179</v>
      </c>
      <c r="D316" t="s">
        <v>135</v>
      </c>
      <c r="E316" t="s">
        <v>1080</v>
      </c>
      <c r="F316" t="s">
        <v>931</v>
      </c>
      <c r="G316" t="s">
        <v>136</v>
      </c>
      <c r="H316" t="s">
        <v>146</v>
      </c>
      <c r="I316" t="s">
        <v>156</v>
      </c>
      <c r="J316" t="s">
        <v>26</v>
      </c>
      <c r="K316" t="s">
        <v>157</v>
      </c>
      <c r="L316" t="s">
        <v>150</v>
      </c>
      <c r="M316" t="s">
        <v>144</v>
      </c>
      <c r="N316" t="s">
        <v>1177</v>
      </c>
      <c r="O316">
        <v>1</v>
      </c>
      <c r="P316" t="s">
        <v>160</v>
      </c>
      <c r="R316">
        <v>814</v>
      </c>
      <c r="S316">
        <v>809.2</v>
      </c>
      <c r="T316" t="s">
        <v>145</v>
      </c>
      <c r="U316" t="s">
        <v>1132</v>
      </c>
      <c r="V316" t="s">
        <v>27</v>
      </c>
      <c r="W316" t="s">
        <v>66</v>
      </c>
      <c r="X316" t="s">
        <v>67</v>
      </c>
      <c r="Y316" t="s">
        <v>138</v>
      </c>
      <c r="AA316" t="s">
        <v>494</v>
      </c>
      <c r="AC316" t="s">
        <v>139</v>
      </c>
      <c r="AD316" t="s">
        <v>1178</v>
      </c>
      <c r="AG316" t="s">
        <v>156</v>
      </c>
      <c r="AH316" t="s">
        <v>68</v>
      </c>
      <c r="AI316" t="s">
        <v>493</v>
      </c>
      <c r="AK316" t="s">
        <v>1179</v>
      </c>
    </row>
    <row r="317" spans="1:37" customFormat="1">
      <c r="A317" t="s">
        <v>23</v>
      </c>
      <c r="B317" t="s">
        <v>24</v>
      </c>
      <c r="C317" t="s">
        <v>179</v>
      </c>
      <c r="D317" t="s">
        <v>135</v>
      </c>
      <c r="E317" t="s">
        <v>1080</v>
      </c>
      <c r="F317" t="s">
        <v>931</v>
      </c>
      <c r="G317" t="s">
        <v>136</v>
      </c>
      <c r="H317" t="s">
        <v>146</v>
      </c>
      <c r="I317" t="s">
        <v>156</v>
      </c>
      <c r="J317" t="s">
        <v>26</v>
      </c>
      <c r="K317" t="s">
        <v>157</v>
      </c>
      <c r="L317" t="s">
        <v>150</v>
      </c>
      <c r="M317" t="s">
        <v>144</v>
      </c>
      <c r="N317" t="s">
        <v>1180</v>
      </c>
      <c r="O317">
        <v>1</v>
      </c>
      <c r="P317" t="s">
        <v>160</v>
      </c>
      <c r="R317">
        <v>817</v>
      </c>
      <c r="S317">
        <v>809.2</v>
      </c>
      <c r="T317" t="s">
        <v>145</v>
      </c>
      <c r="U317" t="s">
        <v>1132</v>
      </c>
      <c r="V317" t="s">
        <v>27</v>
      </c>
      <c r="W317" t="s">
        <v>66</v>
      </c>
      <c r="X317" t="s">
        <v>67</v>
      </c>
      <c r="Y317" t="s">
        <v>138</v>
      </c>
      <c r="AA317" t="s">
        <v>494</v>
      </c>
      <c r="AC317" t="s">
        <v>139</v>
      </c>
      <c r="AD317" t="s">
        <v>1181</v>
      </c>
      <c r="AG317" t="s">
        <v>156</v>
      </c>
      <c r="AH317" t="s">
        <v>68</v>
      </c>
      <c r="AI317" t="s">
        <v>493</v>
      </c>
      <c r="AK317" t="s">
        <v>1182</v>
      </c>
    </row>
    <row r="318" spans="1:37" customFormat="1">
      <c r="A318" t="s">
        <v>23</v>
      </c>
      <c r="B318" t="s">
        <v>24</v>
      </c>
      <c r="C318" t="s">
        <v>179</v>
      </c>
      <c r="D318" t="s">
        <v>135</v>
      </c>
      <c r="E318" t="s">
        <v>1080</v>
      </c>
      <c r="F318" t="s">
        <v>931</v>
      </c>
      <c r="G318" t="s">
        <v>136</v>
      </c>
      <c r="H318" t="s">
        <v>146</v>
      </c>
      <c r="I318" t="s">
        <v>156</v>
      </c>
      <c r="J318" t="s">
        <v>26</v>
      </c>
      <c r="K318" t="s">
        <v>157</v>
      </c>
      <c r="L318" t="s">
        <v>150</v>
      </c>
      <c r="M318" t="s">
        <v>144</v>
      </c>
      <c r="N318" t="s">
        <v>1183</v>
      </c>
      <c r="O318">
        <v>1</v>
      </c>
      <c r="P318" t="s">
        <v>160</v>
      </c>
      <c r="R318">
        <v>815</v>
      </c>
      <c r="S318">
        <v>809.2</v>
      </c>
      <c r="T318" t="s">
        <v>145</v>
      </c>
      <c r="U318" t="s">
        <v>1132</v>
      </c>
      <c r="V318" t="s">
        <v>27</v>
      </c>
      <c r="W318" t="s">
        <v>66</v>
      </c>
      <c r="X318" t="s">
        <v>67</v>
      </c>
      <c r="Y318" t="s">
        <v>138</v>
      </c>
      <c r="AA318" t="s">
        <v>494</v>
      </c>
      <c r="AC318" t="s">
        <v>139</v>
      </c>
      <c r="AD318" t="s">
        <v>1166</v>
      </c>
      <c r="AG318" t="s">
        <v>156</v>
      </c>
      <c r="AH318" t="s">
        <v>68</v>
      </c>
      <c r="AI318" t="s">
        <v>493</v>
      </c>
      <c r="AK318" t="s">
        <v>1184</v>
      </c>
    </row>
    <row r="319" spans="1:37" customFormat="1">
      <c r="A319" t="s">
        <v>23</v>
      </c>
      <c r="B319" t="s">
        <v>24</v>
      </c>
      <c r="C319" t="s">
        <v>179</v>
      </c>
      <c r="D319" t="s">
        <v>135</v>
      </c>
      <c r="E319" t="s">
        <v>1080</v>
      </c>
      <c r="F319" t="s">
        <v>931</v>
      </c>
      <c r="G319" t="s">
        <v>136</v>
      </c>
      <c r="H319" t="s">
        <v>146</v>
      </c>
      <c r="I319" t="s">
        <v>156</v>
      </c>
      <c r="J319" t="s">
        <v>26</v>
      </c>
      <c r="K319" t="s">
        <v>157</v>
      </c>
      <c r="L319" t="s">
        <v>150</v>
      </c>
      <c r="M319" t="s">
        <v>144</v>
      </c>
      <c r="N319" t="s">
        <v>1185</v>
      </c>
      <c r="O319">
        <v>1</v>
      </c>
      <c r="P319" t="s">
        <v>160</v>
      </c>
      <c r="R319">
        <v>813</v>
      </c>
      <c r="S319">
        <v>809.2</v>
      </c>
      <c r="T319" t="s">
        <v>145</v>
      </c>
      <c r="U319" t="s">
        <v>1132</v>
      </c>
      <c r="V319" t="s">
        <v>27</v>
      </c>
      <c r="W319" t="s">
        <v>66</v>
      </c>
      <c r="X319" t="s">
        <v>67</v>
      </c>
      <c r="Y319" t="s">
        <v>138</v>
      </c>
      <c r="AA319" t="s">
        <v>494</v>
      </c>
      <c r="AC319" t="s">
        <v>139</v>
      </c>
      <c r="AD319" t="s">
        <v>1186</v>
      </c>
      <c r="AG319" t="s">
        <v>156</v>
      </c>
      <c r="AH319" t="s">
        <v>68</v>
      </c>
      <c r="AI319" t="s">
        <v>493</v>
      </c>
      <c r="AK319" t="s">
        <v>1187</v>
      </c>
    </row>
    <row r="320" spans="1:37" customFormat="1">
      <c r="A320" t="s">
        <v>23</v>
      </c>
      <c r="B320" t="s">
        <v>24</v>
      </c>
      <c r="C320" t="s">
        <v>179</v>
      </c>
      <c r="D320" t="s">
        <v>135</v>
      </c>
      <c r="E320" t="s">
        <v>1080</v>
      </c>
      <c r="F320" t="s">
        <v>931</v>
      </c>
      <c r="G320" t="s">
        <v>136</v>
      </c>
      <c r="H320" t="s">
        <v>146</v>
      </c>
      <c r="I320" t="s">
        <v>156</v>
      </c>
      <c r="J320" t="s">
        <v>26</v>
      </c>
      <c r="K320" t="s">
        <v>157</v>
      </c>
      <c r="L320" t="s">
        <v>150</v>
      </c>
      <c r="M320" t="s">
        <v>144</v>
      </c>
      <c r="N320" t="s">
        <v>1188</v>
      </c>
      <c r="O320">
        <v>1</v>
      </c>
      <c r="P320" t="s">
        <v>160</v>
      </c>
      <c r="R320">
        <v>816</v>
      </c>
      <c r="S320">
        <v>809.2</v>
      </c>
      <c r="T320" t="s">
        <v>145</v>
      </c>
      <c r="U320" t="s">
        <v>1132</v>
      </c>
      <c r="V320" t="s">
        <v>27</v>
      </c>
      <c r="W320" t="s">
        <v>66</v>
      </c>
      <c r="X320" t="s">
        <v>67</v>
      </c>
      <c r="Y320" t="s">
        <v>138</v>
      </c>
      <c r="AA320" t="s">
        <v>494</v>
      </c>
      <c r="AC320" t="s">
        <v>139</v>
      </c>
      <c r="AD320" t="s">
        <v>1189</v>
      </c>
      <c r="AG320" t="s">
        <v>156</v>
      </c>
      <c r="AH320" t="s">
        <v>68</v>
      </c>
      <c r="AI320" t="s">
        <v>493</v>
      </c>
      <c r="AK320" t="s">
        <v>1190</v>
      </c>
    </row>
    <row r="321" spans="1:37" customFormat="1">
      <c r="A321" t="s">
        <v>23</v>
      </c>
      <c r="B321" t="s">
        <v>24</v>
      </c>
      <c r="C321" t="s">
        <v>179</v>
      </c>
      <c r="D321" t="s">
        <v>135</v>
      </c>
      <c r="E321" t="s">
        <v>1080</v>
      </c>
      <c r="F321" t="s">
        <v>931</v>
      </c>
      <c r="G321" t="s">
        <v>136</v>
      </c>
      <c r="H321" t="s">
        <v>146</v>
      </c>
      <c r="I321" t="s">
        <v>156</v>
      </c>
      <c r="J321" t="s">
        <v>26</v>
      </c>
      <c r="K321" t="s">
        <v>157</v>
      </c>
      <c r="L321" t="s">
        <v>150</v>
      </c>
      <c r="M321" t="s">
        <v>144</v>
      </c>
      <c r="N321" t="s">
        <v>1191</v>
      </c>
      <c r="O321">
        <v>1</v>
      </c>
      <c r="P321" t="s">
        <v>160</v>
      </c>
      <c r="R321">
        <v>816</v>
      </c>
      <c r="S321">
        <v>809.2</v>
      </c>
      <c r="T321" t="s">
        <v>145</v>
      </c>
      <c r="U321" t="s">
        <v>1132</v>
      </c>
      <c r="V321" t="s">
        <v>27</v>
      </c>
      <c r="W321" t="s">
        <v>66</v>
      </c>
      <c r="X321" t="s">
        <v>67</v>
      </c>
      <c r="Y321" t="s">
        <v>138</v>
      </c>
      <c r="AA321" t="s">
        <v>494</v>
      </c>
      <c r="AC321" t="s">
        <v>139</v>
      </c>
      <c r="AD321" t="s">
        <v>1192</v>
      </c>
      <c r="AG321" t="s">
        <v>156</v>
      </c>
      <c r="AH321" t="s">
        <v>68</v>
      </c>
      <c r="AI321" t="s">
        <v>493</v>
      </c>
      <c r="AK321" t="s">
        <v>1193</v>
      </c>
    </row>
    <row r="322" spans="1:37" customFormat="1">
      <c r="A322" t="s">
        <v>23</v>
      </c>
      <c r="B322" t="s">
        <v>24</v>
      </c>
      <c r="C322" t="s">
        <v>179</v>
      </c>
      <c r="D322" t="s">
        <v>135</v>
      </c>
      <c r="E322" t="s">
        <v>1080</v>
      </c>
      <c r="F322" t="s">
        <v>931</v>
      </c>
      <c r="G322" t="s">
        <v>136</v>
      </c>
      <c r="H322" t="s">
        <v>146</v>
      </c>
      <c r="I322" t="s">
        <v>156</v>
      </c>
      <c r="J322" t="s">
        <v>26</v>
      </c>
      <c r="K322" t="s">
        <v>157</v>
      </c>
      <c r="L322" t="s">
        <v>150</v>
      </c>
      <c r="M322" t="s">
        <v>144</v>
      </c>
      <c r="N322" t="s">
        <v>1194</v>
      </c>
      <c r="O322">
        <v>1</v>
      </c>
      <c r="P322" t="s">
        <v>160</v>
      </c>
      <c r="R322">
        <v>815</v>
      </c>
      <c r="S322">
        <v>809.2</v>
      </c>
      <c r="T322" t="s">
        <v>145</v>
      </c>
      <c r="U322" t="s">
        <v>1132</v>
      </c>
      <c r="V322" t="s">
        <v>27</v>
      </c>
      <c r="W322" t="s">
        <v>66</v>
      </c>
      <c r="X322" t="s">
        <v>67</v>
      </c>
      <c r="Y322" t="s">
        <v>138</v>
      </c>
      <c r="AA322" t="s">
        <v>494</v>
      </c>
      <c r="AC322" t="s">
        <v>139</v>
      </c>
      <c r="AD322" t="s">
        <v>1195</v>
      </c>
      <c r="AG322" t="s">
        <v>156</v>
      </c>
      <c r="AH322" t="s">
        <v>68</v>
      </c>
      <c r="AI322" t="s">
        <v>493</v>
      </c>
      <c r="AK322" t="s">
        <v>1196</v>
      </c>
    </row>
    <row r="323" spans="1:37" customFormat="1">
      <c r="A323" t="s">
        <v>23</v>
      </c>
      <c r="B323" t="s">
        <v>24</v>
      </c>
      <c r="C323" t="s">
        <v>179</v>
      </c>
      <c r="D323" t="s">
        <v>135</v>
      </c>
      <c r="E323" t="s">
        <v>1080</v>
      </c>
      <c r="F323" t="s">
        <v>931</v>
      </c>
      <c r="G323" t="s">
        <v>136</v>
      </c>
      <c r="H323" t="s">
        <v>146</v>
      </c>
      <c r="I323" t="s">
        <v>156</v>
      </c>
      <c r="J323" t="s">
        <v>26</v>
      </c>
      <c r="K323" t="s">
        <v>157</v>
      </c>
      <c r="L323" t="s">
        <v>150</v>
      </c>
      <c r="M323" t="s">
        <v>144</v>
      </c>
      <c r="N323" t="s">
        <v>1197</v>
      </c>
      <c r="O323">
        <v>1</v>
      </c>
      <c r="P323" t="s">
        <v>160</v>
      </c>
      <c r="R323">
        <v>812</v>
      </c>
      <c r="S323">
        <v>809.2</v>
      </c>
      <c r="T323" t="s">
        <v>145</v>
      </c>
      <c r="U323" t="s">
        <v>1132</v>
      </c>
      <c r="V323" t="s">
        <v>27</v>
      </c>
      <c r="W323" t="s">
        <v>66</v>
      </c>
      <c r="X323" t="s">
        <v>67</v>
      </c>
      <c r="Y323" t="s">
        <v>138</v>
      </c>
      <c r="AA323" t="s">
        <v>494</v>
      </c>
      <c r="AC323" t="s">
        <v>139</v>
      </c>
      <c r="AD323" t="s">
        <v>1198</v>
      </c>
      <c r="AG323" t="s">
        <v>156</v>
      </c>
      <c r="AH323" t="s">
        <v>68</v>
      </c>
      <c r="AI323" t="s">
        <v>493</v>
      </c>
      <c r="AK323" t="s">
        <v>1199</v>
      </c>
    </row>
    <row r="324" spans="1:37" customFormat="1">
      <c r="A324" t="s">
        <v>23</v>
      </c>
      <c r="B324" t="s">
        <v>24</v>
      </c>
      <c r="C324" t="s">
        <v>179</v>
      </c>
      <c r="D324" t="s">
        <v>135</v>
      </c>
      <c r="E324" t="s">
        <v>1080</v>
      </c>
      <c r="F324" t="s">
        <v>931</v>
      </c>
      <c r="G324" t="s">
        <v>136</v>
      </c>
      <c r="H324" t="s">
        <v>146</v>
      </c>
      <c r="I324" t="s">
        <v>156</v>
      </c>
      <c r="J324" t="s">
        <v>26</v>
      </c>
      <c r="K324" t="s">
        <v>157</v>
      </c>
      <c r="L324" t="s">
        <v>150</v>
      </c>
      <c r="M324" t="s">
        <v>144</v>
      </c>
      <c r="N324" t="s">
        <v>1200</v>
      </c>
      <c r="O324">
        <v>1</v>
      </c>
      <c r="P324" t="s">
        <v>160</v>
      </c>
      <c r="R324">
        <v>812</v>
      </c>
      <c r="S324">
        <v>809.2</v>
      </c>
      <c r="T324" t="s">
        <v>145</v>
      </c>
      <c r="U324" t="s">
        <v>1132</v>
      </c>
      <c r="V324" t="s">
        <v>27</v>
      </c>
      <c r="W324" t="s">
        <v>66</v>
      </c>
      <c r="X324" t="s">
        <v>67</v>
      </c>
      <c r="Y324" t="s">
        <v>138</v>
      </c>
      <c r="AA324" t="s">
        <v>494</v>
      </c>
      <c r="AC324" t="s">
        <v>139</v>
      </c>
      <c r="AD324" t="s">
        <v>1201</v>
      </c>
      <c r="AG324" t="s">
        <v>156</v>
      </c>
      <c r="AH324" t="s">
        <v>68</v>
      </c>
      <c r="AI324" t="s">
        <v>493</v>
      </c>
      <c r="AK324" t="s">
        <v>1202</v>
      </c>
    </row>
    <row r="325" spans="1:37" customFormat="1">
      <c r="A325" t="s">
        <v>23</v>
      </c>
      <c r="B325" t="s">
        <v>24</v>
      </c>
      <c r="C325" t="s">
        <v>179</v>
      </c>
      <c r="D325" t="s">
        <v>135</v>
      </c>
      <c r="E325" t="s">
        <v>1080</v>
      </c>
      <c r="F325" t="s">
        <v>931</v>
      </c>
      <c r="G325" t="s">
        <v>136</v>
      </c>
      <c r="H325" t="s">
        <v>146</v>
      </c>
      <c r="I325" t="s">
        <v>156</v>
      </c>
      <c r="J325" t="s">
        <v>26</v>
      </c>
      <c r="K325" t="s">
        <v>157</v>
      </c>
      <c r="L325" t="s">
        <v>150</v>
      </c>
      <c r="M325" t="s">
        <v>144</v>
      </c>
      <c r="N325" t="s">
        <v>1203</v>
      </c>
      <c r="O325">
        <v>1</v>
      </c>
      <c r="P325" t="s">
        <v>160</v>
      </c>
      <c r="R325">
        <v>816</v>
      </c>
      <c r="S325">
        <v>809.2</v>
      </c>
      <c r="T325" t="s">
        <v>145</v>
      </c>
      <c r="U325" t="s">
        <v>1132</v>
      </c>
      <c r="V325" t="s">
        <v>27</v>
      </c>
      <c r="W325" t="s">
        <v>66</v>
      </c>
      <c r="X325" t="s">
        <v>67</v>
      </c>
      <c r="Y325" t="s">
        <v>138</v>
      </c>
      <c r="AA325" t="s">
        <v>494</v>
      </c>
      <c r="AC325" t="s">
        <v>139</v>
      </c>
      <c r="AD325" t="s">
        <v>1204</v>
      </c>
      <c r="AG325" t="s">
        <v>156</v>
      </c>
      <c r="AH325" t="s">
        <v>68</v>
      </c>
      <c r="AI325" t="s">
        <v>493</v>
      </c>
      <c r="AK325" t="s">
        <v>1205</v>
      </c>
    </row>
    <row r="326" spans="1:37" customFormat="1">
      <c r="A326" t="s">
        <v>23</v>
      </c>
      <c r="B326" t="s">
        <v>24</v>
      </c>
      <c r="C326" t="s">
        <v>179</v>
      </c>
      <c r="D326" t="s">
        <v>135</v>
      </c>
      <c r="E326" t="s">
        <v>1080</v>
      </c>
      <c r="F326" t="s">
        <v>931</v>
      </c>
      <c r="G326" t="s">
        <v>136</v>
      </c>
      <c r="H326" t="s">
        <v>146</v>
      </c>
      <c r="I326" t="s">
        <v>156</v>
      </c>
      <c r="J326" t="s">
        <v>26</v>
      </c>
      <c r="K326" t="s">
        <v>157</v>
      </c>
      <c r="L326" t="s">
        <v>150</v>
      </c>
      <c r="M326" t="s">
        <v>144</v>
      </c>
      <c r="N326" t="s">
        <v>1206</v>
      </c>
      <c r="O326">
        <v>1</v>
      </c>
      <c r="P326" t="s">
        <v>160</v>
      </c>
      <c r="R326">
        <v>813</v>
      </c>
      <c r="S326">
        <v>809.2</v>
      </c>
      <c r="T326" t="s">
        <v>145</v>
      </c>
      <c r="U326" t="s">
        <v>1132</v>
      </c>
      <c r="V326" t="s">
        <v>27</v>
      </c>
      <c r="W326" t="s">
        <v>66</v>
      </c>
      <c r="X326" t="s">
        <v>67</v>
      </c>
      <c r="Y326" t="s">
        <v>138</v>
      </c>
      <c r="AA326" t="s">
        <v>494</v>
      </c>
      <c r="AC326" t="s">
        <v>139</v>
      </c>
      <c r="AD326" t="s">
        <v>1207</v>
      </c>
      <c r="AG326" t="s">
        <v>156</v>
      </c>
      <c r="AH326" t="s">
        <v>68</v>
      </c>
      <c r="AI326" t="s">
        <v>493</v>
      </c>
      <c r="AK326" t="s">
        <v>1208</v>
      </c>
    </row>
    <row r="327" spans="1:37" customFormat="1">
      <c r="A327" t="s">
        <v>23</v>
      </c>
      <c r="B327" t="s">
        <v>24</v>
      </c>
      <c r="C327" t="s">
        <v>179</v>
      </c>
      <c r="D327" t="s">
        <v>135</v>
      </c>
      <c r="E327" t="s">
        <v>1080</v>
      </c>
      <c r="F327" t="s">
        <v>931</v>
      </c>
      <c r="G327" t="s">
        <v>136</v>
      </c>
      <c r="H327" t="s">
        <v>146</v>
      </c>
      <c r="I327" t="s">
        <v>156</v>
      </c>
      <c r="J327" t="s">
        <v>26</v>
      </c>
      <c r="K327" t="s">
        <v>157</v>
      </c>
      <c r="L327" t="s">
        <v>150</v>
      </c>
      <c r="M327" t="s">
        <v>144</v>
      </c>
      <c r="N327" t="s">
        <v>1209</v>
      </c>
      <c r="O327">
        <v>1</v>
      </c>
      <c r="P327" t="s">
        <v>160</v>
      </c>
      <c r="R327">
        <v>817</v>
      </c>
      <c r="S327">
        <v>809.2</v>
      </c>
      <c r="T327" t="s">
        <v>145</v>
      </c>
      <c r="U327" t="s">
        <v>1132</v>
      </c>
      <c r="V327" t="s">
        <v>27</v>
      </c>
      <c r="W327" t="s">
        <v>66</v>
      </c>
      <c r="X327" t="s">
        <v>67</v>
      </c>
      <c r="Y327" t="s">
        <v>138</v>
      </c>
      <c r="AA327" t="s">
        <v>494</v>
      </c>
      <c r="AC327" t="s">
        <v>139</v>
      </c>
      <c r="AD327" t="s">
        <v>1210</v>
      </c>
      <c r="AG327" t="s">
        <v>156</v>
      </c>
      <c r="AH327" t="s">
        <v>68</v>
      </c>
      <c r="AI327" t="s">
        <v>493</v>
      </c>
      <c r="AK327" t="s">
        <v>1211</v>
      </c>
    </row>
    <row r="328" spans="1:37" customFormat="1">
      <c r="A328" t="s">
        <v>23</v>
      </c>
      <c r="B328" t="s">
        <v>24</v>
      </c>
      <c r="C328" t="s">
        <v>179</v>
      </c>
      <c r="D328" t="s">
        <v>135</v>
      </c>
      <c r="E328" t="s">
        <v>1080</v>
      </c>
      <c r="F328" t="s">
        <v>931</v>
      </c>
      <c r="G328" t="s">
        <v>136</v>
      </c>
      <c r="H328" t="s">
        <v>146</v>
      </c>
      <c r="I328" t="s">
        <v>156</v>
      </c>
      <c r="J328" t="s">
        <v>26</v>
      </c>
      <c r="K328" t="s">
        <v>157</v>
      </c>
      <c r="L328" t="s">
        <v>150</v>
      </c>
      <c r="M328" t="s">
        <v>144</v>
      </c>
      <c r="N328" t="s">
        <v>1212</v>
      </c>
      <c r="O328">
        <v>1</v>
      </c>
      <c r="P328" t="s">
        <v>160</v>
      </c>
      <c r="R328">
        <v>815</v>
      </c>
      <c r="S328">
        <v>809.2</v>
      </c>
      <c r="T328" t="s">
        <v>145</v>
      </c>
      <c r="U328" t="s">
        <v>1132</v>
      </c>
      <c r="V328" t="s">
        <v>27</v>
      </c>
      <c r="W328" t="s">
        <v>66</v>
      </c>
      <c r="X328" t="s">
        <v>67</v>
      </c>
      <c r="Y328" t="s">
        <v>138</v>
      </c>
      <c r="AA328" t="s">
        <v>494</v>
      </c>
      <c r="AC328" t="s">
        <v>139</v>
      </c>
      <c r="AD328" t="s">
        <v>1213</v>
      </c>
      <c r="AG328" t="s">
        <v>156</v>
      </c>
      <c r="AH328" t="s">
        <v>68</v>
      </c>
      <c r="AI328" t="s">
        <v>493</v>
      </c>
      <c r="AK328" t="s">
        <v>1214</v>
      </c>
    </row>
    <row r="329" spans="1:37" customFormat="1">
      <c r="A329" t="s">
        <v>23</v>
      </c>
      <c r="B329" t="s">
        <v>24</v>
      </c>
      <c r="C329" t="s">
        <v>177</v>
      </c>
      <c r="D329" t="s">
        <v>135</v>
      </c>
      <c r="E329" t="s">
        <v>1130</v>
      </c>
      <c r="F329" t="s">
        <v>931</v>
      </c>
      <c r="G329" t="s">
        <v>136</v>
      </c>
      <c r="H329" t="s">
        <v>146</v>
      </c>
      <c r="I329" t="s">
        <v>156</v>
      </c>
      <c r="J329" t="s">
        <v>25</v>
      </c>
      <c r="K329" t="s">
        <v>157</v>
      </c>
      <c r="L329" t="s">
        <v>150</v>
      </c>
      <c r="M329" t="s">
        <v>144</v>
      </c>
      <c r="N329" t="s">
        <v>1215</v>
      </c>
      <c r="O329">
        <v>5</v>
      </c>
      <c r="P329" t="s">
        <v>159</v>
      </c>
      <c r="R329">
        <v>128</v>
      </c>
      <c r="S329">
        <v>101.15</v>
      </c>
      <c r="T329" t="s">
        <v>145</v>
      </c>
      <c r="U329" t="s">
        <v>988</v>
      </c>
      <c r="V329" t="s">
        <v>27</v>
      </c>
      <c r="W329" t="s">
        <v>66</v>
      </c>
      <c r="X329" t="s">
        <v>67</v>
      </c>
      <c r="Y329" t="s">
        <v>138</v>
      </c>
      <c r="AA329" t="s">
        <v>494</v>
      </c>
      <c r="AC329" t="s">
        <v>139</v>
      </c>
      <c r="AD329" t="s">
        <v>1216</v>
      </c>
      <c r="AG329" t="s">
        <v>156</v>
      </c>
      <c r="AH329" t="s">
        <v>68</v>
      </c>
      <c r="AI329" t="s">
        <v>493</v>
      </c>
    </row>
    <row r="330" spans="1:37" customFormat="1">
      <c r="A330" t="s">
        <v>23</v>
      </c>
      <c r="B330" t="s">
        <v>24</v>
      </c>
      <c r="C330" t="s">
        <v>179</v>
      </c>
      <c r="D330" t="s">
        <v>135</v>
      </c>
      <c r="E330" t="s">
        <v>1125</v>
      </c>
      <c r="F330" t="s">
        <v>931</v>
      </c>
      <c r="G330" t="s">
        <v>136</v>
      </c>
      <c r="H330" t="s">
        <v>146</v>
      </c>
      <c r="I330" t="s">
        <v>156</v>
      </c>
      <c r="J330" t="s">
        <v>26</v>
      </c>
      <c r="K330" t="s">
        <v>157</v>
      </c>
      <c r="L330" t="s">
        <v>150</v>
      </c>
      <c r="M330" t="s">
        <v>144</v>
      </c>
      <c r="N330" t="s">
        <v>1217</v>
      </c>
      <c r="O330">
        <v>1</v>
      </c>
      <c r="P330" t="s">
        <v>160</v>
      </c>
      <c r="R330">
        <v>821</v>
      </c>
      <c r="S330">
        <v>813.2</v>
      </c>
      <c r="T330" t="s">
        <v>145</v>
      </c>
      <c r="U330" t="s">
        <v>1218</v>
      </c>
      <c r="V330" t="s">
        <v>27</v>
      </c>
      <c r="W330" t="s">
        <v>66</v>
      </c>
      <c r="X330" t="s">
        <v>67</v>
      </c>
      <c r="Y330" t="s">
        <v>138</v>
      </c>
      <c r="AA330" t="s">
        <v>494</v>
      </c>
      <c r="AC330" t="s">
        <v>139</v>
      </c>
      <c r="AD330" t="s">
        <v>1219</v>
      </c>
      <c r="AG330" t="s">
        <v>156</v>
      </c>
      <c r="AH330" t="s">
        <v>68</v>
      </c>
      <c r="AI330" t="s">
        <v>493</v>
      </c>
      <c r="AK330" t="s">
        <v>1220</v>
      </c>
    </row>
    <row r="331" spans="1:37" customFormat="1">
      <c r="A331" t="s">
        <v>23</v>
      </c>
      <c r="B331" t="s">
        <v>24</v>
      </c>
      <c r="C331" t="s">
        <v>179</v>
      </c>
      <c r="D331" t="s">
        <v>135</v>
      </c>
      <c r="E331" t="s">
        <v>1125</v>
      </c>
      <c r="F331" t="s">
        <v>931</v>
      </c>
      <c r="G331" t="s">
        <v>136</v>
      </c>
      <c r="H331" t="s">
        <v>146</v>
      </c>
      <c r="I331" t="s">
        <v>156</v>
      </c>
      <c r="J331" t="s">
        <v>26</v>
      </c>
      <c r="K331" t="s">
        <v>157</v>
      </c>
      <c r="L331" t="s">
        <v>150</v>
      </c>
      <c r="M331" t="s">
        <v>144</v>
      </c>
      <c r="N331" t="s">
        <v>1221</v>
      </c>
      <c r="O331">
        <v>1</v>
      </c>
      <c r="P331" t="s">
        <v>160</v>
      </c>
      <c r="R331">
        <v>815</v>
      </c>
      <c r="S331">
        <v>813.2</v>
      </c>
      <c r="T331" t="s">
        <v>145</v>
      </c>
      <c r="U331" t="s">
        <v>1218</v>
      </c>
      <c r="V331" t="s">
        <v>27</v>
      </c>
      <c r="W331" t="s">
        <v>66</v>
      </c>
      <c r="X331" t="s">
        <v>67</v>
      </c>
      <c r="Y331" t="s">
        <v>138</v>
      </c>
      <c r="AA331" t="s">
        <v>494</v>
      </c>
      <c r="AC331" t="s">
        <v>139</v>
      </c>
      <c r="AD331" t="s">
        <v>1222</v>
      </c>
      <c r="AG331" t="s">
        <v>156</v>
      </c>
      <c r="AH331" t="s">
        <v>68</v>
      </c>
      <c r="AI331" t="s">
        <v>493</v>
      </c>
      <c r="AK331" t="s">
        <v>1223</v>
      </c>
    </row>
    <row r="332" spans="1:37" customFormat="1">
      <c r="A332" t="s">
        <v>23</v>
      </c>
      <c r="B332" t="s">
        <v>24</v>
      </c>
      <c r="C332" t="s">
        <v>179</v>
      </c>
      <c r="D332" t="s">
        <v>135</v>
      </c>
      <c r="E332" t="s">
        <v>1125</v>
      </c>
      <c r="F332" t="s">
        <v>931</v>
      </c>
      <c r="G332" t="s">
        <v>136</v>
      </c>
      <c r="H332" t="s">
        <v>146</v>
      </c>
      <c r="I332" t="s">
        <v>156</v>
      </c>
      <c r="J332" t="s">
        <v>26</v>
      </c>
      <c r="K332" t="s">
        <v>157</v>
      </c>
      <c r="L332" t="s">
        <v>150</v>
      </c>
      <c r="M332" t="s">
        <v>144</v>
      </c>
      <c r="N332" t="s">
        <v>1224</v>
      </c>
      <c r="O332">
        <v>1</v>
      </c>
      <c r="P332" t="s">
        <v>160</v>
      </c>
      <c r="R332">
        <v>821</v>
      </c>
      <c r="S332">
        <v>813.2</v>
      </c>
      <c r="T332" t="s">
        <v>145</v>
      </c>
      <c r="U332" t="s">
        <v>1218</v>
      </c>
      <c r="V332" t="s">
        <v>27</v>
      </c>
      <c r="W332" t="s">
        <v>66</v>
      </c>
      <c r="X332" t="s">
        <v>67</v>
      </c>
      <c r="Y332" t="s">
        <v>138</v>
      </c>
      <c r="AA332" t="s">
        <v>494</v>
      </c>
      <c r="AC332" t="s">
        <v>139</v>
      </c>
      <c r="AD332" t="s">
        <v>1225</v>
      </c>
      <c r="AG332" t="s">
        <v>156</v>
      </c>
      <c r="AH332" t="s">
        <v>68</v>
      </c>
      <c r="AI332" t="s">
        <v>493</v>
      </c>
      <c r="AK332" t="s">
        <v>1226</v>
      </c>
    </row>
    <row r="333" spans="1:37" customFormat="1">
      <c r="A333" t="s">
        <v>23</v>
      </c>
      <c r="B333" t="s">
        <v>24</v>
      </c>
      <c r="C333" t="s">
        <v>179</v>
      </c>
      <c r="D333" t="s">
        <v>135</v>
      </c>
      <c r="E333" t="s">
        <v>1125</v>
      </c>
      <c r="F333" t="s">
        <v>931</v>
      </c>
      <c r="G333" t="s">
        <v>136</v>
      </c>
      <c r="H333" t="s">
        <v>146</v>
      </c>
      <c r="I333" t="s">
        <v>156</v>
      </c>
      <c r="J333" t="s">
        <v>26</v>
      </c>
      <c r="K333" t="s">
        <v>157</v>
      </c>
      <c r="L333" t="s">
        <v>150</v>
      </c>
      <c r="M333" t="s">
        <v>144</v>
      </c>
      <c r="N333" t="s">
        <v>1227</v>
      </c>
      <c r="O333">
        <v>1</v>
      </c>
      <c r="P333" t="s">
        <v>160</v>
      </c>
      <c r="R333">
        <v>817</v>
      </c>
      <c r="S333">
        <v>813.2</v>
      </c>
      <c r="T333" t="s">
        <v>145</v>
      </c>
      <c r="U333" t="s">
        <v>1218</v>
      </c>
      <c r="V333" t="s">
        <v>27</v>
      </c>
      <c r="W333" t="s">
        <v>66</v>
      </c>
      <c r="X333" t="s">
        <v>67</v>
      </c>
      <c r="Y333" t="s">
        <v>138</v>
      </c>
      <c r="AA333" t="s">
        <v>494</v>
      </c>
      <c r="AC333" t="s">
        <v>139</v>
      </c>
      <c r="AD333" t="s">
        <v>1228</v>
      </c>
      <c r="AG333" t="s">
        <v>156</v>
      </c>
      <c r="AH333" t="s">
        <v>68</v>
      </c>
      <c r="AI333" t="s">
        <v>493</v>
      </c>
      <c r="AK333" t="s">
        <v>1229</v>
      </c>
    </row>
    <row r="334" spans="1:37" customFormat="1">
      <c r="A334" t="s">
        <v>23</v>
      </c>
      <c r="B334" t="s">
        <v>24</v>
      </c>
      <c r="C334" t="s">
        <v>179</v>
      </c>
      <c r="D334" t="s">
        <v>135</v>
      </c>
      <c r="E334" t="s">
        <v>1125</v>
      </c>
      <c r="F334" t="s">
        <v>931</v>
      </c>
      <c r="G334" t="s">
        <v>136</v>
      </c>
      <c r="H334" t="s">
        <v>146</v>
      </c>
      <c r="I334" t="s">
        <v>156</v>
      </c>
      <c r="J334" t="s">
        <v>26</v>
      </c>
      <c r="K334" t="s">
        <v>157</v>
      </c>
      <c r="L334" t="s">
        <v>150</v>
      </c>
      <c r="M334" t="s">
        <v>144</v>
      </c>
      <c r="N334" t="s">
        <v>1230</v>
      </c>
      <c r="O334">
        <v>1</v>
      </c>
      <c r="P334" t="s">
        <v>160</v>
      </c>
      <c r="R334">
        <v>817</v>
      </c>
      <c r="S334">
        <v>813.2</v>
      </c>
      <c r="T334" t="s">
        <v>145</v>
      </c>
      <c r="U334" t="s">
        <v>1218</v>
      </c>
      <c r="V334" t="s">
        <v>27</v>
      </c>
      <c r="W334" t="s">
        <v>66</v>
      </c>
      <c r="X334" t="s">
        <v>67</v>
      </c>
      <c r="Y334" t="s">
        <v>138</v>
      </c>
      <c r="AA334" t="s">
        <v>494</v>
      </c>
      <c r="AC334" t="s">
        <v>139</v>
      </c>
      <c r="AD334" t="s">
        <v>1231</v>
      </c>
      <c r="AG334" t="s">
        <v>156</v>
      </c>
      <c r="AH334" t="s">
        <v>68</v>
      </c>
      <c r="AI334" t="s">
        <v>493</v>
      </c>
      <c r="AK334" t="s">
        <v>1232</v>
      </c>
    </row>
    <row r="335" spans="1:37" customFormat="1">
      <c r="A335" t="s">
        <v>23</v>
      </c>
      <c r="B335" t="s">
        <v>24</v>
      </c>
      <c r="C335" t="s">
        <v>179</v>
      </c>
      <c r="D335" t="s">
        <v>135</v>
      </c>
      <c r="E335" t="s">
        <v>1125</v>
      </c>
      <c r="F335" t="s">
        <v>931</v>
      </c>
      <c r="G335" t="s">
        <v>136</v>
      </c>
      <c r="H335" t="s">
        <v>146</v>
      </c>
      <c r="I335" t="s">
        <v>156</v>
      </c>
      <c r="J335" t="s">
        <v>26</v>
      </c>
      <c r="K335" t="s">
        <v>157</v>
      </c>
      <c r="L335" t="s">
        <v>150</v>
      </c>
      <c r="M335" t="s">
        <v>144</v>
      </c>
      <c r="N335" t="s">
        <v>1233</v>
      </c>
      <c r="O335">
        <v>1</v>
      </c>
      <c r="P335" t="s">
        <v>160</v>
      </c>
      <c r="R335">
        <v>821</v>
      </c>
      <c r="S335">
        <v>813.2</v>
      </c>
      <c r="T335" t="s">
        <v>145</v>
      </c>
      <c r="U335" t="s">
        <v>1218</v>
      </c>
      <c r="V335" t="s">
        <v>27</v>
      </c>
      <c r="W335" t="s">
        <v>66</v>
      </c>
      <c r="X335" t="s">
        <v>67</v>
      </c>
      <c r="Y335" t="s">
        <v>138</v>
      </c>
      <c r="AA335" t="s">
        <v>494</v>
      </c>
      <c r="AC335" t="s">
        <v>139</v>
      </c>
      <c r="AD335" t="s">
        <v>1234</v>
      </c>
      <c r="AG335" t="s">
        <v>156</v>
      </c>
      <c r="AH335" t="s">
        <v>68</v>
      </c>
      <c r="AI335" t="s">
        <v>493</v>
      </c>
      <c r="AK335" t="s">
        <v>1235</v>
      </c>
    </row>
    <row r="336" spans="1:37" customFormat="1">
      <c r="A336" t="s">
        <v>23</v>
      </c>
      <c r="B336" t="s">
        <v>24</v>
      </c>
      <c r="C336" t="s">
        <v>179</v>
      </c>
      <c r="D336" t="s">
        <v>135</v>
      </c>
      <c r="E336" t="s">
        <v>1125</v>
      </c>
      <c r="F336" t="s">
        <v>931</v>
      </c>
      <c r="G336" t="s">
        <v>136</v>
      </c>
      <c r="H336" t="s">
        <v>146</v>
      </c>
      <c r="I336" t="s">
        <v>156</v>
      </c>
      <c r="J336" t="s">
        <v>26</v>
      </c>
      <c r="K336" t="s">
        <v>157</v>
      </c>
      <c r="L336" t="s">
        <v>150</v>
      </c>
      <c r="M336" t="s">
        <v>144</v>
      </c>
      <c r="N336" t="s">
        <v>1236</v>
      </c>
      <c r="O336">
        <v>1</v>
      </c>
      <c r="P336" t="s">
        <v>160</v>
      </c>
      <c r="R336">
        <v>821</v>
      </c>
      <c r="S336">
        <v>813.2</v>
      </c>
      <c r="T336" t="s">
        <v>145</v>
      </c>
      <c r="U336" t="s">
        <v>1218</v>
      </c>
      <c r="V336" t="s">
        <v>27</v>
      </c>
      <c r="W336" t="s">
        <v>66</v>
      </c>
      <c r="X336" t="s">
        <v>67</v>
      </c>
      <c r="Y336" t="s">
        <v>138</v>
      </c>
      <c r="AA336" t="s">
        <v>494</v>
      </c>
      <c r="AC336" t="s">
        <v>139</v>
      </c>
      <c r="AD336" t="s">
        <v>1237</v>
      </c>
      <c r="AG336" t="s">
        <v>156</v>
      </c>
      <c r="AH336" t="s">
        <v>68</v>
      </c>
      <c r="AI336" t="s">
        <v>493</v>
      </c>
      <c r="AK336" t="s">
        <v>1238</v>
      </c>
    </row>
    <row r="337" spans="1:37" customFormat="1">
      <c r="A337" t="s">
        <v>23</v>
      </c>
      <c r="B337" t="s">
        <v>24</v>
      </c>
      <c r="C337" t="s">
        <v>179</v>
      </c>
      <c r="D337" t="s">
        <v>135</v>
      </c>
      <c r="E337" t="s">
        <v>1125</v>
      </c>
      <c r="F337" t="s">
        <v>931</v>
      </c>
      <c r="G337" t="s">
        <v>136</v>
      </c>
      <c r="H337" t="s">
        <v>146</v>
      </c>
      <c r="I337" t="s">
        <v>156</v>
      </c>
      <c r="J337" t="s">
        <v>26</v>
      </c>
      <c r="K337" t="s">
        <v>157</v>
      </c>
      <c r="L337" t="s">
        <v>150</v>
      </c>
      <c r="M337" t="s">
        <v>144</v>
      </c>
      <c r="N337" t="s">
        <v>1239</v>
      </c>
      <c r="O337">
        <v>1</v>
      </c>
      <c r="P337" t="s">
        <v>160</v>
      </c>
      <c r="R337">
        <v>821</v>
      </c>
      <c r="S337">
        <v>813.2</v>
      </c>
      <c r="T337" t="s">
        <v>145</v>
      </c>
      <c r="U337" t="s">
        <v>1218</v>
      </c>
      <c r="V337" t="s">
        <v>27</v>
      </c>
      <c r="W337" t="s">
        <v>66</v>
      </c>
      <c r="X337" t="s">
        <v>67</v>
      </c>
      <c r="Y337" t="s">
        <v>138</v>
      </c>
      <c r="AA337" t="s">
        <v>494</v>
      </c>
      <c r="AC337" t="s">
        <v>139</v>
      </c>
      <c r="AD337" t="s">
        <v>1240</v>
      </c>
      <c r="AG337" t="s">
        <v>156</v>
      </c>
      <c r="AH337" t="s">
        <v>68</v>
      </c>
      <c r="AI337" t="s">
        <v>493</v>
      </c>
      <c r="AK337" t="s">
        <v>1241</v>
      </c>
    </row>
    <row r="338" spans="1:37" customFormat="1">
      <c r="A338" t="s">
        <v>23</v>
      </c>
      <c r="B338" t="s">
        <v>24</v>
      </c>
      <c r="C338" t="s">
        <v>179</v>
      </c>
      <c r="D338" t="s">
        <v>135</v>
      </c>
      <c r="E338" t="s">
        <v>1125</v>
      </c>
      <c r="F338" t="s">
        <v>931</v>
      </c>
      <c r="G338" t="s">
        <v>136</v>
      </c>
      <c r="H338" t="s">
        <v>146</v>
      </c>
      <c r="I338" t="s">
        <v>156</v>
      </c>
      <c r="J338" t="s">
        <v>26</v>
      </c>
      <c r="K338" t="s">
        <v>157</v>
      </c>
      <c r="L338" t="s">
        <v>150</v>
      </c>
      <c r="M338" t="s">
        <v>144</v>
      </c>
      <c r="N338" t="s">
        <v>1242</v>
      </c>
      <c r="O338">
        <v>1</v>
      </c>
      <c r="P338" t="s">
        <v>160</v>
      </c>
      <c r="R338">
        <v>816</v>
      </c>
      <c r="S338">
        <v>813.2</v>
      </c>
      <c r="T338" t="s">
        <v>145</v>
      </c>
      <c r="U338" t="s">
        <v>1218</v>
      </c>
      <c r="V338" t="s">
        <v>27</v>
      </c>
      <c r="W338" t="s">
        <v>66</v>
      </c>
      <c r="X338" t="s">
        <v>67</v>
      </c>
      <c r="Y338" t="s">
        <v>138</v>
      </c>
      <c r="AA338" t="s">
        <v>494</v>
      </c>
      <c r="AC338" t="s">
        <v>139</v>
      </c>
      <c r="AD338" t="s">
        <v>1243</v>
      </c>
      <c r="AG338" t="s">
        <v>156</v>
      </c>
      <c r="AH338" t="s">
        <v>68</v>
      </c>
      <c r="AI338" t="s">
        <v>493</v>
      </c>
      <c r="AK338" t="s">
        <v>1244</v>
      </c>
    </row>
    <row r="339" spans="1:37" customFormat="1">
      <c r="A339" t="s">
        <v>23</v>
      </c>
      <c r="B339" t="s">
        <v>24</v>
      </c>
      <c r="C339" t="s">
        <v>179</v>
      </c>
      <c r="D339" t="s">
        <v>135</v>
      </c>
      <c r="E339" t="s">
        <v>1125</v>
      </c>
      <c r="F339" t="s">
        <v>931</v>
      </c>
      <c r="G339" t="s">
        <v>136</v>
      </c>
      <c r="H339" t="s">
        <v>146</v>
      </c>
      <c r="I339" t="s">
        <v>156</v>
      </c>
      <c r="J339" t="s">
        <v>26</v>
      </c>
      <c r="K339" t="s">
        <v>157</v>
      </c>
      <c r="L339" t="s">
        <v>150</v>
      </c>
      <c r="M339" t="s">
        <v>144</v>
      </c>
      <c r="N339" t="s">
        <v>1245</v>
      </c>
      <c r="O339">
        <v>1</v>
      </c>
      <c r="P339" t="s">
        <v>160</v>
      </c>
      <c r="R339">
        <v>821</v>
      </c>
      <c r="S339">
        <v>813.2</v>
      </c>
      <c r="T339" t="s">
        <v>145</v>
      </c>
      <c r="U339" t="s">
        <v>1218</v>
      </c>
      <c r="V339" t="s">
        <v>27</v>
      </c>
      <c r="W339" t="s">
        <v>66</v>
      </c>
      <c r="X339" t="s">
        <v>67</v>
      </c>
      <c r="Y339" t="s">
        <v>138</v>
      </c>
      <c r="AA339" t="s">
        <v>494</v>
      </c>
      <c r="AC339" t="s">
        <v>139</v>
      </c>
      <c r="AD339" t="s">
        <v>1246</v>
      </c>
      <c r="AG339" t="s">
        <v>156</v>
      </c>
      <c r="AH339" t="s">
        <v>68</v>
      </c>
      <c r="AI339" t="s">
        <v>493</v>
      </c>
      <c r="AK339" t="s">
        <v>1247</v>
      </c>
    </row>
    <row r="340" spans="1:37" customFormat="1">
      <c r="A340" t="s">
        <v>23</v>
      </c>
      <c r="B340" t="s">
        <v>24</v>
      </c>
      <c r="C340" t="s">
        <v>179</v>
      </c>
      <c r="D340" t="s">
        <v>135</v>
      </c>
      <c r="E340" t="s">
        <v>1125</v>
      </c>
      <c r="F340" t="s">
        <v>931</v>
      </c>
      <c r="G340" t="s">
        <v>136</v>
      </c>
      <c r="H340" t="s">
        <v>146</v>
      </c>
      <c r="I340" t="s">
        <v>156</v>
      </c>
      <c r="J340" t="s">
        <v>26</v>
      </c>
      <c r="K340" t="s">
        <v>157</v>
      </c>
      <c r="L340" t="s">
        <v>150</v>
      </c>
      <c r="M340" t="s">
        <v>144</v>
      </c>
      <c r="N340" t="s">
        <v>1248</v>
      </c>
      <c r="O340">
        <v>1</v>
      </c>
      <c r="P340" t="s">
        <v>160</v>
      </c>
      <c r="R340">
        <v>820</v>
      </c>
      <c r="S340">
        <v>813.2</v>
      </c>
      <c r="T340" t="s">
        <v>145</v>
      </c>
      <c r="U340" t="s">
        <v>1218</v>
      </c>
      <c r="V340" t="s">
        <v>27</v>
      </c>
      <c r="W340" t="s">
        <v>66</v>
      </c>
      <c r="X340" t="s">
        <v>67</v>
      </c>
      <c r="Y340" t="s">
        <v>138</v>
      </c>
      <c r="AA340" t="s">
        <v>494</v>
      </c>
      <c r="AC340" t="s">
        <v>139</v>
      </c>
      <c r="AD340" t="s">
        <v>1249</v>
      </c>
      <c r="AG340" t="s">
        <v>156</v>
      </c>
      <c r="AH340" t="s">
        <v>68</v>
      </c>
      <c r="AI340" t="s">
        <v>493</v>
      </c>
      <c r="AK340" t="s">
        <v>1250</v>
      </c>
    </row>
    <row r="341" spans="1:37" customFormat="1">
      <c r="A341" t="s">
        <v>23</v>
      </c>
      <c r="B341" t="s">
        <v>24</v>
      </c>
      <c r="C341" t="s">
        <v>179</v>
      </c>
      <c r="D341" t="s">
        <v>135</v>
      </c>
      <c r="E341" t="s">
        <v>1125</v>
      </c>
      <c r="F341" t="s">
        <v>931</v>
      </c>
      <c r="G341" t="s">
        <v>136</v>
      </c>
      <c r="H341" t="s">
        <v>146</v>
      </c>
      <c r="I341" t="s">
        <v>156</v>
      </c>
      <c r="J341" t="s">
        <v>26</v>
      </c>
      <c r="K341" t="s">
        <v>157</v>
      </c>
      <c r="L341" t="s">
        <v>150</v>
      </c>
      <c r="M341" t="s">
        <v>144</v>
      </c>
      <c r="N341" t="s">
        <v>1251</v>
      </c>
      <c r="O341">
        <v>1</v>
      </c>
      <c r="P341" t="s">
        <v>160</v>
      </c>
      <c r="R341">
        <v>819</v>
      </c>
      <c r="S341">
        <v>813.2</v>
      </c>
      <c r="T341" t="s">
        <v>145</v>
      </c>
      <c r="U341" t="s">
        <v>1218</v>
      </c>
      <c r="V341" t="s">
        <v>27</v>
      </c>
      <c r="W341" t="s">
        <v>66</v>
      </c>
      <c r="X341" t="s">
        <v>67</v>
      </c>
      <c r="Y341" t="s">
        <v>138</v>
      </c>
      <c r="AA341" t="s">
        <v>494</v>
      </c>
      <c r="AC341" t="s">
        <v>139</v>
      </c>
      <c r="AD341" t="s">
        <v>1252</v>
      </c>
      <c r="AG341" t="s">
        <v>156</v>
      </c>
      <c r="AH341" t="s">
        <v>68</v>
      </c>
      <c r="AI341" t="s">
        <v>493</v>
      </c>
      <c r="AK341" t="s">
        <v>1253</v>
      </c>
    </row>
    <row r="342" spans="1:37" customFormat="1">
      <c r="A342" t="s">
        <v>23</v>
      </c>
      <c r="B342" t="s">
        <v>24</v>
      </c>
      <c r="C342" t="s">
        <v>179</v>
      </c>
      <c r="D342" t="s">
        <v>135</v>
      </c>
      <c r="E342" t="s">
        <v>1125</v>
      </c>
      <c r="F342" t="s">
        <v>931</v>
      </c>
      <c r="G342" t="s">
        <v>136</v>
      </c>
      <c r="H342" t="s">
        <v>146</v>
      </c>
      <c r="I342" t="s">
        <v>156</v>
      </c>
      <c r="J342" t="s">
        <v>26</v>
      </c>
      <c r="K342" t="s">
        <v>157</v>
      </c>
      <c r="L342" t="s">
        <v>150</v>
      </c>
      <c r="M342" t="s">
        <v>144</v>
      </c>
      <c r="N342" t="s">
        <v>1254</v>
      </c>
      <c r="O342">
        <v>1</v>
      </c>
      <c r="P342" t="s">
        <v>160</v>
      </c>
      <c r="R342">
        <v>816</v>
      </c>
      <c r="S342">
        <v>813.2</v>
      </c>
      <c r="T342" t="s">
        <v>145</v>
      </c>
      <c r="U342" t="s">
        <v>1218</v>
      </c>
      <c r="V342" t="s">
        <v>27</v>
      </c>
      <c r="W342" t="s">
        <v>66</v>
      </c>
      <c r="X342" t="s">
        <v>67</v>
      </c>
      <c r="Y342" t="s">
        <v>138</v>
      </c>
      <c r="AA342" t="s">
        <v>494</v>
      </c>
      <c r="AC342" t="s">
        <v>139</v>
      </c>
      <c r="AD342" t="s">
        <v>1255</v>
      </c>
      <c r="AG342" t="s">
        <v>156</v>
      </c>
      <c r="AH342" t="s">
        <v>68</v>
      </c>
      <c r="AI342" t="s">
        <v>493</v>
      </c>
      <c r="AK342" t="s">
        <v>1256</v>
      </c>
    </row>
    <row r="343" spans="1:37" customFormat="1">
      <c r="A343" t="s">
        <v>23</v>
      </c>
      <c r="B343" t="s">
        <v>24</v>
      </c>
      <c r="C343" t="s">
        <v>179</v>
      </c>
      <c r="D343" t="s">
        <v>135</v>
      </c>
      <c r="E343" t="s">
        <v>1125</v>
      </c>
      <c r="F343" t="s">
        <v>931</v>
      </c>
      <c r="G343" t="s">
        <v>136</v>
      </c>
      <c r="H343" t="s">
        <v>146</v>
      </c>
      <c r="I343" t="s">
        <v>156</v>
      </c>
      <c r="J343" t="s">
        <v>26</v>
      </c>
      <c r="K343" t="s">
        <v>157</v>
      </c>
      <c r="L343" t="s">
        <v>150</v>
      </c>
      <c r="M343" t="s">
        <v>144</v>
      </c>
      <c r="N343" t="s">
        <v>1257</v>
      </c>
      <c r="O343">
        <v>1</v>
      </c>
      <c r="P343" t="s">
        <v>160</v>
      </c>
      <c r="R343">
        <v>820</v>
      </c>
      <c r="S343">
        <v>813.2</v>
      </c>
      <c r="T343" t="s">
        <v>145</v>
      </c>
      <c r="U343" t="s">
        <v>1218</v>
      </c>
      <c r="V343" t="s">
        <v>27</v>
      </c>
      <c r="W343" t="s">
        <v>66</v>
      </c>
      <c r="X343" t="s">
        <v>67</v>
      </c>
      <c r="Y343" t="s">
        <v>138</v>
      </c>
      <c r="AA343" t="s">
        <v>494</v>
      </c>
      <c r="AC343" t="s">
        <v>139</v>
      </c>
      <c r="AD343" t="s">
        <v>1258</v>
      </c>
      <c r="AG343" t="s">
        <v>156</v>
      </c>
      <c r="AH343" t="s">
        <v>68</v>
      </c>
      <c r="AI343" t="s">
        <v>493</v>
      </c>
      <c r="AK343" t="s">
        <v>1259</v>
      </c>
    </row>
    <row r="344" spans="1:37" customFormat="1">
      <c r="A344" t="s">
        <v>23</v>
      </c>
      <c r="B344" t="s">
        <v>24</v>
      </c>
      <c r="C344" t="s">
        <v>179</v>
      </c>
      <c r="D344" t="s">
        <v>135</v>
      </c>
      <c r="E344" t="s">
        <v>1125</v>
      </c>
      <c r="F344" t="s">
        <v>931</v>
      </c>
      <c r="G344" t="s">
        <v>136</v>
      </c>
      <c r="H344" t="s">
        <v>146</v>
      </c>
      <c r="I344" t="s">
        <v>156</v>
      </c>
      <c r="J344" t="s">
        <v>26</v>
      </c>
      <c r="K344" t="s">
        <v>157</v>
      </c>
      <c r="L344" t="s">
        <v>150</v>
      </c>
      <c r="M344" t="s">
        <v>144</v>
      </c>
      <c r="N344" t="s">
        <v>1260</v>
      </c>
      <c r="O344">
        <v>1</v>
      </c>
      <c r="P344" t="s">
        <v>160</v>
      </c>
      <c r="R344">
        <v>819</v>
      </c>
      <c r="S344">
        <v>813.2</v>
      </c>
      <c r="T344" t="s">
        <v>145</v>
      </c>
      <c r="U344" t="s">
        <v>1218</v>
      </c>
      <c r="V344" t="s">
        <v>27</v>
      </c>
      <c r="W344" t="s">
        <v>66</v>
      </c>
      <c r="X344" t="s">
        <v>67</v>
      </c>
      <c r="Y344" t="s">
        <v>138</v>
      </c>
      <c r="AA344" t="s">
        <v>494</v>
      </c>
      <c r="AC344" t="s">
        <v>139</v>
      </c>
      <c r="AD344" t="s">
        <v>1261</v>
      </c>
      <c r="AG344" t="s">
        <v>156</v>
      </c>
      <c r="AH344" t="s">
        <v>68</v>
      </c>
      <c r="AI344" t="s">
        <v>493</v>
      </c>
      <c r="AK344" t="s">
        <v>1262</v>
      </c>
    </row>
    <row r="345" spans="1:37" customFormat="1">
      <c r="A345" t="s">
        <v>23</v>
      </c>
      <c r="B345" t="s">
        <v>24</v>
      </c>
      <c r="C345" t="s">
        <v>179</v>
      </c>
      <c r="D345" t="s">
        <v>135</v>
      </c>
      <c r="E345" t="s">
        <v>1125</v>
      </c>
      <c r="F345" t="s">
        <v>931</v>
      </c>
      <c r="G345" t="s">
        <v>136</v>
      </c>
      <c r="H345" t="s">
        <v>146</v>
      </c>
      <c r="I345" t="s">
        <v>156</v>
      </c>
      <c r="J345" t="s">
        <v>26</v>
      </c>
      <c r="K345" t="s">
        <v>157</v>
      </c>
      <c r="L345" t="s">
        <v>150</v>
      </c>
      <c r="M345" t="s">
        <v>144</v>
      </c>
      <c r="N345" t="s">
        <v>1263</v>
      </c>
      <c r="O345">
        <v>1</v>
      </c>
      <c r="P345" t="s">
        <v>160</v>
      </c>
      <c r="R345">
        <v>816</v>
      </c>
      <c r="S345">
        <v>813.2</v>
      </c>
      <c r="T345" t="s">
        <v>145</v>
      </c>
      <c r="U345" t="s">
        <v>1218</v>
      </c>
      <c r="V345" t="s">
        <v>27</v>
      </c>
      <c r="W345" t="s">
        <v>66</v>
      </c>
      <c r="X345" t="s">
        <v>67</v>
      </c>
      <c r="Y345" t="s">
        <v>138</v>
      </c>
      <c r="AA345" t="s">
        <v>494</v>
      </c>
      <c r="AC345" t="s">
        <v>139</v>
      </c>
      <c r="AD345" t="s">
        <v>1264</v>
      </c>
      <c r="AG345" t="s">
        <v>156</v>
      </c>
      <c r="AH345" t="s">
        <v>68</v>
      </c>
      <c r="AI345" t="s">
        <v>493</v>
      </c>
      <c r="AK345" t="s">
        <v>1265</v>
      </c>
    </row>
    <row r="346" spans="1:37" customFormat="1">
      <c r="A346" t="s">
        <v>23</v>
      </c>
      <c r="B346" t="s">
        <v>24</v>
      </c>
      <c r="C346" t="s">
        <v>179</v>
      </c>
      <c r="D346" t="s">
        <v>135</v>
      </c>
      <c r="E346" t="s">
        <v>1125</v>
      </c>
      <c r="F346" t="s">
        <v>931</v>
      </c>
      <c r="G346" t="s">
        <v>136</v>
      </c>
      <c r="H346" t="s">
        <v>146</v>
      </c>
      <c r="I346" t="s">
        <v>156</v>
      </c>
      <c r="J346" t="s">
        <v>26</v>
      </c>
      <c r="K346" t="s">
        <v>157</v>
      </c>
      <c r="L346" t="s">
        <v>150</v>
      </c>
      <c r="M346" t="s">
        <v>144</v>
      </c>
      <c r="N346" t="s">
        <v>1266</v>
      </c>
      <c r="O346">
        <v>1</v>
      </c>
      <c r="P346" t="s">
        <v>160</v>
      </c>
      <c r="R346">
        <v>821</v>
      </c>
      <c r="S346">
        <v>813.2</v>
      </c>
      <c r="T346" t="s">
        <v>145</v>
      </c>
      <c r="U346" t="s">
        <v>1218</v>
      </c>
      <c r="V346" t="s">
        <v>27</v>
      </c>
      <c r="W346" t="s">
        <v>66</v>
      </c>
      <c r="X346" t="s">
        <v>67</v>
      </c>
      <c r="Y346" t="s">
        <v>138</v>
      </c>
      <c r="AA346" t="s">
        <v>494</v>
      </c>
      <c r="AC346" t="s">
        <v>139</v>
      </c>
      <c r="AD346" t="s">
        <v>1267</v>
      </c>
      <c r="AG346" t="s">
        <v>156</v>
      </c>
      <c r="AH346" t="s">
        <v>68</v>
      </c>
      <c r="AI346" t="s">
        <v>493</v>
      </c>
      <c r="AK346" t="s">
        <v>1268</v>
      </c>
    </row>
    <row r="347" spans="1:37" customFormat="1">
      <c r="A347" t="s">
        <v>23</v>
      </c>
      <c r="B347" t="s">
        <v>24</v>
      </c>
      <c r="C347" t="s">
        <v>179</v>
      </c>
      <c r="D347" t="s">
        <v>135</v>
      </c>
      <c r="E347" t="s">
        <v>1125</v>
      </c>
      <c r="F347" t="s">
        <v>931</v>
      </c>
      <c r="G347" t="s">
        <v>136</v>
      </c>
      <c r="H347" t="s">
        <v>146</v>
      </c>
      <c r="I347" t="s">
        <v>156</v>
      </c>
      <c r="J347" t="s">
        <v>26</v>
      </c>
      <c r="K347" t="s">
        <v>157</v>
      </c>
      <c r="L347" t="s">
        <v>150</v>
      </c>
      <c r="M347" t="s">
        <v>144</v>
      </c>
      <c r="N347" t="s">
        <v>1269</v>
      </c>
      <c r="O347">
        <v>1</v>
      </c>
      <c r="P347" t="s">
        <v>160</v>
      </c>
      <c r="R347">
        <v>817</v>
      </c>
      <c r="S347">
        <v>813.2</v>
      </c>
      <c r="T347" t="s">
        <v>145</v>
      </c>
      <c r="U347" t="s">
        <v>1218</v>
      </c>
      <c r="V347" t="s">
        <v>27</v>
      </c>
      <c r="W347" t="s">
        <v>66</v>
      </c>
      <c r="X347" t="s">
        <v>67</v>
      </c>
      <c r="Y347" t="s">
        <v>138</v>
      </c>
      <c r="AA347" t="s">
        <v>494</v>
      </c>
      <c r="AC347" t="s">
        <v>139</v>
      </c>
      <c r="AD347" t="s">
        <v>1270</v>
      </c>
      <c r="AG347" t="s">
        <v>156</v>
      </c>
      <c r="AH347" t="s">
        <v>68</v>
      </c>
      <c r="AI347" t="s">
        <v>493</v>
      </c>
      <c r="AK347" t="s">
        <v>1271</v>
      </c>
    </row>
    <row r="348" spans="1:37" customFormat="1">
      <c r="A348" t="s">
        <v>23</v>
      </c>
      <c r="B348" t="s">
        <v>24</v>
      </c>
      <c r="C348" t="s">
        <v>179</v>
      </c>
      <c r="D348" t="s">
        <v>135</v>
      </c>
      <c r="E348" t="s">
        <v>1125</v>
      </c>
      <c r="F348" t="s">
        <v>931</v>
      </c>
      <c r="G348" t="s">
        <v>136</v>
      </c>
      <c r="H348" t="s">
        <v>146</v>
      </c>
      <c r="I348" t="s">
        <v>156</v>
      </c>
      <c r="J348" t="s">
        <v>26</v>
      </c>
      <c r="K348" t="s">
        <v>157</v>
      </c>
      <c r="L348" t="s">
        <v>150</v>
      </c>
      <c r="M348" t="s">
        <v>144</v>
      </c>
      <c r="N348" t="s">
        <v>1272</v>
      </c>
      <c r="O348">
        <v>1</v>
      </c>
      <c r="P348" t="s">
        <v>160</v>
      </c>
      <c r="R348">
        <v>820</v>
      </c>
      <c r="S348">
        <v>813.2</v>
      </c>
      <c r="T348" t="s">
        <v>145</v>
      </c>
      <c r="U348" t="s">
        <v>1218</v>
      </c>
      <c r="V348" t="s">
        <v>27</v>
      </c>
      <c r="W348" t="s">
        <v>66</v>
      </c>
      <c r="X348" t="s">
        <v>67</v>
      </c>
      <c r="Y348" t="s">
        <v>138</v>
      </c>
      <c r="AA348" t="s">
        <v>494</v>
      </c>
      <c r="AC348" t="s">
        <v>139</v>
      </c>
      <c r="AD348" t="s">
        <v>1273</v>
      </c>
      <c r="AG348" t="s">
        <v>156</v>
      </c>
      <c r="AH348" t="s">
        <v>68</v>
      </c>
      <c r="AI348" t="s">
        <v>493</v>
      </c>
      <c r="AK348" t="s">
        <v>1274</v>
      </c>
    </row>
    <row r="349" spans="1:37" customFormat="1">
      <c r="A349" t="s">
        <v>23</v>
      </c>
      <c r="B349" t="s">
        <v>24</v>
      </c>
      <c r="C349" t="s">
        <v>179</v>
      </c>
      <c r="D349" t="s">
        <v>135</v>
      </c>
      <c r="E349" t="s">
        <v>1125</v>
      </c>
      <c r="F349" t="s">
        <v>931</v>
      </c>
      <c r="G349" t="s">
        <v>136</v>
      </c>
      <c r="H349" t="s">
        <v>146</v>
      </c>
      <c r="I349" t="s">
        <v>156</v>
      </c>
      <c r="J349" t="s">
        <v>26</v>
      </c>
      <c r="K349" t="s">
        <v>157</v>
      </c>
      <c r="L349" t="s">
        <v>150</v>
      </c>
      <c r="M349" t="s">
        <v>144</v>
      </c>
      <c r="N349" t="s">
        <v>1276</v>
      </c>
      <c r="O349">
        <v>1</v>
      </c>
      <c r="P349" t="s">
        <v>160</v>
      </c>
      <c r="R349">
        <v>820</v>
      </c>
      <c r="S349">
        <v>813.2</v>
      </c>
      <c r="T349" t="s">
        <v>145</v>
      </c>
      <c r="U349" t="s">
        <v>1218</v>
      </c>
      <c r="V349" t="s">
        <v>27</v>
      </c>
      <c r="W349" t="s">
        <v>66</v>
      </c>
      <c r="X349" t="s">
        <v>67</v>
      </c>
      <c r="Y349" t="s">
        <v>138</v>
      </c>
      <c r="AA349" t="s">
        <v>494</v>
      </c>
      <c r="AC349" t="s">
        <v>139</v>
      </c>
      <c r="AD349" t="s">
        <v>1277</v>
      </c>
      <c r="AG349" t="s">
        <v>156</v>
      </c>
      <c r="AH349" t="s">
        <v>68</v>
      </c>
      <c r="AI349" t="s">
        <v>493</v>
      </c>
      <c r="AK349" t="s">
        <v>1278</v>
      </c>
    </row>
    <row r="350" spans="1:37" customFormat="1">
      <c r="A350" t="s">
        <v>23</v>
      </c>
      <c r="B350" t="s">
        <v>24</v>
      </c>
      <c r="C350" t="s">
        <v>179</v>
      </c>
      <c r="D350" t="s">
        <v>135</v>
      </c>
      <c r="E350" t="s">
        <v>1125</v>
      </c>
      <c r="F350" t="s">
        <v>931</v>
      </c>
      <c r="G350" t="s">
        <v>136</v>
      </c>
      <c r="H350" t="s">
        <v>146</v>
      </c>
      <c r="I350" t="s">
        <v>156</v>
      </c>
      <c r="J350" t="s">
        <v>26</v>
      </c>
      <c r="K350" t="s">
        <v>157</v>
      </c>
      <c r="L350" t="s">
        <v>150</v>
      </c>
      <c r="M350" t="s">
        <v>144</v>
      </c>
      <c r="N350" t="s">
        <v>1279</v>
      </c>
      <c r="O350">
        <v>1</v>
      </c>
      <c r="P350" t="s">
        <v>160</v>
      </c>
      <c r="R350">
        <v>821</v>
      </c>
      <c r="S350">
        <v>813.2</v>
      </c>
      <c r="T350" t="s">
        <v>145</v>
      </c>
      <c r="U350" t="s">
        <v>1218</v>
      </c>
      <c r="V350" t="s">
        <v>27</v>
      </c>
      <c r="W350" t="s">
        <v>66</v>
      </c>
      <c r="X350" t="s">
        <v>67</v>
      </c>
      <c r="Y350" t="s">
        <v>138</v>
      </c>
      <c r="AA350" t="s">
        <v>494</v>
      </c>
      <c r="AC350" t="s">
        <v>139</v>
      </c>
      <c r="AD350" t="s">
        <v>1280</v>
      </c>
      <c r="AG350" t="s">
        <v>156</v>
      </c>
      <c r="AH350" t="s">
        <v>68</v>
      </c>
      <c r="AI350" t="s">
        <v>493</v>
      </c>
      <c r="AK350" t="s">
        <v>1281</v>
      </c>
    </row>
    <row r="351" spans="1:37" customFormat="1">
      <c r="A351" t="s">
        <v>23</v>
      </c>
      <c r="B351" t="s">
        <v>24</v>
      </c>
      <c r="C351" t="s">
        <v>179</v>
      </c>
      <c r="D351" t="s">
        <v>135</v>
      </c>
      <c r="E351" t="s">
        <v>1125</v>
      </c>
      <c r="F351" t="s">
        <v>931</v>
      </c>
      <c r="G351" t="s">
        <v>136</v>
      </c>
      <c r="H351" t="s">
        <v>146</v>
      </c>
      <c r="I351" t="s">
        <v>156</v>
      </c>
      <c r="J351" t="s">
        <v>26</v>
      </c>
      <c r="K351" t="s">
        <v>157</v>
      </c>
      <c r="L351" t="s">
        <v>150</v>
      </c>
      <c r="M351" t="s">
        <v>144</v>
      </c>
      <c r="N351" t="s">
        <v>1282</v>
      </c>
      <c r="O351">
        <v>1</v>
      </c>
      <c r="P351" t="s">
        <v>160</v>
      </c>
      <c r="R351">
        <v>821</v>
      </c>
      <c r="S351">
        <v>813.2</v>
      </c>
      <c r="T351" t="s">
        <v>145</v>
      </c>
      <c r="U351" t="s">
        <v>1218</v>
      </c>
      <c r="V351" t="s">
        <v>27</v>
      </c>
      <c r="W351" t="s">
        <v>66</v>
      </c>
      <c r="X351" t="s">
        <v>67</v>
      </c>
      <c r="Y351" t="s">
        <v>138</v>
      </c>
      <c r="AA351" t="s">
        <v>494</v>
      </c>
      <c r="AC351" t="s">
        <v>139</v>
      </c>
      <c r="AD351" t="s">
        <v>1283</v>
      </c>
      <c r="AG351" t="s">
        <v>156</v>
      </c>
      <c r="AH351" t="s">
        <v>68</v>
      </c>
      <c r="AI351" t="s">
        <v>493</v>
      </c>
      <c r="AK351" t="s">
        <v>1284</v>
      </c>
    </row>
    <row r="352" spans="1:37" customFormat="1">
      <c r="A352" t="s">
        <v>23</v>
      </c>
      <c r="B352" t="s">
        <v>24</v>
      </c>
      <c r="C352" t="s">
        <v>179</v>
      </c>
      <c r="D352" t="s">
        <v>135</v>
      </c>
      <c r="E352" t="s">
        <v>1125</v>
      </c>
      <c r="F352" t="s">
        <v>931</v>
      </c>
      <c r="G352" t="s">
        <v>136</v>
      </c>
      <c r="H352" t="s">
        <v>146</v>
      </c>
      <c r="I352" t="s">
        <v>156</v>
      </c>
      <c r="J352" t="s">
        <v>26</v>
      </c>
      <c r="K352" t="s">
        <v>157</v>
      </c>
      <c r="L352" t="s">
        <v>150</v>
      </c>
      <c r="M352" t="s">
        <v>144</v>
      </c>
      <c r="N352" t="s">
        <v>1285</v>
      </c>
      <c r="O352">
        <v>1</v>
      </c>
      <c r="P352" t="s">
        <v>160</v>
      </c>
      <c r="R352">
        <v>817</v>
      </c>
      <c r="S352">
        <v>813.2</v>
      </c>
      <c r="T352" t="s">
        <v>145</v>
      </c>
      <c r="U352" t="s">
        <v>1218</v>
      </c>
      <c r="V352" t="s">
        <v>27</v>
      </c>
      <c r="W352" t="s">
        <v>66</v>
      </c>
      <c r="X352" t="s">
        <v>67</v>
      </c>
      <c r="Y352" t="s">
        <v>138</v>
      </c>
      <c r="AA352" t="s">
        <v>494</v>
      </c>
      <c r="AC352" t="s">
        <v>139</v>
      </c>
      <c r="AD352" t="s">
        <v>1286</v>
      </c>
      <c r="AG352" t="s">
        <v>156</v>
      </c>
      <c r="AH352" t="s">
        <v>68</v>
      </c>
      <c r="AI352" t="s">
        <v>493</v>
      </c>
      <c r="AK352" t="s">
        <v>1287</v>
      </c>
    </row>
    <row r="353" spans="1:37" customFormat="1">
      <c r="A353" t="s">
        <v>23</v>
      </c>
      <c r="B353" t="s">
        <v>24</v>
      </c>
      <c r="C353" t="s">
        <v>179</v>
      </c>
      <c r="D353" t="s">
        <v>135</v>
      </c>
      <c r="E353" t="s">
        <v>1125</v>
      </c>
      <c r="F353" t="s">
        <v>931</v>
      </c>
      <c r="G353" t="s">
        <v>136</v>
      </c>
      <c r="H353" t="s">
        <v>146</v>
      </c>
      <c r="I353" t="s">
        <v>156</v>
      </c>
      <c r="J353" t="s">
        <v>26</v>
      </c>
      <c r="K353" t="s">
        <v>157</v>
      </c>
      <c r="L353" t="s">
        <v>150</v>
      </c>
      <c r="M353" t="s">
        <v>144</v>
      </c>
      <c r="N353" t="s">
        <v>1288</v>
      </c>
      <c r="O353">
        <v>1</v>
      </c>
      <c r="P353" t="s">
        <v>160</v>
      </c>
      <c r="R353">
        <v>817</v>
      </c>
      <c r="S353">
        <v>813.2</v>
      </c>
      <c r="T353" t="s">
        <v>145</v>
      </c>
      <c r="U353" t="s">
        <v>1218</v>
      </c>
      <c r="V353" t="s">
        <v>27</v>
      </c>
      <c r="W353" t="s">
        <v>66</v>
      </c>
      <c r="X353" t="s">
        <v>67</v>
      </c>
      <c r="Y353" t="s">
        <v>138</v>
      </c>
      <c r="AA353" t="s">
        <v>494</v>
      </c>
      <c r="AC353" t="s">
        <v>139</v>
      </c>
      <c r="AD353" t="s">
        <v>1289</v>
      </c>
      <c r="AG353" t="s">
        <v>156</v>
      </c>
      <c r="AH353" t="s">
        <v>68</v>
      </c>
      <c r="AI353" t="s">
        <v>493</v>
      </c>
      <c r="AK353" t="s">
        <v>1290</v>
      </c>
    </row>
    <row r="354" spans="1:37" customFormat="1">
      <c r="A354" t="s">
        <v>23</v>
      </c>
      <c r="B354" t="s">
        <v>24</v>
      </c>
      <c r="C354" t="s">
        <v>179</v>
      </c>
      <c r="D354" t="s">
        <v>135</v>
      </c>
      <c r="E354" t="s">
        <v>1125</v>
      </c>
      <c r="F354" t="s">
        <v>931</v>
      </c>
      <c r="G354" t="s">
        <v>136</v>
      </c>
      <c r="H354" t="s">
        <v>146</v>
      </c>
      <c r="I354" t="s">
        <v>156</v>
      </c>
      <c r="J354" t="s">
        <v>26</v>
      </c>
      <c r="K354" t="s">
        <v>157</v>
      </c>
      <c r="L354" t="s">
        <v>150</v>
      </c>
      <c r="M354" t="s">
        <v>144</v>
      </c>
      <c r="N354" t="s">
        <v>1291</v>
      </c>
      <c r="O354">
        <v>1</v>
      </c>
      <c r="P354" t="s">
        <v>160</v>
      </c>
      <c r="R354">
        <v>820</v>
      </c>
      <c r="S354">
        <v>813.2</v>
      </c>
      <c r="T354" t="s">
        <v>145</v>
      </c>
      <c r="U354" t="s">
        <v>1218</v>
      </c>
      <c r="V354" t="s">
        <v>27</v>
      </c>
      <c r="W354" t="s">
        <v>66</v>
      </c>
      <c r="X354" t="s">
        <v>67</v>
      </c>
      <c r="Y354" t="s">
        <v>138</v>
      </c>
      <c r="AA354" t="s">
        <v>494</v>
      </c>
      <c r="AC354" t="s">
        <v>139</v>
      </c>
      <c r="AD354" t="s">
        <v>1292</v>
      </c>
      <c r="AG354" t="s">
        <v>156</v>
      </c>
      <c r="AH354" t="s">
        <v>68</v>
      </c>
      <c r="AI354" t="s">
        <v>493</v>
      </c>
      <c r="AK354" t="s">
        <v>1293</v>
      </c>
    </row>
    <row r="355" spans="1:37" customFormat="1">
      <c r="A355" t="s">
        <v>23</v>
      </c>
      <c r="B355" t="s">
        <v>24</v>
      </c>
      <c r="C355" t="s">
        <v>179</v>
      </c>
      <c r="D355" t="s">
        <v>135</v>
      </c>
      <c r="E355" t="s">
        <v>1125</v>
      </c>
      <c r="F355" t="s">
        <v>931</v>
      </c>
      <c r="G355" t="s">
        <v>136</v>
      </c>
      <c r="H355" t="s">
        <v>146</v>
      </c>
      <c r="I355" t="s">
        <v>156</v>
      </c>
      <c r="J355" t="s">
        <v>26</v>
      </c>
      <c r="K355" t="s">
        <v>157</v>
      </c>
      <c r="L355" t="s">
        <v>150</v>
      </c>
      <c r="M355" t="s">
        <v>144</v>
      </c>
      <c r="N355" t="s">
        <v>1294</v>
      </c>
      <c r="O355">
        <v>1</v>
      </c>
      <c r="P355" t="s">
        <v>160</v>
      </c>
      <c r="R355">
        <v>819</v>
      </c>
      <c r="S355">
        <v>813.2</v>
      </c>
      <c r="T355" t="s">
        <v>145</v>
      </c>
      <c r="U355" t="s">
        <v>1218</v>
      </c>
      <c r="V355" t="s">
        <v>27</v>
      </c>
      <c r="W355" t="s">
        <v>66</v>
      </c>
      <c r="X355" t="s">
        <v>67</v>
      </c>
      <c r="Y355" t="s">
        <v>138</v>
      </c>
      <c r="AA355" t="s">
        <v>494</v>
      </c>
      <c r="AC355" t="s">
        <v>139</v>
      </c>
      <c r="AD355" t="s">
        <v>1295</v>
      </c>
      <c r="AG355" t="s">
        <v>156</v>
      </c>
      <c r="AH355" t="s">
        <v>68</v>
      </c>
      <c r="AI355" t="s">
        <v>493</v>
      </c>
      <c r="AK355" t="s">
        <v>1296</v>
      </c>
    </row>
    <row r="356" spans="1:37" customFormat="1">
      <c r="A356" t="s">
        <v>23</v>
      </c>
      <c r="B356" t="s">
        <v>24</v>
      </c>
      <c r="C356" t="s">
        <v>179</v>
      </c>
      <c r="D356" t="s">
        <v>135</v>
      </c>
      <c r="E356" t="s">
        <v>1125</v>
      </c>
      <c r="F356" t="s">
        <v>931</v>
      </c>
      <c r="G356" t="s">
        <v>136</v>
      </c>
      <c r="H356" t="s">
        <v>146</v>
      </c>
      <c r="I356" t="s">
        <v>156</v>
      </c>
      <c r="J356" t="s">
        <v>26</v>
      </c>
      <c r="K356" t="s">
        <v>157</v>
      </c>
      <c r="L356" t="s">
        <v>150</v>
      </c>
      <c r="M356" t="s">
        <v>144</v>
      </c>
      <c r="N356" t="s">
        <v>1297</v>
      </c>
      <c r="O356">
        <v>1</v>
      </c>
      <c r="P356" t="s">
        <v>160</v>
      </c>
      <c r="R356">
        <v>821</v>
      </c>
      <c r="S356">
        <v>813.2</v>
      </c>
      <c r="T356" t="s">
        <v>145</v>
      </c>
      <c r="U356" t="s">
        <v>1218</v>
      </c>
      <c r="V356" t="s">
        <v>27</v>
      </c>
      <c r="W356" t="s">
        <v>66</v>
      </c>
      <c r="X356" t="s">
        <v>67</v>
      </c>
      <c r="Y356" t="s">
        <v>138</v>
      </c>
      <c r="AA356" t="s">
        <v>494</v>
      </c>
      <c r="AC356" t="s">
        <v>139</v>
      </c>
      <c r="AD356" t="s">
        <v>1298</v>
      </c>
      <c r="AG356" t="s">
        <v>156</v>
      </c>
      <c r="AH356" t="s">
        <v>68</v>
      </c>
      <c r="AI356" t="s">
        <v>493</v>
      </c>
      <c r="AK356" t="s">
        <v>1299</v>
      </c>
    </row>
    <row r="357" spans="1:37" customFormat="1">
      <c r="A357" t="s">
        <v>23</v>
      </c>
      <c r="B357" t="s">
        <v>24</v>
      </c>
      <c r="C357" t="s">
        <v>179</v>
      </c>
      <c r="D357" t="s">
        <v>135</v>
      </c>
      <c r="E357" t="s">
        <v>1125</v>
      </c>
      <c r="F357" t="s">
        <v>931</v>
      </c>
      <c r="G357" t="s">
        <v>136</v>
      </c>
      <c r="H357" t="s">
        <v>146</v>
      </c>
      <c r="I357" t="s">
        <v>156</v>
      </c>
      <c r="J357" t="s">
        <v>26</v>
      </c>
      <c r="K357" t="s">
        <v>157</v>
      </c>
      <c r="L357" t="s">
        <v>150</v>
      </c>
      <c r="M357" t="s">
        <v>144</v>
      </c>
      <c r="N357" t="s">
        <v>1300</v>
      </c>
      <c r="O357">
        <v>1</v>
      </c>
      <c r="P357" t="s">
        <v>160</v>
      </c>
      <c r="R357">
        <v>818</v>
      </c>
      <c r="S357">
        <v>813.2</v>
      </c>
      <c r="T357" t="s">
        <v>145</v>
      </c>
      <c r="U357" t="s">
        <v>1218</v>
      </c>
      <c r="V357" t="s">
        <v>27</v>
      </c>
      <c r="W357" t="s">
        <v>66</v>
      </c>
      <c r="X357" t="s">
        <v>67</v>
      </c>
      <c r="Y357" t="s">
        <v>138</v>
      </c>
      <c r="AA357" t="s">
        <v>494</v>
      </c>
      <c r="AC357" t="s">
        <v>139</v>
      </c>
      <c r="AD357" t="s">
        <v>1301</v>
      </c>
      <c r="AG357" t="s">
        <v>156</v>
      </c>
      <c r="AH357" t="s">
        <v>68</v>
      </c>
      <c r="AI357" t="s">
        <v>493</v>
      </c>
      <c r="AK357" t="s">
        <v>1302</v>
      </c>
    </row>
    <row r="358" spans="1:37" customFormat="1">
      <c r="A358" t="s">
        <v>23</v>
      </c>
      <c r="B358" t="s">
        <v>24</v>
      </c>
      <c r="C358" t="s">
        <v>179</v>
      </c>
      <c r="D358" t="s">
        <v>135</v>
      </c>
      <c r="E358" t="s">
        <v>1125</v>
      </c>
      <c r="F358" t="s">
        <v>931</v>
      </c>
      <c r="G358" t="s">
        <v>136</v>
      </c>
      <c r="H358" t="s">
        <v>146</v>
      </c>
      <c r="I358" t="s">
        <v>156</v>
      </c>
      <c r="J358" t="s">
        <v>26</v>
      </c>
      <c r="K358" t="s">
        <v>157</v>
      </c>
      <c r="L358" t="s">
        <v>150</v>
      </c>
      <c r="M358" t="s">
        <v>144</v>
      </c>
      <c r="N358" t="s">
        <v>1303</v>
      </c>
      <c r="O358">
        <v>1</v>
      </c>
      <c r="P358" t="s">
        <v>160</v>
      </c>
      <c r="R358">
        <v>818</v>
      </c>
      <c r="S358">
        <v>813.2</v>
      </c>
      <c r="T358" t="s">
        <v>145</v>
      </c>
      <c r="U358" t="s">
        <v>1218</v>
      </c>
      <c r="V358" t="s">
        <v>27</v>
      </c>
      <c r="W358" t="s">
        <v>66</v>
      </c>
      <c r="X358" t="s">
        <v>67</v>
      </c>
      <c r="Y358" t="s">
        <v>138</v>
      </c>
      <c r="AA358" t="s">
        <v>494</v>
      </c>
      <c r="AC358" t="s">
        <v>139</v>
      </c>
      <c r="AD358" t="s">
        <v>1304</v>
      </c>
      <c r="AG358" t="s">
        <v>156</v>
      </c>
      <c r="AH358" t="s">
        <v>68</v>
      </c>
      <c r="AI358" t="s">
        <v>493</v>
      </c>
      <c r="AK358" t="s">
        <v>1305</v>
      </c>
    </row>
    <row r="359" spans="1:37" customFormat="1">
      <c r="A359" t="s">
        <v>23</v>
      </c>
      <c r="B359" t="s">
        <v>24</v>
      </c>
      <c r="C359" t="s">
        <v>179</v>
      </c>
      <c r="D359" t="s">
        <v>135</v>
      </c>
      <c r="E359" t="s">
        <v>1125</v>
      </c>
      <c r="F359" t="s">
        <v>931</v>
      </c>
      <c r="G359" t="s">
        <v>136</v>
      </c>
      <c r="H359" t="s">
        <v>146</v>
      </c>
      <c r="I359" t="s">
        <v>156</v>
      </c>
      <c r="J359" t="s">
        <v>26</v>
      </c>
      <c r="K359" t="s">
        <v>157</v>
      </c>
      <c r="L359" t="s">
        <v>150</v>
      </c>
      <c r="M359" t="s">
        <v>144</v>
      </c>
      <c r="N359" t="s">
        <v>1306</v>
      </c>
      <c r="O359">
        <v>1</v>
      </c>
      <c r="P359" t="s">
        <v>160</v>
      </c>
      <c r="R359">
        <v>820</v>
      </c>
      <c r="S359">
        <v>813.2</v>
      </c>
      <c r="T359" t="s">
        <v>145</v>
      </c>
      <c r="U359" t="s">
        <v>1218</v>
      </c>
      <c r="V359" t="s">
        <v>27</v>
      </c>
      <c r="W359" t="s">
        <v>66</v>
      </c>
      <c r="X359" t="s">
        <v>67</v>
      </c>
      <c r="Y359" t="s">
        <v>138</v>
      </c>
      <c r="AA359" t="s">
        <v>494</v>
      </c>
      <c r="AC359" t="s">
        <v>139</v>
      </c>
      <c r="AD359" t="s">
        <v>1307</v>
      </c>
      <c r="AG359" t="s">
        <v>156</v>
      </c>
      <c r="AH359" t="s">
        <v>68</v>
      </c>
      <c r="AI359" t="s">
        <v>493</v>
      </c>
      <c r="AK359" t="s">
        <v>1308</v>
      </c>
    </row>
    <row r="360" spans="1:37" customFormat="1">
      <c r="A360" t="s">
        <v>23</v>
      </c>
      <c r="B360" t="s">
        <v>24</v>
      </c>
      <c r="C360" t="s">
        <v>179</v>
      </c>
      <c r="D360" t="s">
        <v>135</v>
      </c>
      <c r="E360" t="s">
        <v>1125</v>
      </c>
      <c r="F360" t="s">
        <v>931</v>
      </c>
      <c r="G360" t="s">
        <v>136</v>
      </c>
      <c r="H360" t="s">
        <v>146</v>
      </c>
      <c r="I360" t="s">
        <v>156</v>
      </c>
      <c r="J360" t="s">
        <v>26</v>
      </c>
      <c r="K360" t="s">
        <v>157</v>
      </c>
      <c r="L360" t="s">
        <v>150</v>
      </c>
      <c r="M360" t="s">
        <v>144</v>
      </c>
      <c r="N360" t="s">
        <v>1309</v>
      </c>
      <c r="O360">
        <v>1</v>
      </c>
      <c r="P360" t="s">
        <v>160</v>
      </c>
      <c r="R360">
        <v>816</v>
      </c>
      <c r="S360">
        <v>813.2</v>
      </c>
      <c r="T360" t="s">
        <v>145</v>
      </c>
      <c r="U360" t="s">
        <v>1218</v>
      </c>
      <c r="V360" t="s">
        <v>27</v>
      </c>
      <c r="W360" t="s">
        <v>66</v>
      </c>
      <c r="X360" t="s">
        <v>67</v>
      </c>
      <c r="Y360" t="s">
        <v>138</v>
      </c>
      <c r="AA360" t="s">
        <v>494</v>
      </c>
      <c r="AC360" t="s">
        <v>139</v>
      </c>
      <c r="AD360" t="s">
        <v>1310</v>
      </c>
      <c r="AG360" t="s">
        <v>156</v>
      </c>
      <c r="AH360" t="s">
        <v>68</v>
      </c>
      <c r="AI360" t="s">
        <v>493</v>
      </c>
      <c r="AK360" t="s">
        <v>1311</v>
      </c>
    </row>
    <row r="361" spans="1:37" customFormat="1">
      <c r="A361" t="s">
        <v>23</v>
      </c>
      <c r="B361" t="s">
        <v>24</v>
      </c>
      <c r="C361" t="s">
        <v>179</v>
      </c>
      <c r="D361" t="s">
        <v>135</v>
      </c>
      <c r="E361" t="s">
        <v>1125</v>
      </c>
      <c r="F361" t="s">
        <v>931</v>
      </c>
      <c r="G361" t="s">
        <v>136</v>
      </c>
      <c r="H361" t="s">
        <v>146</v>
      </c>
      <c r="I361" t="s">
        <v>156</v>
      </c>
      <c r="J361" t="s">
        <v>26</v>
      </c>
      <c r="K361" t="s">
        <v>157</v>
      </c>
      <c r="L361" t="s">
        <v>150</v>
      </c>
      <c r="M361" t="s">
        <v>144</v>
      </c>
      <c r="N361" t="s">
        <v>1312</v>
      </c>
      <c r="O361">
        <v>1</v>
      </c>
      <c r="P361" t="s">
        <v>160</v>
      </c>
      <c r="R361">
        <v>814</v>
      </c>
      <c r="S361">
        <v>813.2</v>
      </c>
      <c r="T361" t="s">
        <v>145</v>
      </c>
      <c r="U361" t="s">
        <v>1218</v>
      </c>
      <c r="V361" t="s">
        <v>27</v>
      </c>
      <c r="W361" t="s">
        <v>66</v>
      </c>
      <c r="X361" t="s">
        <v>67</v>
      </c>
      <c r="Y361" t="s">
        <v>138</v>
      </c>
      <c r="AA361" t="s">
        <v>494</v>
      </c>
      <c r="AC361" t="s">
        <v>139</v>
      </c>
      <c r="AD361" t="s">
        <v>1313</v>
      </c>
      <c r="AG361" t="s">
        <v>156</v>
      </c>
      <c r="AH361" t="s">
        <v>68</v>
      </c>
      <c r="AI361" t="s">
        <v>493</v>
      </c>
      <c r="AK361" t="s">
        <v>1314</v>
      </c>
    </row>
    <row r="362" spans="1:37" customFormat="1">
      <c r="A362" t="s">
        <v>23</v>
      </c>
      <c r="B362" t="s">
        <v>24</v>
      </c>
      <c r="C362" t="s">
        <v>177</v>
      </c>
      <c r="D362" t="s">
        <v>135</v>
      </c>
      <c r="E362" t="s">
        <v>1128</v>
      </c>
      <c r="F362" t="s">
        <v>931</v>
      </c>
      <c r="G362" t="s">
        <v>136</v>
      </c>
      <c r="H362" t="s">
        <v>146</v>
      </c>
      <c r="I362" t="s">
        <v>156</v>
      </c>
      <c r="J362" t="s">
        <v>25</v>
      </c>
      <c r="K362" t="s">
        <v>157</v>
      </c>
      <c r="L362" t="s">
        <v>150</v>
      </c>
      <c r="M362" t="s">
        <v>144</v>
      </c>
      <c r="N362" t="s">
        <v>1315</v>
      </c>
      <c r="O362">
        <v>26</v>
      </c>
      <c r="P362" t="s">
        <v>159</v>
      </c>
      <c r="R362">
        <v>559</v>
      </c>
      <c r="S362">
        <v>528.58000000000004</v>
      </c>
      <c r="T362" t="s">
        <v>145</v>
      </c>
      <c r="U362" t="s">
        <v>988</v>
      </c>
      <c r="V362" t="s">
        <v>27</v>
      </c>
      <c r="W362" t="s">
        <v>66</v>
      </c>
      <c r="X362" t="s">
        <v>67</v>
      </c>
      <c r="Y362" t="s">
        <v>138</v>
      </c>
      <c r="AA362" t="s">
        <v>494</v>
      </c>
      <c r="AC362" t="s">
        <v>139</v>
      </c>
      <c r="AD362" t="s">
        <v>1316</v>
      </c>
      <c r="AG362" t="s">
        <v>156</v>
      </c>
      <c r="AH362" t="s">
        <v>68</v>
      </c>
      <c r="AI362" t="s">
        <v>493</v>
      </c>
    </row>
    <row r="363" spans="1:37" customFormat="1">
      <c r="A363" t="s">
        <v>23</v>
      </c>
      <c r="B363" t="s">
        <v>24</v>
      </c>
      <c r="C363" t="s">
        <v>179</v>
      </c>
      <c r="D363" t="s">
        <v>135</v>
      </c>
      <c r="E363" t="s">
        <v>1126</v>
      </c>
      <c r="F363" t="s">
        <v>931</v>
      </c>
      <c r="G363" t="s">
        <v>136</v>
      </c>
      <c r="H363" t="s">
        <v>146</v>
      </c>
      <c r="I363" t="s">
        <v>156</v>
      </c>
      <c r="J363" t="s">
        <v>26</v>
      </c>
      <c r="K363" t="s">
        <v>157</v>
      </c>
      <c r="L363" t="s">
        <v>143</v>
      </c>
      <c r="M363" t="s">
        <v>144</v>
      </c>
      <c r="N363" t="s">
        <v>1317</v>
      </c>
      <c r="O363">
        <v>1</v>
      </c>
      <c r="P363" t="s">
        <v>160</v>
      </c>
      <c r="R363">
        <v>813</v>
      </c>
      <c r="S363">
        <v>808.8</v>
      </c>
      <c r="T363" t="s">
        <v>145</v>
      </c>
      <c r="U363" t="s">
        <v>1451</v>
      </c>
      <c r="V363" t="s">
        <v>27</v>
      </c>
      <c r="W363" t="s">
        <v>66</v>
      </c>
      <c r="X363" t="s">
        <v>67</v>
      </c>
      <c r="Y363" t="s">
        <v>138</v>
      </c>
      <c r="AA363" t="s">
        <v>494</v>
      </c>
      <c r="AC363" t="s">
        <v>139</v>
      </c>
      <c r="AD363" t="s">
        <v>1452</v>
      </c>
      <c r="AG363" t="s">
        <v>156</v>
      </c>
      <c r="AH363" t="s">
        <v>68</v>
      </c>
      <c r="AI363" t="s">
        <v>493</v>
      </c>
      <c r="AK363" t="s">
        <v>1318</v>
      </c>
    </row>
    <row r="364" spans="1:37" customFormat="1">
      <c r="A364" t="s">
        <v>23</v>
      </c>
      <c r="B364" t="s">
        <v>24</v>
      </c>
      <c r="C364" t="s">
        <v>179</v>
      </c>
      <c r="D364" t="s">
        <v>135</v>
      </c>
      <c r="E364" t="s">
        <v>1126</v>
      </c>
      <c r="F364" t="s">
        <v>931</v>
      </c>
      <c r="G364" t="s">
        <v>136</v>
      </c>
      <c r="H364" t="s">
        <v>146</v>
      </c>
      <c r="I364" t="s">
        <v>156</v>
      </c>
      <c r="J364" t="s">
        <v>26</v>
      </c>
      <c r="K364" t="s">
        <v>157</v>
      </c>
      <c r="L364" t="s">
        <v>143</v>
      </c>
      <c r="M364" t="s">
        <v>144</v>
      </c>
      <c r="N364" t="s">
        <v>1319</v>
      </c>
      <c r="O364">
        <v>1</v>
      </c>
      <c r="P364" t="s">
        <v>160</v>
      </c>
      <c r="R364">
        <v>815</v>
      </c>
      <c r="S364">
        <v>808.8</v>
      </c>
      <c r="T364" t="s">
        <v>145</v>
      </c>
      <c r="U364" t="s">
        <v>1451</v>
      </c>
      <c r="V364" t="s">
        <v>27</v>
      </c>
      <c r="W364" t="s">
        <v>66</v>
      </c>
      <c r="X364" t="s">
        <v>67</v>
      </c>
      <c r="Y364" t="s">
        <v>138</v>
      </c>
      <c r="AA364" t="s">
        <v>494</v>
      </c>
      <c r="AC364" t="s">
        <v>139</v>
      </c>
      <c r="AD364" t="s">
        <v>1453</v>
      </c>
      <c r="AG364" t="s">
        <v>156</v>
      </c>
      <c r="AH364" t="s">
        <v>68</v>
      </c>
      <c r="AI364" t="s">
        <v>493</v>
      </c>
      <c r="AK364" t="s">
        <v>1320</v>
      </c>
    </row>
    <row r="365" spans="1:37" customFormat="1">
      <c r="A365" t="s">
        <v>23</v>
      </c>
      <c r="B365" t="s">
        <v>24</v>
      </c>
      <c r="C365" t="s">
        <v>179</v>
      </c>
      <c r="D365" t="s">
        <v>135</v>
      </c>
      <c r="E365" t="s">
        <v>1126</v>
      </c>
      <c r="F365" t="s">
        <v>931</v>
      </c>
      <c r="G365" t="s">
        <v>136</v>
      </c>
      <c r="H365" t="s">
        <v>146</v>
      </c>
      <c r="I365" t="s">
        <v>156</v>
      </c>
      <c r="J365" t="s">
        <v>26</v>
      </c>
      <c r="K365" t="s">
        <v>157</v>
      </c>
      <c r="L365" t="s">
        <v>143</v>
      </c>
      <c r="M365" t="s">
        <v>144</v>
      </c>
      <c r="N365" t="s">
        <v>1321</v>
      </c>
      <c r="O365">
        <v>1</v>
      </c>
      <c r="P365" t="s">
        <v>160</v>
      </c>
      <c r="R365">
        <v>816</v>
      </c>
      <c r="S365">
        <v>808.8</v>
      </c>
      <c r="T365" t="s">
        <v>145</v>
      </c>
      <c r="U365" t="s">
        <v>1451</v>
      </c>
      <c r="V365" t="s">
        <v>27</v>
      </c>
      <c r="W365" t="s">
        <v>66</v>
      </c>
      <c r="X365" t="s">
        <v>67</v>
      </c>
      <c r="Y365" t="s">
        <v>138</v>
      </c>
      <c r="AA365" t="s">
        <v>494</v>
      </c>
      <c r="AC365" t="s">
        <v>139</v>
      </c>
      <c r="AD365" t="s">
        <v>1454</v>
      </c>
      <c r="AG365" t="s">
        <v>156</v>
      </c>
      <c r="AH365" t="s">
        <v>68</v>
      </c>
      <c r="AI365" t="s">
        <v>493</v>
      </c>
      <c r="AK365" t="s">
        <v>1322</v>
      </c>
    </row>
    <row r="366" spans="1:37" customFormat="1">
      <c r="A366" t="s">
        <v>23</v>
      </c>
      <c r="B366" t="s">
        <v>24</v>
      </c>
      <c r="C366" t="s">
        <v>179</v>
      </c>
      <c r="D366" t="s">
        <v>135</v>
      </c>
      <c r="E366" t="s">
        <v>1126</v>
      </c>
      <c r="F366" t="s">
        <v>931</v>
      </c>
      <c r="G366" t="s">
        <v>136</v>
      </c>
      <c r="H366" t="s">
        <v>146</v>
      </c>
      <c r="I366" t="s">
        <v>156</v>
      </c>
      <c r="J366" t="s">
        <v>26</v>
      </c>
      <c r="K366" t="s">
        <v>157</v>
      </c>
      <c r="L366" t="s">
        <v>143</v>
      </c>
      <c r="M366" t="s">
        <v>144</v>
      </c>
      <c r="N366" t="s">
        <v>1323</v>
      </c>
      <c r="O366">
        <v>1</v>
      </c>
      <c r="P366" t="s">
        <v>160</v>
      </c>
      <c r="R366">
        <v>816</v>
      </c>
      <c r="S366">
        <v>808.8</v>
      </c>
      <c r="T366" t="s">
        <v>145</v>
      </c>
      <c r="U366" t="s">
        <v>1451</v>
      </c>
      <c r="V366" t="s">
        <v>27</v>
      </c>
      <c r="W366" t="s">
        <v>66</v>
      </c>
      <c r="X366" t="s">
        <v>67</v>
      </c>
      <c r="Y366" t="s">
        <v>138</v>
      </c>
      <c r="AA366" t="s">
        <v>494</v>
      </c>
      <c r="AC366" t="s">
        <v>139</v>
      </c>
      <c r="AD366" t="s">
        <v>1455</v>
      </c>
      <c r="AG366" t="s">
        <v>156</v>
      </c>
      <c r="AH366" t="s">
        <v>68</v>
      </c>
      <c r="AI366" t="s">
        <v>493</v>
      </c>
      <c r="AK366" t="s">
        <v>1324</v>
      </c>
    </row>
    <row r="367" spans="1:37" customFormat="1">
      <c r="A367" t="s">
        <v>23</v>
      </c>
      <c r="B367" t="s">
        <v>24</v>
      </c>
      <c r="C367" t="s">
        <v>179</v>
      </c>
      <c r="D367" t="s">
        <v>135</v>
      </c>
      <c r="E367" t="s">
        <v>1126</v>
      </c>
      <c r="F367" t="s">
        <v>931</v>
      </c>
      <c r="G367" t="s">
        <v>136</v>
      </c>
      <c r="H367" t="s">
        <v>146</v>
      </c>
      <c r="I367" t="s">
        <v>156</v>
      </c>
      <c r="J367" t="s">
        <v>26</v>
      </c>
      <c r="K367" t="s">
        <v>157</v>
      </c>
      <c r="L367" t="s">
        <v>143</v>
      </c>
      <c r="M367" t="s">
        <v>144</v>
      </c>
      <c r="N367" t="s">
        <v>1325</v>
      </c>
      <c r="O367">
        <v>1</v>
      </c>
      <c r="P367" t="s">
        <v>160</v>
      </c>
      <c r="R367">
        <v>816</v>
      </c>
      <c r="S367">
        <v>808.8</v>
      </c>
      <c r="T367" t="s">
        <v>145</v>
      </c>
      <c r="U367" t="s">
        <v>1451</v>
      </c>
      <c r="V367" t="s">
        <v>27</v>
      </c>
      <c r="W367" t="s">
        <v>66</v>
      </c>
      <c r="X367" t="s">
        <v>67</v>
      </c>
      <c r="Y367" t="s">
        <v>138</v>
      </c>
      <c r="AA367" t="s">
        <v>494</v>
      </c>
      <c r="AC367" t="s">
        <v>139</v>
      </c>
      <c r="AD367" t="s">
        <v>1456</v>
      </c>
      <c r="AG367" t="s">
        <v>156</v>
      </c>
      <c r="AH367" t="s">
        <v>68</v>
      </c>
      <c r="AI367" t="s">
        <v>493</v>
      </c>
      <c r="AK367" t="s">
        <v>1326</v>
      </c>
    </row>
    <row r="368" spans="1:37" customFormat="1">
      <c r="A368" t="s">
        <v>23</v>
      </c>
      <c r="B368" t="s">
        <v>24</v>
      </c>
      <c r="C368" t="s">
        <v>179</v>
      </c>
      <c r="D368" t="s">
        <v>135</v>
      </c>
      <c r="E368" t="s">
        <v>1126</v>
      </c>
      <c r="F368" t="s">
        <v>931</v>
      </c>
      <c r="G368" t="s">
        <v>136</v>
      </c>
      <c r="H368" t="s">
        <v>146</v>
      </c>
      <c r="I368" t="s">
        <v>156</v>
      </c>
      <c r="J368" t="s">
        <v>26</v>
      </c>
      <c r="K368" t="s">
        <v>157</v>
      </c>
      <c r="L368" t="s">
        <v>143</v>
      </c>
      <c r="M368" t="s">
        <v>144</v>
      </c>
      <c r="N368" t="s">
        <v>1327</v>
      </c>
      <c r="O368">
        <v>1</v>
      </c>
      <c r="P368" t="s">
        <v>160</v>
      </c>
      <c r="R368">
        <v>814</v>
      </c>
      <c r="S368">
        <v>808.8</v>
      </c>
      <c r="T368" t="s">
        <v>145</v>
      </c>
      <c r="U368" t="s">
        <v>1451</v>
      </c>
      <c r="V368" t="s">
        <v>27</v>
      </c>
      <c r="W368" t="s">
        <v>66</v>
      </c>
      <c r="X368" t="s">
        <v>67</v>
      </c>
      <c r="Y368" t="s">
        <v>138</v>
      </c>
      <c r="AA368" t="s">
        <v>494</v>
      </c>
      <c r="AC368" t="s">
        <v>139</v>
      </c>
      <c r="AD368" t="s">
        <v>1457</v>
      </c>
      <c r="AG368" t="s">
        <v>156</v>
      </c>
      <c r="AH368" t="s">
        <v>68</v>
      </c>
      <c r="AI368" t="s">
        <v>493</v>
      </c>
      <c r="AK368" t="s">
        <v>1328</v>
      </c>
    </row>
    <row r="369" spans="1:37" customFormat="1">
      <c r="A369" t="s">
        <v>23</v>
      </c>
      <c r="B369" t="s">
        <v>24</v>
      </c>
      <c r="C369" t="s">
        <v>179</v>
      </c>
      <c r="D369" t="s">
        <v>135</v>
      </c>
      <c r="E369" t="s">
        <v>1126</v>
      </c>
      <c r="F369" t="s">
        <v>931</v>
      </c>
      <c r="G369" t="s">
        <v>136</v>
      </c>
      <c r="H369" t="s">
        <v>146</v>
      </c>
      <c r="I369" t="s">
        <v>156</v>
      </c>
      <c r="J369" t="s">
        <v>26</v>
      </c>
      <c r="K369" t="s">
        <v>157</v>
      </c>
      <c r="L369" t="s">
        <v>143</v>
      </c>
      <c r="M369" t="s">
        <v>144</v>
      </c>
      <c r="N369" t="s">
        <v>1329</v>
      </c>
      <c r="O369">
        <v>1</v>
      </c>
      <c r="P369" t="s">
        <v>160</v>
      </c>
      <c r="R369">
        <v>814</v>
      </c>
      <c r="S369">
        <v>808.8</v>
      </c>
      <c r="T369" t="s">
        <v>145</v>
      </c>
      <c r="U369" t="s">
        <v>1451</v>
      </c>
      <c r="V369" t="s">
        <v>27</v>
      </c>
      <c r="W369" t="s">
        <v>66</v>
      </c>
      <c r="X369" t="s">
        <v>67</v>
      </c>
      <c r="Y369" t="s">
        <v>138</v>
      </c>
      <c r="AA369" t="s">
        <v>494</v>
      </c>
      <c r="AC369" t="s">
        <v>139</v>
      </c>
      <c r="AD369" t="s">
        <v>1458</v>
      </c>
      <c r="AG369" t="s">
        <v>156</v>
      </c>
      <c r="AH369" t="s">
        <v>68</v>
      </c>
      <c r="AI369" t="s">
        <v>493</v>
      </c>
      <c r="AK369" t="s">
        <v>1330</v>
      </c>
    </row>
    <row r="370" spans="1:37" customFormat="1">
      <c r="A370" t="s">
        <v>23</v>
      </c>
      <c r="B370" t="s">
        <v>24</v>
      </c>
      <c r="C370" t="s">
        <v>179</v>
      </c>
      <c r="D370" t="s">
        <v>135</v>
      </c>
      <c r="E370" t="s">
        <v>1126</v>
      </c>
      <c r="F370" t="s">
        <v>931</v>
      </c>
      <c r="G370" t="s">
        <v>136</v>
      </c>
      <c r="H370" t="s">
        <v>146</v>
      </c>
      <c r="I370" t="s">
        <v>156</v>
      </c>
      <c r="J370" t="s">
        <v>26</v>
      </c>
      <c r="K370" t="s">
        <v>157</v>
      </c>
      <c r="L370" t="s">
        <v>143</v>
      </c>
      <c r="M370" t="s">
        <v>144</v>
      </c>
      <c r="N370" t="s">
        <v>1331</v>
      </c>
      <c r="O370">
        <v>1</v>
      </c>
      <c r="P370" t="s">
        <v>160</v>
      </c>
      <c r="R370">
        <v>815</v>
      </c>
      <c r="S370">
        <v>808.8</v>
      </c>
      <c r="T370" t="s">
        <v>145</v>
      </c>
      <c r="U370" t="s">
        <v>1451</v>
      </c>
      <c r="V370" t="s">
        <v>27</v>
      </c>
      <c r="W370" t="s">
        <v>66</v>
      </c>
      <c r="X370" t="s">
        <v>67</v>
      </c>
      <c r="Y370" t="s">
        <v>138</v>
      </c>
      <c r="AA370" t="s">
        <v>494</v>
      </c>
      <c r="AC370" t="s">
        <v>139</v>
      </c>
      <c r="AD370" t="s">
        <v>1459</v>
      </c>
      <c r="AG370" t="s">
        <v>156</v>
      </c>
      <c r="AH370" t="s">
        <v>68</v>
      </c>
      <c r="AI370" t="s">
        <v>493</v>
      </c>
      <c r="AK370" t="s">
        <v>1332</v>
      </c>
    </row>
    <row r="371" spans="1:37" customFormat="1">
      <c r="A371" t="s">
        <v>23</v>
      </c>
      <c r="B371" t="s">
        <v>24</v>
      </c>
      <c r="C371" t="s">
        <v>179</v>
      </c>
      <c r="D371" t="s">
        <v>135</v>
      </c>
      <c r="E371" t="s">
        <v>1126</v>
      </c>
      <c r="F371" t="s">
        <v>931</v>
      </c>
      <c r="G371" t="s">
        <v>136</v>
      </c>
      <c r="H371" t="s">
        <v>146</v>
      </c>
      <c r="I371" t="s">
        <v>156</v>
      </c>
      <c r="J371" t="s">
        <v>26</v>
      </c>
      <c r="K371" t="s">
        <v>157</v>
      </c>
      <c r="L371" t="s">
        <v>143</v>
      </c>
      <c r="M371" t="s">
        <v>144</v>
      </c>
      <c r="N371" t="s">
        <v>1333</v>
      </c>
      <c r="O371">
        <v>1</v>
      </c>
      <c r="P371" t="s">
        <v>160</v>
      </c>
      <c r="R371">
        <v>815</v>
      </c>
      <c r="S371">
        <v>808.8</v>
      </c>
      <c r="T371" t="s">
        <v>145</v>
      </c>
      <c r="U371" t="s">
        <v>1451</v>
      </c>
      <c r="V371" t="s">
        <v>27</v>
      </c>
      <c r="W371" t="s">
        <v>66</v>
      </c>
      <c r="X371" t="s">
        <v>67</v>
      </c>
      <c r="Y371" t="s">
        <v>138</v>
      </c>
      <c r="AA371" t="s">
        <v>494</v>
      </c>
      <c r="AC371" t="s">
        <v>139</v>
      </c>
      <c r="AD371" t="s">
        <v>1460</v>
      </c>
      <c r="AG371" t="s">
        <v>156</v>
      </c>
      <c r="AH371" t="s">
        <v>68</v>
      </c>
      <c r="AI371" t="s">
        <v>493</v>
      </c>
      <c r="AK371" t="s">
        <v>1334</v>
      </c>
    </row>
    <row r="372" spans="1:37" customFormat="1">
      <c r="A372" t="s">
        <v>23</v>
      </c>
      <c r="B372" t="s">
        <v>24</v>
      </c>
      <c r="C372" t="s">
        <v>179</v>
      </c>
      <c r="D372" t="s">
        <v>135</v>
      </c>
      <c r="E372" t="s">
        <v>1126</v>
      </c>
      <c r="F372" t="s">
        <v>931</v>
      </c>
      <c r="G372" t="s">
        <v>136</v>
      </c>
      <c r="H372" t="s">
        <v>146</v>
      </c>
      <c r="I372" t="s">
        <v>156</v>
      </c>
      <c r="J372" t="s">
        <v>26</v>
      </c>
      <c r="K372" t="s">
        <v>157</v>
      </c>
      <c r="L372" t="s">
        <v>143</v>
      </c>
      <c r="M372" t="s">
        <v>144</v>
      </c>
      <c r="N372" t="s">
        <v>1335</v>
      </c>
      <c r="O372">
        <v>1</v>
      </c>
      <c r="P372" t="s">
        <v>160</v>
      </c>
      <c r="R372">
        <v>816</v>
      </c>
      <c r="S372">
        <v>808.8</v>
      </c>
      <c r="T372" t="s">
        <v>145</v>
      </c>
      <c r="U372" t="s">
        <v>1451</v>
      </c>
      <c r="V372" t="s">
        <v>27</v>
      </c>
      <c r="W372" t="s">
        <v>66</v>
      </c>
      <c r="X372" t="s">
        <v>67</v>
      </c>
      <c r="Y372" t="s">
        <v>138</v>
      </c>
      <c r="AA372" t="s">
        <v>494</v>
      </c>
      <c r="AC372" t="s">
        <v>139</v>
      </c>
      <c r="AD372" t="s">
        <v>1461</v>
      </c>
      <c r="AG372" t="s">
        <v>156</v>
      </c>
      <c r="AH372" t="s">
        <v>68</v>
      </c>
      <c r="AI372" t="s">
        <v>493</v>
      </c>
      <c r="AK372" t="s">
        <v>1336</v>
      </c>
    </row>
    <row r="373" spans="1:37" customFormat="1">
      <c r="A373" t="s">
        <v>23</v>
      </c>
      <c r="B373" t="s">
        <v>24</v>
      </c>
      <c r="C373" t="s">
        <v>179</v>
      </c>
      <c r="D373" t="s">
        <v>135</v>
      </c>
      <c r="E373" t="s">
        <v>1126</v>
      </c>
      <c r="F373" t="s">
        <v>931</v>
      </c>
      <c r="G373" t="s">
        <v>136</v>
      </c>
      <c r="H373" t="s">
        <v>146</v>
      </c>
      <c r="I373" t="s">
        <v>156</v>
      </c>
      <c r="J373" t="s">
        <v>26</v>
      </c>
      <c r="K373" t="s">
        <v>157</v>
      </c>
      <c r="L373" t="s">
        <v>143</v>
      </c>
      <c r="M373" t="s">
        <v>144</v>
      </c>
      <c r="N373" t="s">
        <v>1337</v>
      </c>
      <c r="O373">
        <v>1</v>
      </c>
      <c r="P373" t="s">
        <v>160</v>
      </c>
      <c r="R373">
        <v>816</v>
      </c>
      <c r="S373">
        <v>808.8</v>
      </c>
      <c r="T373" t="s">
        <v>145</v>
      </c>
      <c r="U373" t="s">
        <v>1451</v>
      </c>
      <c r="V373" t="s">
        <v>27</v>
      </c>
      <c r="W373" t="s">
        <v>66</v>
      </c>
      <c r="X373" t="s">
        <v>67</v>
      </c>
      <c r="Y373" t="s">
        <v>138</v>
      </c>
      <c r="AA373" t="s">
        <v>494</v>
      </c>
      <c r="AC373" t="s">
        <v>139</v>
      </c>
      <c r="AD373" t="s">
        <v>1462</v>
      </c>
      <c r="AG373" t="s">
        <v>156</v>
      </c>
      <c r="AH373" t="s">
        <v>68</v>
      </c>
      <c r="AI373" t="s">
        <v>493</v>
      </c>
      <c r="AK373" t="s">
        <v>1338</v>
      </c>
    </row>
    <row r="374" spans="1:37" customFormat="1">
      <c r="A374" t="s">
        <v>23</v>
      </c>
      <c r="B374" t="s">
        <v>24</v>
      </c>
      <c r="C374" t="s">
        <v>179</v>
      </c>
      <c r="D374" t="s">
        <v>135</v>
      </c>
      <c r="E374" t="s">
        <v>1126</v>
      </c>
      <c r="F374" t="s">
        <v>931</v>
      </c>
      <c r="G374" t="s">
        <v>136</v>
      </c>
      <c r="H374" t="s">
        <v>146</v>
      </c>
      <c r="I374" t="s">
        <v>156</v>
      </c>
      <c r="J374" t="s">
        <v>26</v>
      </c>
      <c r="K374" t="s">
        <v>157</v>
      </c>
      <c r="L374" t="s">
        <v>143</v>
      </c>
      <c r="M374" t="s">
        <v>144</v>
      </c>
      <c r="N374" t="s">
        <v>1339</v>
      </c>
      <c r="O374">
        <v>1</v>
      </c>
      <c r="P374" t="s">
        <v>160</v>
      </c>
      <c r="R374">
        <v>816</v>
      </c>
      <c r="S374">
        <v>808.8</v>
      </c>
      <c r="T374" t="s">
        <v>145</v>
      </c>
      <c r="U374" t="s">
        <v>1451</v>
      </c>
      <c r="V374" t="s">
        <v>27</v>
      </c>
      <c r="W374" t="s">
        <v>66</v>
      </c>
      <c r="X374" t="s">
        <v>67</v>
      </c>
      <c r="Y374" t="s">
        <v>138</v>
      </c>
      <c r="AA374" t="s">
        <v>494</v>
      </c>
      <c r="AC374" t="s">
        <v>139</v>
      </c>
      <c r="AD374" t="s">
        <v>1463</v>
      </c>
      <c r="AG374" t="s">
        <v>156</v>
      </c>
      <c r="AH374" t="s">
        <v>68</v>
      </c>
      <c r="AI374" t="s">
        <v>493</v>
      </c>
      <c r="AK374" t="s">
        <v>1340</v>
      </c>
    </row>
    <row r="375" spans="1:37" customFormat="1">
      <c r="A375" t="s">
        <v>23</v>
      </c>
      <c r="B375" t="s">
        <v>24</v>
      </c>
      <c r="C375" t="s">
        <v>179</v>
      </c>
      <c r="D375" t="s">
        <v>135</v>
      </c>
      <c r="E375" t="s">
        <v>1126</v>
      </c>
      <c r="F375" t="s">
        <v>931</v>
      </c>
      <c r="G375" t="s">
        <v>136</v>
      </c>
      <c r="H375" t="s">
        <v>146</v>
      </c>
      <c r="I375" t="s">
        <v>156</v>
      </c>
      <c r="J375" t="s">
        <v>26</v>
      </c>
      <c r="K375" t="s">
        <v>157</v>
      </c>
      <c r="L375" t="s">
        <v>143</v>
      </c>
      <c r="M375" t="s">
        <v>144</v>
      </c>
      <c r="N375" t="s">
        <v>1341</v>
      </c>
      <c r="O375">
        <v>1</v>
      </c>
      <c r="P375" t="s">
        <v>160</v>
      </c>
      <c r="R375">
        <v>816</v>
      </c>
      <c r="S375">
        <v>808.8</v>
      </c>
      <c r="T375" t="s">
        <v>145</v>
      </c>
      <c r="U375" t="s">
        <v>1451</v>
      </c>
      <c r="V375" t="s">
        <v>27</v>
      </c>
      <c r="W375" t="s">
        <v>66</v>
      </c>
      <c r="X375" t="s">
        <v>67</v>
      </c>
      <c r="Y375" t="s">
        <v>138</v>
      </c>
      <c r="AA375" t="s">
        <v>494</v>
      </c>
      <c r="AC375" t="s">
        <v>139</v>
      </c>
      <c r="AD375" t="s">
        <v>1464</v>
      </c>
      <c r="AG375" t="s">
        <v>156</v>
      </c>
      <c r="AH375" t="s">
        <v>68</v>
      </c>
      <c r="AI375" t="s">
        <v>493</v>
      </c>
      <c r="AK375" t="s">
        <v>1342</v>
      </c>
    </row>
    <row r="376" spans="1:37" customFormat="1">
      <c r="A376" t="s">
        <v>23</v>
      </c>
      <c r="B376" t="s">
        <v>24</v>
      </c>
      <c r="C376" t="s">
        <v>179</v>
      </c>
      <c r="D376" t="s">
        <v>135</v>
      </c>
      <c r="E376" t="s">
        <v>1126</v>
      </c>
      <c r="F376" t="s">
        <v>931</v>
      </c>
      <c r="G376" t="s">
        <v>136</v>
      </c>
      <c r="H376" t="s">
        <v>146</v>
      </c>
      <c r="I376" t="s">
        <v>156</v>
      </c>
      <c r="J376" t="s">
        <v>26</v>
      </c>
      <c r="K376" t="s">
        <v>157</v>
      </c>
      <c r="L376" t="s">
        <v>143</v>
      </c>
      <c r="M376" t="s">
        <v>144</v>
      </c>
      <c r="N376" t="s">
        <v>1343</v>
      </c>
      <c r="O376">
        <v>1</v>
      </c>
      <c r="P376" t="s">
        <v>160</v>
      </c>
      <c r="R376">
        <v>816</v>
      </c>
      <c r="S376">
        <v>808.8</v>
      </c>
      <c r="T376" t="s">
        <v>145</v>
      </c>
      <c r="U376" t="s">
        <v>1451</v>
      </c>
      <c r="V376" t="s">
        <v>27</v>
      </c>
      <c r="W376" t="s">
        <v>66</v>
      </c>
      <c r="X376" t="s">
        <v>67</v>
      </c>
      <c r="Y376" t="s">
        <v>138</v>
      </c>
      <c r="AA376" t="s">
        <v>494</v>
      </c>
      <c r="AC376" t="s">
        <v>139</v>
      </c>
      <c r="AD376" t="s">
        <v>1465</v>
      </c>
      <c r="AG376" t="s">
        <v>156</v>
      </c>
      <c r="AH376" t="s">
        <v>68</v>
      </c>
      <c r="AI376" t="s">
        <v>493</v>
      </c>
      <c r="AK376" t="s">
        <v>1344</v>
      </c>
    </row>
    <row r="377" spans="1:37" customFormat="1">
      <c r="A377" t="s">
        <v>23</v>
      </c>
      <c r="B377" t="s">
        <v>24</v>
      </c>
      <c r="C377" t="s">
        <v>179</v>
      </c>
      <c r="D377" t="s">
        <v>135</v>
      </c>
      <c r="E377" t="s">
        <v>1126</v>
      </c>
      <c r="F377" t="s">
        <v>931</v>
      </c>
      <c r="G377" t="s">
        <v>136</v>
      </c>
      <c r="H377" t="s">
        <v>146</v>
      </c>
      <c r="I377" t="s">
        <v>156</v>
      </c>
      <c r="J377" t="s">
        <v>26</v>
      </c>
      <c r="K377" t="s">
        <v>157</v>
      </c>
      <c r="L377" t="s">
        <v>143</v>
      </c>
      <c r="M377" t="s">
        <v>144</v>
      </c>
      <c r="N377" t="s">
        <v>1345</v>
      </c>
      <c r="O377">
        <v>1</v>
      </c>
      <c r="P377" t="s">
        <v>160</v>
      </c>
      <c r="R377">
        <v>812</v>
      </c>
      <c r="S377">
        <v>808.8</v>
      </c>
      <c r="T377" t="s">
        <v>145</v>
      </c>
      <c r="U377" t="s">
        <v>1451</v>
      </c>
      <c r="V377" t="s">
        <v>27</v>
      </c>
      <c r="W377" t="s">
        <v>66</v>
      </c>
      <c r="X377" t="s">
        <v>67</v>
      </c>
      <c r="Y377" t="s">
        <v>138</v>
      </c>
      <c r="AA377" t="s">
        <v>494</v>
      </c>
      <c r="AC377" t="s">
        <v>139</v>
      </c>
      <c r="AD377" t="s">
        <v>1466</v>
      </c>
      <c r="AG377" t="s">
        <v>156</v>
      </c>
      <c r="AH377" t="s">
        <v>68</v>
      </c>
      <c r="AI377" t="s">
        <v>493</v>
      </c>
      <c r="AK377" t="s">
        <v>1346</v>
      </c>
    </row>
    <row r="378" spans="1:37" customFormat="1">
      <c r="A378" t="s">
        <v>23</v>
      </c>
      <c r="B378" t="s">
        <v>24</v>
      </c>
      <c r="C378" t="s">
        <v>179</v>
      </c>
      <c r="D378" t="s">
        <v>135</v>
      </c>
      <c r="E378" t="s">
        <v>1126</v>
      </c>
      <c r="F378" t="s">
        <v>931</v>
      </c>
      <c r="G378" t="s">
        <v>136</v>
      </c>
      <c r="H378" t="s">
        <v>146</v>
      </c>
      <c r="I378" t="s">
        <v>156</v>
      </c>
      <c r="J378" t="s">
        <v>26</v>
      </c>
      <c r="K378" t="s">
        <v>157</v>
      </c>
      <c r="L378" t="s">
        <v>143</v>
      </c>
      <c r="M378" t="s">
        <v>144</v>
      </c>
      <c r="N378" t="s">
        <v>1347</v>
      </c>
      <c r="O378">
        <v>1</v>
      </c>
      <c r="P378" t="s">
        <v>160</v>
      </c>
      <c r="R378">
        <v>810</v>
      </c>
      <c r="S378">
        <v>808.8</v>
      </c>
      <c r="T378" t="s">
        <v>145</v>
      </c>
      <c r="U378" t="s">
        <v>1451</v>
      </c>
      <c r="V378" t="s">
        <v>27</v>
      </c>
      <c r="W378" t="s">
        <v>66</v>
      </c>
      <c r="X378" t="s">
        <v>67</v>
      </c>
      <c r="Y378" t="s">
        <v>138</v>
      </c>
      <c r="AA378" t="s">
        <v>494</v>
      </c>
      <c r="AC378" t="s">
        <v>139</v>
      </c>
      <c r="AD378" t="s">
        <v>1467</v>
      </c>
      <c r="AG378" t="s">
        <v>156</v>
      </c>
      <c r="AH378" t="s">
        <v>68</v>
      </c>
      <c r="AI378" t="s">
        <v>493</v>
      </c>
      <c r="AK378" t="s">
        <v>1348</v>
      </c>
    </row>
    <row r="379" spans="1:37" customFormat="1">
      <c r="A379" t="s">
        <v>23</v>
      </c>
      <c r="B379" t="s">
        <v>24</v>
      </c>
      <c r="C379" t="s">
        <v>179</v>
      </c>
      <c r="D379" t="s">
        <v>135</v>
      </c>
      <c r="E379" t="s">
        <v>1126</v>
      </c>
      <c r="F379" t="s">
        <v>931</v>
      </c>
      <c r="G379" t="s">
        <v>136</v>
      </c>
      <c r="H379" t="s">
        <v>146</v>
      </c>
      <c r="I379" t="s">
        <v>156</v>
      </c>
      <c r="J379" t="s">
        <v>26</v>
      </c>
      <c r="K379" t="s">
        <v>157</v>
      </c>
      <c r="L379" t="s">
        <v>143</v>
      </c>
      <c r="M379" t="s">
        <v>144</v>
      </c>
      <c r="N379" t="s">
        <v>1349</v>
      </c>
      <c r="O379">
        <v>1</v>
      </c>
      <c r="P379" t="s">
        <v>160</v>
      </c>
      <c r="R379">
        <v>816</v>
      </c>
      <c r="S379">
        <v>808.8</v>
      </c>
      <c r="T379" t="s">
        <v>145</v>
      </c>
      <c r="U379" t="s">
        <v>1451</v>
      </c>
      <c r="V379" t="s">
        <v>27</v>
      </c>
      <c r="W379" t="s">
        <v>66</v>
      </c>
      <c r="X379" t="s">
        <v>67</v>
      </c>
      <c r="Y379" t="s">
        <v>138</v>
      </c>
      <c r="AA379" t="s">
        <v>494</v>
      </c>
      <c r="AC379" t="s">
        <v>139</v>
      </c>
      <c r="AD379" t="s">
        <v>1468</v>
      </c>
      <c r="AG379" t="s">
        <v>156</v>
      </c>
      <c r="AH379" t="s">
        <v>68</v>
      </c>
      <c r="AI379" t="s">
        <v>493</v>
      </c>
      <c r="AK379" t="s">
        <v>1350</v>
      </c>
    </row>
    <row r="380" spans="1:37" customFormat="1">
      <c r="A380" t="s">
        <v>23</v>
      </c>
      <c r="B380" t="s">
        <v>24</v>
      </c>
      <c r="C380" t="s">
        <v>179</v>
      </c>
      <c r="D380" t="s">
        <v>135</v>
      </c>
      <c r="E380" t="s">
        <v>1126</v>
      </c>
      <c r="F380" t="s">
        <v>931</v>
      </c>
      <c r="G380" t="s">
        <v>136</v>
      </c>
      <c r="H380" t="s">
        <v>146</v>
      </c>
      <c r="I380" t="s">
        <v>156</v>
      </c>
      <c r="J380" t="s">
        <v>26</v>
      </c>
      <c r="K380" t="s">
        <v>157</v>
      </c>
      <c r="L380" t="s">
        <v>143</v>
      </c>
      <c r="M380" t="s">
        <v>144</v>
      </c>
      <c r="N380" t="s">
        <v>1351</v>
      </c>
      <c r="O380">
        <v>1</v>
      </c>
      <c r="P380" t="s">
        <v>160</v>
      </c>
      <c r="R380">
        <v>813</v>
      </c>
      <c r="S380">
        <v>808.8</v>
      </c>
      <c r="T380" t="s">
        <v>145</v>
      </c>
      <c r="U380" t="s">
        <v>1451</v>
      </c>
      <c r="V380" t="s">
        <v>27</v>
      </c>
      <c r="W380" t="s">
        <v>66</v>
      </c>
      <c r="X380" t="s">
        <v>67</v>
      </c>
      <c r="Y380" t="s">
        <v>138</v>
      </c>
      <c r="AA380" t="s">
        <v>494</v>
      </c>
      <c r="AC380" t="s">
        <v>139</v>
      </c>
      <c r="AD380" t="s">
        <v>1469</v>
      </c>
      <c r="AG380" t="s">
        <v>156</v>
      </c>
      <c r="AH380" t="s">
        <v>68</v>
      </c>
      <c r="AI380" t="s">
        <v>493</v>
      </c>
      <c r="AK380" t="s">
        <v>1352</v>
      </c>
    </row>
    <row r="381" spans="1:37" customFormat="1">
      <c r="A381" t="s">
        <v>23</v>
      </c>
      <c r="B381" t="s">
        <v>24</v>
      </c>
      <c r="C381" t="s">
        <v>179</v>
      </c>
      <c r="D381" t="s">
        <v>135</v>
      </c>
      <c r="E381" t="s">
        <v>1126</v>
      </c>
      <c r="F381" t="s">
        <v>931</v>
      </c>
      <c r="G381" t="s">
        <v>136</v>
      </c>
      <c r="H381" t="s">
        <v>146</v>
      </c>
      <c r="I381" t="s">
        <v>156</v>
      </c>
      <c r="J381" t="s">
        <v>26</v>
      </c>
      <c r="K381" t="s">
        <v>157</v>
      </c>
      <c r="L381" t="s">
        <v>143</v>
      </c>
      <c r="M381" t="s">
        <v>144</v>
      </c>
      <c r="N381" t="s">
        <v>1353</v>
      </c>
      <c r="O381">
        <v>1</v>
      </c>
      <c r="P381" t="s">
        <v>160</v>
      </c>
      <c r="R381">
        <v>814</v>
      </c>
      <c r="S381">
        <v>808.8</v>
      </c>
      <c r="T381" t="s">
        <v>145</v>
      </c>
      <c r="U381" t="s">
        <v>1451</v>
      </c>
      <c r="V381" t="s">
        <v>27</v>
      </c>
      <c r="W381" t="s">
        <v>66</v>
      </c>
      <c r="X381" t="s">
        <v>67</v>
      </c>
      <c r="Y381" t="s">
        <v>138</v>
      </c>
      <c r="AA381" t="s">
        <v>494</v>
      </c>
      <c r="AC381" t="s">
        <v>139</v>
      </c>
      <c r="AD381" t="s">
        <v>1470</v>
      </c>
      <c r="AG381" t="s">
        <v>156</v>
      </c>
      <c r="AH381" t="s">
        <v>68</v>
      </c>
      <c r="AI381" t="s">
        <v>493</v>
      </c>
      <c r="AK381" t="s">
        <v>1354</v>
      </c>
    </row>
    <row r="382" spans="1:37" customFormat="1">
      <c r="A382" t="s">
        <v>23</v>
      </c>
      <c r="B382" t="s">
        <v>24</v>
      </c>
      <c r="C382" t="s">
        <v>179</v>
      </c>
      <c r="D382" t="s">
        <v>135</v>
      </c>
      <c r="E382" t="s">
        <v>1126</v>
      </c>
      <c r="F382" t="s">
        <v>931</v>
      </c>
      <c r="G382" t="s">
        <v>136</v>
      </c>
      <c r="H382" t="s">
        <v>146</v>
      </c>
      <c r="I382" t="s">
        <v>156</v>
      </c>
      <c r="J382" t="s">
        <v>26</v>
      </c>
      <c r="K382" t="s">
        <v>157</v>
      </c>
      <c r="L382" t="s">
        <v>143</v>
      </c>
      <c r="M382" t="s">
        <v>144</v>
      </c>
      <c r="N382" t="s">
        <v>1355</v>
      </c>
      <c r="O382">
        <v>1</v>
      </c>
      <c r="P382" t="s">
        <v>160</v>
      </c>
      <c r="R382">
        <v>812</v>
      </c>
      <c r="S382">
        <v>808.8</v>
      </c>
      <c r="T382" t="s">
        <v>145</v>
      </c>
      <c r="U382" t="s">
        <v>1451</v>
      </c>
      <c r="V382" t="s">
        <v>27</v>
      </c>
      <c r="W382" t="s">
        <v>66</v>
      </c>
      <c r="X382" t="s">
        <v>67</v>
      </c>
      <c r="Y382" t="s">
        <v>138</v>
      </c>
      <c r="AA382" t="s">
        <v>494</v>
      </c>
      <c r="AC382" t="s">
        <v>139</v>
      </c>
      <c r="AD382" t="s">
        <v>1471</v>
      </c>
      <c r="AG382" t="s">
        <v>156</v>
      </c>
      <c r="AH382" t="s">
        <v>68</v>
      </c>
      <c r="AI382" t="s">
        <v>493</v>
      </c>
      <c r="AK382" t="s">
        <v>1356</v>
      </c>
    </row>
    <row r="383" spans="1:37" customFormat="1">
      <c r="A383" t="s">
        <v>23</v>
      </c>
      <c r="B383" t="s">
        <v>24</v>
      </c>
      <c r="C383" t="s">
        <v>179</v>
      </c>
      <c r="D383" t="s">
        <v>135</v>
      </c>
      <c r="E383" t="s">
        <v>1126</v>
      </c>
      <c r="F383" t="s">
        <v>931</v>
      </c>
      <c r="G383" t="s">
        <v>136</v>
      </c>
      <c r="H383" t="s">
        <v>146</v>
      </c>
      <c r="I383" t="s">
        <v>156</v>
      </c>
      <c r="J383" t="s">
        <v>26</v>
      </c>
      <c r="K383" t="s">
        <v>157</v>
      </c>
      <c r="L383" t="s">
        <v>143</v>
      </c>
      <c r="M383" t="s">
        <v>144</v>
      </c>
      <c r="N383" t="s">
        <v>1357</v>
      </c>
      <c r="O383">
        <v>1</v>
      </c>
      <c r="P383" t="s">
        <v>160</v>
      </c>
      <c r="R383">
        <v>814</v>
      </c>
      <c r="S383">
        <v>808.8</v>
      </c>
      <c r="T383" t="s">
        <v>145</v>
      </c>
      <c r="U383" t="s">
        <v>1451</v>
      </c>
      <c r="V383" t="s">
        <v>27</v>
      </c>
      <c r="W383" t="s">
        <v>66</v>
      </c>
      <c r="X383" t="s">
        <v>67</v>
      </c>
      <c r="Y383" t="s">
        <v>138</v>
      </c>
      <c r="AA383" t="s">
        <v>494</v>
      </c>
      <c r="AC383" t="s">
        <v>139</v>
      </c>
      <c r="AD383" t="s">
        <v>1472</v>
      </c>
      <c r="AG383" t="s">
        <v>156</v>
      </c>
      <c r="AH383" t="s">
        <v>68</v>
      </c>
      <c r="AI383" t="s">
        <v>493</v>
      </c>
      <c r="AK383" t="s">
        <v>1358</v>
      </c>
    </row>
    <row r="384" spans="1:37" customFormat="1">
      <c r="A384" t="s">
        <v>23</v>
      </c>
      <c r="B384" t="s">
        <v>24</v>
      </c>
      <c r="C384" t="s">
        <v>179</v>
      </c>
      <c r="D384" t="s">
        <v>135</v>
      </c>
      <c r="E384" t="s">
        <v>1126</v>
      </c>
      <c r="F384" t="s">
        <v>931</v>
      </c>
      <c r="G384" t="s">
        <v>136</v>
      </c>
      <c r="H384" t="s">
        <v>146</v>
      </c>
      <c r="I384" t="s">
        <v>156</v>
      </c>
      <c r="J384" t="s">
        <v>26</v>
      </c>
      <c r="K384" t="s">
        <v>157</v>
      </c>
      <c r="L384" t="s">
        <v>143</v>
      </c>
      <c r="M384" t="s">
        <v>144</v>
      </c>
      <c r="N384" t="s">
        <v>1359</v>
      </c>
      <c r="O384">
        <v>1</v>
      </c>
      <c r="P384" t="s">
        <v>160</v>
      </c>
      <c r="R384">
        <v>815</v>
      </c>
      <c r="S384">
        <v>808.8</v>
      </c>
      <c r="T384" t="s">
        <v>145</v>
      </c>
      <c r="U384" t="s">
        <v>1451</v>
      </c>
      <c r="V384" t="s">
        <v>27</v>
      </c>
      <c r="W384" t="s">
        <v>66</v>
      </c>
      <c r="X384" t="s">
        <v>67</v>
      </c>
      <c r="Y384" t="s">
        <v>138</v>
      </c>
      <c r="AA384" t="s">
        <v>494</v>
      </c>
      <c r="AC384" t="s">
        <v>139</v>
      </c>
      <c r="AD384" t="s">
        <v>1473</v>
      </c>
      <c r="AG384" t="s">
        <v>156</v>
      </c>
      <c r="AH384" t="s">
        <v>68</v>
      </c>
      <c r="AI384" t="s">
        <v>493</v>
      </c>
      <c r="AK384" t="s">
        <v>1360</v>
      </c>
    </row>
    <row r="385" spans="1:37" customFormat="1">
      <c r="A385" t="s">
        <v>23</v>
      </c>
      <c r="B385" t="s">
        <v>24</v>
      </c>
      <c r="C385" t="s">
        <v>179</v>
      </c>
      <c r="D385" t="s">
        <v>135</v>
      </c>
      <c r="E385" t="s">
        <v>1126</v>
      </c>
      <c r="F385" t="s">
        <v>931</v>
      </c>
      <c r="G385" t="s">
        <v>136</v>
      </c>
      <c r="H385" t="s">
        <v>146</v>
      </c>
      <c r="I385" t="s">
        <v>156</v>
      </c>
      <c r="J385" t="s">
        <v>26</v>
      </c>
      <c r="K385" t="s">
        <v>157</v>
      </c>
      <c r="L385" t="s">
        <v>143</v>
      </c>
      <c r="M385" t="s">
        <v>144</v>
      </c>
      <c r="N385" t="s">
        <v>1361</v>
      </c>
      <c r="O385">
        <v>1</v>
      </c>
      <c r="P385" t="s">
        <v>160</v>
      </c>
      <c r="R385">
        <v>812</v>
      </c>
      <c r="S385">
        <v>808.8</v>
      </c>
      <c r="T385" t="s">
        <v>145</v>
      </c>
      <c r="U385" t="s">
        <v>1451</v>
      </c>
      <c r="V385" t="s">
        <v>27</v>
      </c>
      <c r="W385" t="s">
        <v>66</v>
      </c>
      <c r="X385" t="s">
        <v>67</v>
      </c>
      <c r="Y385" t="s">
        <v>138</v>
      </c>
      <c r="AA385" t="s">
        <v>494</v>
      </c>
      <c r="AC385" t="s">
        <v>139</v>
      </c>
      <c r="AD385" t="s">
        <v>1474</v>
      </c>
      <c r="AG385" t="s">
        <v>156</v>
      </c>
      <c r="AH385" t="s">
        <v>68</v>
      </c>
      <c r="AI385" t="s">
        <v>493</v>
      </c>
      <c r="AK385" t="s">
        <v>1362</v>
      </c>
    </row>
    <row r="386" spans="1:37" customFormat="1">
      <c r="A386" t="s">
        <v>23</v>
      </c>
      <c r="B386" t="s">
        <v>24</v>
      </c>
      <c r="C386" t="s">
        <v>179</v>
      </c>
      <c r="D386" t="s">
        <v>135</v>
      </c>
      <c r="E386" t="s">
        <v>1126</v>
      </c>
      <c r="F386" t="s">
        <v>931</v>
      </c>
      <c r="G386" t="s">
        <v>136</v>
      </c>
      <c r="H386" t="s">
        <v>146</v>
      </c>
      <c r="I386" t="s">
        <v>156</v>
      </c>
      <c r="J386" t="s">
        <v>26</v>
      </c>
      <c r="K386" t="s">
        <v>157</v>
      </c>
      <c r="L386" t="s">
        <v>143</v>
      </c>
      <c r="M386" t="s">
        <v>144</v>
      </c>
      <c r="N386" t="s">
        <v>1363</v>
      </c>
      <c r="O386">
        <v>1</v>
      </c>
      <c r="P386" t="s">
        <v>160</v>
      </c>
      <c r="R386">
        <v>813</v>
      </c>
      <c r="S386">
        <v>808.8</v>
      </c>
      <c r="T386" t="s">
        <v>145</v>
      </c>
      <c r="U386" t="s">
        <v>1451</v>
      </c>
      <c r="V386" t="s">
        <v>27</v>
      </c>
      <c r="W386" t="s">
        <v>66</v>
      </c>
      <c r="X386" t="s">
        <v>67</v>
      </c>
      <c r="Y386" t="s">
        <v>138</v>
      </c>
      <c r="AA386" t="s">
        <v>494</v>
      </c>
      <c r="AC386" t="s">
        <v>139</v>
      </c>
      <c r="AD386" t="s">
        <v>1475</v>
      </c>
      <c r="AG386" t="s">
        <v>156</v>
      </c>
      <c r="AH386" t="s">
        <v>68</v>
      </c>
      <c r="AI386" t="s">
        <v>493</v>
      </c>
      <c r="AK386" t="s">
        <v>1364</v>
      </c>
    </row>
    <row r="387" spans="1:37" customFormat="1">
      <c r="A387" t="s">
        <v>23</v>
      </c>
      <c r="B387" t="s">
        <v>24</v>
      </c>
      <c r="C387" t="s">
        <v>179</v>
      </c>
      <c r="D387" t="s">
        <v>135</v>
      </c>
      <c r="E387" t="s">
        <v>1126</v>
      </c>
      <c r="F387" t="s">
        <v>931</v>
      </c>
      <c r="G387" t="s">
        <v>136</v>
      </c>
      <c r="H387" t="s">
        <v>146</v>
      </c>
      <c r="I387" t="s">
        <v>156</v>
      </c>
      <c r="J387" t="s">
        <v>26</v>
      </c>
      <c r="K387" t="s">
        <v>157</v>
      </c>
      <c r="L387" t="s">
        <v>143</v>
      </c>
      <c r="M387" t="s">
        <v>144</v>
      </c>
      <c r="N387" t="s">
        <v>1365</v>
      </c>
      <c r="O387">
        <v>1</v>
      </c>
      <c r="P387" t="s">
        <v>160</v>
      </c>
      <c r="R387">
        <v>814</v>
      </c>
      <c r="S387">
        <v>808.8</v>
      </c>
      <c r="T387" t="s">
        <v>145</v>
      </c>
      <c r="U387" t="s">
        <v>1451</v>
      </c>
      <c r="V387" t="s">
        <v>27</v>
      </c>
      <c r="W387" t="s">
        <v>66</v>
      </c>
      <c r="X387" t="s">
        <v>67</v>
      </c>
      <c r="Y387" t="s">
        <v>138</v>
      </c>
      <c r="AA387" t="s">
        <v>494</v>
      </c>
      <c r="AC387" t="s">
        <v>139</v>
      </c>
      <c r="AD387" t="s">
        <v>1476</v>
      </c>
      <c r="AG387" t="s">
        <v>156</v>
      </c>
      <c r="AH387" t="s">
        <v>68</v>
      </c>
      <c r="AI387" t="s">
        <v>493</v>
      </c>
      <c r="AK387" t="s">
        <v>1366</v>
      </c>
    </row>
    <row r="388" spans="1:37" customFormat="1">
      <c r="A388" t="s">
        <v>23</v>
      </c>
      <c r="B388" t="s">
        <v>24</v>
      </c>
      <c r="C388" t="s">
        <v>179</v>
      </c>
      <c r="D388" t="s">
        <v>135</v>
      </c>
      <c r="E388" t="s">
        <v>1126</v>
      </c>
      <c r="F388" t="s">
        <v>931</v>
      </c>
      <c r="G388" t="s">
        <v>136</v>
      </c>
      <c r="H388" t="s">
        <v>146</v>
      </c>
      <c r="I388" t="s">
        <v>156</v>
      </c>
      <c r="J388" t="s">
        <v>26</v>
      </c>
      <c r="K388" t="s">
        <v>157</v>
      </c>
      <c r="L388" t="s">
        <v>143</v>
      </c>
      <c r="M388" t="s">
        <v>144</v>
      </c>
      <c r="N388" t="s">
        <v>1367</v>
      </c>
      <c r="O388">
        <v>1</v>
      </c>
      <c r="P388" t="s">
        <v>160</v>
      </c>
      <c r="R388">
        <v>813</v>
      </c>
      <c r="S388">
        <v>808.8</v>
      </c>
      <c r="T388" t="s">
        <v>145</v>
      </c>
      <c r="U388" t="s">
        <v>1451</v>
      </c>
      <c r="V388" t="s">
        <v>27</v>
      </c>
      <c r="W388" t="s">
        <v>66</v>
      </c>
      <c r="X388" t="s">
        <v>67</v>
      </c>
      <c r="Y388" t="s">
        <v>138</v>
      </c>
      <c r="AA388" t="s">
        <v>494</v>
      </c>
      <c r="AC388" t="s">
        <v>139</v>
      </c>
      <c r="AD388" t="s">
        <v>1477</v>
      </c>
      <c r="AG388" t="s">
        <v>156</v>
      </c>
      <c r="AH388" t="s">
        <v>68</v>
      </c>
      <c r="AI388" t="s">
        <v>493</v>
      </c>
      <c r="AK388" t="s">
        <v>1368</v>
      </c>
    </row>
    <row r="389" spans="1:37" customFormat="1">
      <c r="A389" t="s">
        <v>23</v>
      </c>
      <c r="B389" t="s">
        <v>24</v>
      </c>
      <c r="C389" t="s">
        <v>179</v>
      </c>
      <c r="D389" t="s">
        <v>135</v>
      </c>
      <c r="E389" t="s">
        <v>1126</v>
      </c>
      <c r="F389" t="s">
        <v>931</v>
      </c>
      <c r="G389" t="s">
        <v>136</v>
      </c>
      <c r="H389" t="s">
        <v>146</v>
      </c>
      <c r="I389" t="s">
        <v>156</v>
      </c>
      <c r="J389" t="s">
        <v>26</v>
      </c>
      <c r="K389" t="s">
        <v>157</v>
      </c>
      <c r="L389" t="s">
        <v>143</v>
      </c>
      <c r="M389" t="s">
        <v>144</v>
      </c>
      <c r="N389" t="s">
        <v>1369</v>
      </c>
      <c r="O389">
        <v>1</v>
      </c>
      <c r="P389" t="s">
        <v>160</v>
      </c>
      <c r="R389">
        <v>811</v>
      </c>
      <c r="S389">
        <v>808.8</v>
      </c>
      <c r="T389" t="s">
        <v>145</v>
      </c>
      <c r="U389" t="s">
        <v>1451</v>
      </c>
      <c r="V389" t="s">
        <v>27</v>
      </c>
      <c r="W389" t="s">
        <v>66</v>
      </c>
      <c r="X389" t="s">
        <v>67</v>
      </c>
      <c r="Y389" t="s">
        <v>138</v>
      </c>
      <c r="AA389" t="s">
        <v>494</v>
      </c>
      <c r="AC389" t="s">
        <v>139</v>
      </c>
      <c r="AD389" t="s">
        <v>1478</v>
      </c>
      <c r="AG389" t="s">
        <v>156</v>
      </c>
      <c r="AH389" t="s">
        <v>68</v>
      </c>
      <c r="AI389" t="s">
        <v>493</v>
      </c>
      <c r="AK389" t="s">
        <v>1370</v>
      </c>
    </row>
    <row r="390" spans="1:37" customFormat="1">
      <c r="A390" t="s">
        <v>23</v>
      </c>
      <c r="B390" t="s">
        <v>24</v>
      </c>
      <c r="C390" t="s">
        <v>179</v>
      </c>
      <c r="D390" t="s">
        <v>135</v>
      </c>
      <c r="E390" t="s">
        <v>1126</v>
      </c>
      <c r="F390" t="s">
        <v>931</v>
      </c>
      <c r="G390" t="s">
        <v>136</v>
      </c>
      <c r="H390" t="s">
        <v>146</v>
      </c>
      <c r="I390" t="s">
        <v>156</v>
      </c>
      <c r="J390" t="s">
        <v>26</v>
      </c>
      <c r="K390" t="s">
        <v>157</v>
      </c>
      <c r="L390" t="s">
        <v>143</v>
      </c>
      <c r="M390" t="s">
        <v>144</v>
      </c>
      <c r="N390" t="s">
        <v>1371</v>
      </c>
      <c r="O390">
        <v>1</v>
      </c>
      <c r="P390" t="s">
        <v>160</v>
      </c>
      <c r="R390">
        <v>812</v>
      </c>
      <c r="S390">
        <v>808.8</v>
      </c>
      <c r="T390" t="s">
        <v>145</v>
      </c>
      <c r="U390" t="s">
        <v>1451</v>
      </c>
      <c r="V390" t="s">
        <v>27</v>
      </c>
      <c r="W390" t="s">
        <v>66</v>
      </c>
      <c r="X390" t="s">
        <v>67</v>
      </c>
      <c r="Y390" t="s">
        <v>138</v>
      </c>
      <c r="AA390" t="s">
        <v>494</v>
      </c>
      <c r="AC390" t="s">
        <v>139</v>
      </c>
      <c r="AD390" t="s">
        <v>1479</v>
      </c>
      <c r="AG390" t="s">
        <v>156</v>
      </c>
      <c r="AH390" t="s">
        <v>68</v>
      </c>
      <c r="AI390" t="s">
        <v>493</v>
      </c>
      <c r="AK390" t="s">
        <v>1372</v>
      </c>
    </row>
    <row r="391" spans="1:37" customFormat="1">
      <c r="A391" t="s">
        <v>23</v>
      </c>
      <c r="B391" t="s">
        <v>24</v>
      </c>
      <c r="C391" t="s">
        <v>179</v>
      </c>
      <c r="D391" t="s">
        <v>135</v>
      </c>
      <c r="E391" t="s">
        <v>1126</v>
      </c>
      <c r="F391" t="s">
        <v>931</v>
      </c>
      <c r="G391" t="s">
        <v>136</v>
      </c>
      <c r="H391" t="s">
        <v>146</v>
      </c>
      <c r="I391" t="s">
        <v>156</v>
      </c>
      <c r="J391" t="s">
        <v>26</v>
      </c>
      <c r="K391" t="s">
        <v>157</v>
      </c>
      <c r="L391" t="s">
        <v>143</v>
      </c>
      <c r="M391" t="s">
        <v>144</v>
      </c>
      <c r="N391" t="s">
        <v>1373</v>
      </c>
      <c r="O391">
        <v>1</v>
      </c>
      <c r="P391" t="s">
        <v>160</v>
      </c>
      <c r="R391">
        <v>813</v>
      </c>
      <c r="S391">
        <v>808.8</v>
      </c>
      <c r="T391" t="s">
        <v>145</v>
      </c>
      <c r="U391" t="s">
        <v>1451</v>
      </c>
      <c r="V391" t="s">
        <v>27</v>
      </c>
      <c r="W391" t="s">
        <v>66</v>
      </c>
      <c r="X391" t="s">
        <v>67</v>
      </c>
      <c r="Y391" t="s">
        <v>138</v>
      </c>
      <c r="AA391" t="s">
        <v>494</v>
      </c>
      <c r="AC391" t="s">
        <v>139</v>
      </c>
      <c r="AD391" t="s">
        <v>1480</v>
      </c>
      <c r="AG391" t="s">
        <v>156</v>
      </c>
      <c r="AH391" t="s">
        <v>68</v>
      </c>
      <c r="AI391" t="s">
        <v>493</v>
      </c>
      <c r="AK391" t="s">
        <v>1374</v>
      </c>
    </row>
    <row r="392" spans="1:37" customFormat="1">
      <c r="A392" t="s">
        <v>23</v>
      </c>
      <c r="B392" t="s">
        <v>24</v>
      </c>
      <c r="C392" t="s">
        <v>179</v>
      </c>
      <c r="D392" t="s">
        <v>135</v>
      </c>
      <c r="E392" t="s">
        <v>1126</v>
      </c>
      <c r="F392" t="s">
        <v>931</v>
      </c>
      <c r="G392" t="s">
        <v>136</v>
      </c>
      <c r="H392" t="s">
        <v>146</v>
      </c>
      <c r="I392" t="s">
        <v>156</v>
      </c>
      <c r="J392" t="s">
        <v>26</v>
      </c>
      <c r="K392" t="s">
        <v>157</v>
      </c>
      <c r="L392" t="s">
        <v>143</v>
      </c>
      <c r="M392" t="s">
        <v>144</v>
      </c>
      <c r="N392" t="s">
        <v>1375</v>
      </c>
      <c r="O392">
        <v>1</v>
      </c>
      <c r="P392" t="s">
        <v>160</v>
      </c>
      <c r="R392">
        <v>811</v>
      </c>
      <c r="S392">
        <v>808.8</v>
      </c>
      <c r="T392" t="s">
        <v>145</v>
      </c>
      <c r="U392" t="s">
        <v>1451</v>
      </c>
      <c r="V392" t="s">
        <v>27</v>
      </c>
      <c r="W392" t="s">
        <v>66</v>
      </c>
      <c r="X392" t="s">
        <v>67</v>
      </c>
      <c r="Y392" t="s">
        <v>138</v>
      </c>
      <c r="AA392" t="s">
        <v>494</v>
      </c>
      <c r="AC392" t="s">
        <v>139</v>
      </c>
      <c r="AD392" t="s">
        <v>1481</v>
      </c>
      <c r="AG392" t="s">
        <v>156</v>
      </c>
      <c r="AH392" t="s">
        <v>68</v>
      </c>
      <c r="AI392" t="s">
        <v>493</v>
      </c>
      <c r="AK392" t="s">
        <v>1376</v>
      </c>
    </row>
    <row r="393" spans="1:37" customFormat="1">
      <c r="A393" t="s">
        <v>23</v>
      </c>
      <c r="B393" t="s">
        <v>24</v>
      </c>
      <c r="C393" t="s">
        <v>179</v>
      </c>
      <c r="D393" t="s">
        <v>135</v>
      </c>
      <c r="E393" t="s">
        <v>1126</v>
      </c>
      <c r="F393" t="s">
        <v>931</v>
      </c>
      <c r="G393" t="s">
        <v>136</v>
      </c>
      <c r="H393" t="s">
        <v>146</v>
      </c>
      <c r="I393" t="s">
        <v>156</v>
      </c>
      <c r="J393" t="s">
        <v>26</v>
      </c>
      <c r="K393" t="s">
        <v>157</v>
      </c>
      <c r="L393" t="s">
        <v>143</v>
      </c>
      <c r="M393" t="s">
        <v>144</v>
      </c>
      <c r="N393" t="s">
        <v>1377</v>
      </c>
      <c r="O393">
        <v>1</v>
      </c>
      <c r="P393" t="s">
        <v>160</v>
      </c>
      <c r="R393">
        <v>811</v>
      </c>
      <c r="S393">
        <v>808.8</v>
      </c>
      <c r="T393" t="s">
        <v>145</v>
      </c>
      <c r="U393" t="s">
        <v>1451</v>
      </c>
      <c r="V393" t="s">
        <v>27</v>
      </c>
      <c r="W393" t="s">
        <v>66</v>
      </c>
      <c r="X393" t="s">
        <v>67</v>
      </c>
      <c r="Y393" t="s">
        <v>138</v>
      </c>
      <c r="AA393" t="s">
        <v>494</v>
      </c>
      <c r="AC393" t="s">
        <v>139</v>
      </c>
      <c r="AD393" t="s">
        <v>1482</v>
      </c>
      <c r="AG393" t="s">
        <v>156</v>
      </c>
      <c r="AH393" t="s">
        <v>68</v>
      </c>
      <c r="AI393" t="s">
        <v>493</v>
      </c>
      <c r="AK393" t="s">
        <v>1378</v>
      </c>
    </row>
    <row r="394" spans="1:37" customFormat="1">
      <c r="A394" t="s">
        <v>23</v>
      </c>
      <c r="B394" t="s">
        <v>24</v>
      </c>
      <c r="C394" t="s">
        <v>1379</v>
      </c>
      <c r="D394" t="s">
        <v>135</v>
      </c>
      <c r="E394" t="s">
        <v>1380</v>
      </c>
      <c r="F394" t="s">
        <v>931</v>
      </c>
      <c r="G394" t="s">
        <v>136</v>
      </c>
      <c r="H394" t="s">
        <v>152</v>
      </c>
      <c r="I394" t="s">
        <v>156</v>
      </c>
      <c r="J394" t="s">
        <v>26</v>
      </c>
      <c r="K394" t="s">
        <v>157</v>
      </c>
      <c r="L394" t="s">
        <v>143</v>
      </c>
      <c r="M394" t="s">
        <v>144</v>
      </c>
      <c r="N394" t="s">
        <v>1381</v>
      </c>
      <c r="O394">
        <v>1</v>
      </c>
      <c r="P394" t="s">
        <v>160</v>
      </c>
      <c r="R394">
        <v>794</v>
      </c>
      <c r="S394">
        <v>787.6</v>
      </c>
      <c r="T394" t="s">
        <v>145</v>
      </c>
      <c r="U394" t="s">
        <v>1451</v>
      </c>
      <c r="V394" t="s">
        <v>27</v>
      </c>
      <c r="W394" t="s">
        <v>66</v>
      </c>
      <c r="X394" t="s">
        <v>67</v>
      </c>
      <c r="Y394" t="s">
        <v>138</v>
      </c>
      <c r="AA394" t="s">
        <v>494</v>
      </c>
      <c r="AC394" t="s">
        <v>139</v>
      </c>
      <c r="AD394" t="s">
        <v>1483</v>
      </c>
      <c r="AG394" t="s">
        <v>156</v>
      </c>
      <c r="AH394" t="s">
        <v>68</v>
      </c>
      <c r="AI394" t="s">
        <v>493</v>
      </c>
      <c r="AK394" t="s">
        <v>1382</v>
      </c>
    </row>
    <row r="395" spans="1:37" customFormat="1">
      <c r="A395" t="s">
        <v>23</v>
      </c>
      <c r="B395" t="s">
        <v>24</v>
      </c>
      <c r="C395" t="s">
        <v>1379</v>
      </c>
      <c r="D395" t="s">
        <v>135</v>
      </c>
      <c r="E395" t="s">
        <v>1380</v>
      </c>
      <c r="F395" t="s">
        <v>931</v>
      </c>
      <c r="G395" t="s">
        <v>136</v>
      </c>
      <c r="H395" t="s">
        <v>152</v>
      </c>
      <c r="I395" t="s">
        <v>156</v>
      </c>
      <c r="J395" t="s">
        <v>26</v>
      </c>
      <c r="K395" t="s">
        <v>157</v>
      </c>
      <c r="L395" t="s">
        <v>143</v>
      </c>
      <c r="M395" t="s">
        <v>144</v>
      </c>
      <c r="N395" t="s">
        <v>1383</v>
      </c>
      <c r="O395">
        <v>1</v>
      </c>
      <c r="P395" t="s">
        <v>160</v>
      </c>
      <c r="R395">
        <v>792</v>
      </c>
      <c r="S395">
        <v>787.6</v>
      </c>
      <c r="T395" t="s">
        <v>145</v>
      </c>
      <c r="U395" t="s">
        <v>1451</v>
      </c>
      <c r="V395" t="s">
        <v>27</v>
      </c>
      <c r="W395" t="s">
        <v>66</v>
      </c>
      <c r="X395" t="s">
        <v>67</v>
      </c>
      <c r="Y395" t="s">
        <v>138</v>
      </c>
      <c r="AA395" t="s">
        <v>494</v>
      </c>
      <c r="AC395" t="s">
        <v>139</v>
      </c>
      <c r="AD395" t="s">
        <v>1484</v>
      </c>
      <c r="AG395" t="s">
        <v>156</v>
      </c>
      <c r="AH395" t="s">
        <v>68</v>
      </c>
      <c r="AI395" t="s">
        <v>493</v>
      </c>
      <c r="AK395" t="s">
        <v>1384</v>
      </c>
    </row>
    <row r="396" spans="1:37" customFormat="1">
      <c r="A396" t="s">
        <v>23</v>
      </c>
      <c r="B396" t="s">
        <v>24</v>
      </c>
      <c r="C396" t="s">
        <v>1379</v>
      </c>
      <c r="D396" t="s">
        <v>135</v>
      </c>
      <c r="E396" t="s">
        <v>1380</v>
      </c>
      <c r="F396" t="s">
        <v>931</v>
      </c>
      <c r="G396" t="s">
        <v>136</v>
      </c>
      <c r="H396" t="s">
        <v>152</v>
      </c>
      <c r="I396" t="s">
        <v>156</v>
      </c>
      <c r="J396" t="s">
        <v>26</v>
      </c>
      <c r="K396" t="s">
        <v>157</v>
      </c>
      <c r="L396" t="s">
        <v>143</v>
      </c>
      <c r="M396" t="s">
        <v>144</v>
      </c>
      <c r="N396" t="s">
        <v>1385</v>
      </c>
      <c r="O396">
        <v>1</v>
      </c>
      <c r="P396" t="s">
        <v>160</v>
      </c>
      <c r="R396">
        <v>795</v>
      </c>
      <c r="S396">
        <v>787.6</v>
      </c>
      <c r="T396" t="s">
        <v>145</v>
      </c>
      <c r="U396" t="s">
        <v>1451</v>
      </c>
      <c r="V396" t="s">
        <v>27</v>
      </c>
      <c r="W396" t="s">
        <v>66</v>
      </c>
      <c r="X396" t="s">
        <v>67</v>
      </c>
      <c r="Y396" t="s">
        <v>138</v>
      </c>
      <c r="AA396" t="s">
        <v>494</v>
      </c>
      <c r="AC396" t="s">
        <v>139</v>
      </c>
      <c r="AD396" t="s">
        <v>1485</v>
      </c>
      <c r="AG396" t="s">
        <v>156</v>
      </c>
      <c r="AH396" t="s">
        <v>68</v>
      </c>
      <c r="AI396" t="s">
        <v>493</v>
      </c>
      <c r="AK396" t="s">
        <v>1386</v>
      </c>
    </row>
    <row r="397" spans="1:37" customFormat="1">
      <c r="A397" t="s">
        <v>23</v>
      </c>
      <c r="B397" t="s">
        <v>24</v>
      </c>
      <c r="C397" t="s">
        <v>1379</v>
      </c>
      <c r="D397" t="s">
        <v>135</v>
      </c>
      <c r="E397" t="s">
        <v>1380</v>
      </c>
      <c r="F397" t="s">
        <v>931</v>
      </c>
      <c r="G397" t="s">
        <v>136</v>
      </c>
      <c r="H397" t="s">
        <v>152</v>
      </c>
      <c r="I397" t="s">
        <v>156</v>
      </c>
      <c r="J397" t="s">
        <v>26</v>
      </c>
      <c r="K397" t="s">
        <v>157</v>
      </c>
      <c r="L397" t="s">
        <v>143</v>
      </c>
      <c r="M397" t="s">
        <v>144</v>
      </c>
      <c r="N397" t="s">
        <v>1387</v>
      </c>
      <c r="O397">
        <v>1</v>
      </c>
      <c r="P397" t="s">
        <v>160</v>
      </c>
      <c r="R397">
        <v>794</v>
      </c>
      <c r="S397">
        <v>787.6</v>
      </c>
      <c r="T397" t="s">
        <v>145</v>
      </c>
      <c r="U397" t="s">
        <v>1451</v>
      </c>
      <c r="V397" t="s">
        <v>27</v>
      </c>
      <c r="W397" t="s">
        <v>66</v>
      </c>
      <c r="X397" t="s">
        <v>67</v>
      </c>
      <c r="Y397" t="s">
        <v>138</v>
      </c>
      <c r="AA397" t="s">
        <v>494</v>
      </c>
      <c r="AC397" t="s">
        <v>139</v>
      </c>
      <c r="AD397" t="s">
        <v>1486</v>
      </c>
      <c r="AG397" t="s">
        <v>156</v>
      </c>
      <c r="AH397" t="s">
        <v>68</v>
      </c>
      <c r="AI397" t="s">
        <v>493</v>
      </c>
      <c r="AK397" t="s">
        <v>1388</v>
      </c>
    </row>
    <row r="398" spans="1:37" customFormat="1">
      <c r="A398" t="s">
        <v>23</v>
      </c>
      <c r="B398" t="s">
        <v>24</v>
      </c>
      <c r="C398" t="s">
        <v>1379</v>
      </c>
      <c r="D398" t="s">
        <v>135</v>
      </c>
      <c r="E398" t="s">
        <v>1380</v>
      </c>
      <c r="F398" t="s">
        <v>931</v>
      </c>
      <c r="G398" t="s">
        <v>136</v>
      </c>
      <c r="H398" t="s">
        <v>152</v>
      </c>
      <c r="I398" t="s">
        <v>156</v>
      </c>
      <c r="J398" t="s">
        <v>26</v>
      </c>
      <c r="K398" t="s">
        <v>157</v>
      </c>
      <c r="L398" t="s">
        <v>143</v>
      </c>
      <c r="M398" t="s">
        <v>144</v>
      </c>
      <c r="N398" t="s">
        <v>1389</v>
      </c>
      <c r="O398">
        <v>1</v>
      </c>
      <c r="P398" t="s">
        <v>160</v>
      </c>
      <c r="R398">
        <v>794</v>
      </c>
      <c r="S398">
        <v>787.6</v>
      </c>
      <c r="T398" t="s">
        <v>145</v>
      </c>
      <c r="U398" t="s">
        <v>1451</v>
      </c>
      <c r="V398" t="s">
        <v>27</v>
      </c>
      <c r="W398" t="s">
        <v>66</v>
      </c>
      <c r="X398" t="s">
        <v>67</v>
      </c>
      <c r="Y398" t="s">
        <v>138</v>
      </c>
      <c r="AA398" t="s">
        <v>494</v>
      </c>
      <c r="AC398" t="s">
        <v>139</v>
      </c>
      <c r="AD398" t="s">
        <v>1487</v>
      </c>
      <c r="AG398" t="s">
        <v>156</v>
      </c>
      <c r="AH398" t="s">
        <v>68</v>
      </c>
      <c r="AI398" t="s">
        <v>493</v>
      </c>
      <c r="AK398" t="s">
        <v>1390</v>
      </c>
    </row>
    <row r="399" spans="1:37" customFormat="1">
      <c r="A399" t="s">
        <v>23</v>
      </c>
      <c r="B399" t="s">
        <v>24</v>
      </c>
      <c r="C399" t="s">
        <v>177</v>
      </c>
      <c r="D399" t="s">
        <v>135</v>
      </c>
      <c r="E399" t="s">
        <v>1391</v>
      </c>
      <c r="F399" t="s">
        <v>931</v>
      </c>
      <c r="G399" t="s">
        <v>136</v>
      </c>
      <c r="H399" t="s">
        <v>146</v>
      </c>
      <c r="I399" t="s">
        <v>156</v>
      </c>
      <c r="J399" t="s">
        <v>25</v>
      </c>
      <c r="K399" t="s">
        <v>157</v>
      </c>
      <c r="L399" t="s">
        <v>143</v>
      </c>
      <c r="M399" t="s">
        <v>144</v>
      </c>
      <c r="N399" t="s">
        <v>1392</v>
      </c>
      <c r="O399">
        <v>39</v>
      </c>
      <c r="P399" t="s">
        <v>159</v>
      </c>
      <c r="R399">
        <v>823</v>
      </c>
      <c r="S399">
        <v>788.58</v>
      </c>
      <c r="T399" t="s">
        <v>145</v>
      </c>
      <c r="U399" t="s">
        <v>988</v>
      </c>
      <c r="V399" t="s">
        <v>27</v>
      </c>
      <c r="W399" t="s">
        <v>66</v>
      </c>
      <c r="X399" t="s">
        <v>67</v>
      </c>
      <c r="Y399" t="s">
        <v>138</v>
      </c>
      <c r="AA399" t="s">
        <v>494</v>
      </c>
      <c r="AC399" t="s">
        <v>139</v>
      </c>
      <c r="AD399" t="s">
        <v>1488</v>
      </c>
      <c r="AG399" t="s">
        <v>156</v>
      </c>
      <c r="AH399" t="s">
        <v>68</v>
      </c>
      <c r="AI399" t="s">
        <v>493</v>
      </c>
    </row>
    <row r="400" spans="1:37" customFormat="1">
      <c r="A400" t="s">
        <v>23</v>
      </c>
      <c r="B400" t="s">
        <v>24</v>
      </c>
      <c r="C400" t="s">
        <v>1379</v>
      </c>
      <c r="D400" t="s">
        <v>135</v>
      </c>
      <c r="E400" t="s">
        <v>1380</v>
      </c>
      <c r="F400" t="s">
        <v>931</v>
      </c>
      <c r="G400" t="s">
        <v>136</v>
      </c>
      <c r="H400" t="s">
        <v>152</v>
      </c>
      <c r="I400" t="s">
        <v>156</v>
      </c>
      <c r="J400" t="s">
        <v>26</v>
      </c>
      <c r="K400" t="s">
        <v>157</v>
      </c>
      <c r="L400" t="s">
        <v>143</v>
      </c>
      <c r="M400" t="s">
        <v>144</v>
      </c>
      <c r="N400" t="s">
        <v>1393</v>
      </c>
      <c r="O400">
        <v>1</v>
      </c>
      <c r="P400" t="s">
        <v>160</v>
      </c>
      <c r="R400">
        <v>793</v>
      </c>
      <c r="S400">
        <v>787.6</v>
      </c>
      <c r="T400" t="s">
        <v>145</v>
      </c>
      <c r="U400" t="s">
        <v>1451</v>
      </c>
      <c r="V400" t="s">
        <v>27</v>
      </c>
      <c r="W400" t="s">
        <v>66</v>
      </c>
      <c r="X400" t="s">
        <v>67</v>
      </c>
      <c r="Y400" t="s">
        <v>138</v>
      </c>
      <c r="AA400" t="s">
        <v>494</v>
      </c>
      <c r="AC400" t="s">
        <v>139</v>
      </c>
      <c r="AD400" t="s">
        <v>1489</v>
      </c>
      <c r="AG400" t="s">
        <v>156</v>
      </c>
      <c r="AH400" t="s">
        <v>68</v>
      </c>
      <c r="AI400" t="s">
        <v>493</v>
      </c>
      <c r="AK400" t="s">
        <v>1394</v>
      </c>
    </row>
    <row r="401" spans="1:37" customFormat="1">
      <c r="A401" t="s">
        <v>23</v>
      </c>
      <c r="B401" t="s">
        <v>24</v>
      </c>
      <c r="C401" t="s">
        <v>1379</v>
      </c>
      <c r="D401" t="s">
        <v>135</v>
      </c>
      <c r="E401" t="s">
        <v>1380</v>
      </c>
      <c r="F401" t="s">
        <v>931</v>
      </c>
      <c r="G401" t="s">
        <v>136</v>
      </c>
      <c r="H401" t="s">
        <v>152</v>
      </c>
      <c r="I401" t="s">
        <v>156</v>
      </c>
      <c r="J401" t="s">
        <v>26</v>
      </c>
      <c r="K401" t="s">
        <v>157</v>
      </c>
      <c r="L401" t="s">
        <v>143</v>
      </c>
      <c r="M401" t="s">
        <v>144</v>
      </c>
      <c r="N401" t="s">
        <v>1395</v>
      </c>
      <c r="O401">
        <v>1</v>
      </c>
      <c r="P401" t="s">
        <v>160</v>
      </c>
      <c r="R401">
        <v>795</v>
      </c>
      <c r="S401">
        <v>787.6</v>
      </c>
      <c r="T401" t="s">
        <v>145</v>
      </c>
      <c r="U401" t="s">
        <v>1451</v>
      </c>
      <c r="V401" t="s">
        <v>27</v>
      </c>
      <c r="W401" t="s">
        <v>66</v>
      </c>
      <c r="X401" t="s">
        <v>67</v>
      </c>
      <c r="Y401" t="s">
        <v>138</v>
      </c>
      <c r="AA401" t="s">
        <v>494</v>
      </c>
      <c r="AC401" t="s">
        <v>139</v>
      </c>
      <c r="AD401" t="s">
        <v>1490</v>
      </c>
      <c r="AG401" t="s">
        <v>156</v>
      </c>
      <c r="AH401" t="s">
        <v>68</v>
      </c>
      <c r="AI401" t="s">
        <v>493</v>
      </c>
      <c r="AK401" t="s">
        <v>1396</v>
      </c>
    </row>
    <row r="402" spans="1:37" customFormat="1">
      <c r="A402" t="s">
        <v>23</v>
      </c>
      <c r="B402" t="s">
        <v>24</v>
      </c>
      <c r="C402" t="s">
        <v>1379</v>
      </c>
      <c r="D402" t="s">
        <v>135</v>
      </c>
      <c r="E402" t="s">
        <v>1380</v>
      </c>
      <c r="F402" t="s">
        <v>931</v>
      </c>
      <c r="G402" t="s">
        <v>136</v>
      </c>
      <c r="H402" t="s">
        <v>152</v>
      </c>
      <c r="I402" t="s">
        <v>156</v>
      </c>
      <c r="J402" t="s">
        <v>26</v>
      </c>
      <c r="K402" t="s">
        <v>157</v>
      </c>
      <c r="L402" t="s">
        <v>143</v>
      </c>
      <c r="M402" t="s">
        <v>144</v>
      </c>
      <c r="N402" t="s">
        <v>1397</v>
      </c>
      <c r="O402">
        <v>1</v>
      </c>
      <c r="P402" t="s">
        <v>160</v>
      </c>
      <c r="R402">
        <v>792</v>
      </c>
      <c r="S402">
        <v>787.6</v>
      </c>
      <c r="T402" t="s">
        <v>145</v>
      </c>
      <c r="U402" t="s">
        <v>1451</v>
      </c>
      <c r="V402" t="s">
        <v>27</v>
      </c>
      <c r="W402" t="s">
        <v>66</v>
      </c>
      <c r="X402" t="s">
        <v>67</v>
      </c>
      <c r="Y402" t="s">
        <v>138</v>
      </c>
      <c r="AA402" t="s">
        <v>494</v>
      </c>
      <c r="AC402" t="s">
        <v>139</v>
      </c>
      <c r="AD402" t="s">
        <v>1491</v>
      </c>
      <c r="AG402" t="s">
        <v>156</v>
      </c>
      <c r="AH402" t="s">
        <v>68</v>
      </c>
      <c r="AI402" t="s">
        <v>493</v>
      </c>
      <c r="AK402" t="s">
        <v>1398</v>
      </c>
    </row>
    <row r="403" spans="1:37" customFormat="1">
      <c r="A403" t="s">
        <v>23</v>
      </c>
      <c r="B403" t="s">
        <v>24</v>
      </c>
      <c r="C403" t="s">
        <v>1379</v>
      </c>
      <c r="D403" t="s">
        <v>135</v>
      </c>
      <c r="E403" t="s">
        <v>1380</v>
      </c>
      <c r="F403" t="s">
        <v>931</v>
      </c>
      <c r="G403" t="s">
        <v>136</v>
      </c>
      <c r="H403" t="s">
        <v>152</v>
      </c>
      <c r="I403" t="s">
        <v>156</v>
      </c>
      <c r="J403" t="s">
        <v>26</v>
      </c>
      <c r="K403" t="s">
        <v>157</v>
      </c>
      <c r="L403" t="s">
        <v>143</v>
      </c>
      <c r="M403" t="s">
        <v>144</v>
      </c>
      <c r="N403" t="s">
        <v>1402</v>
      </c>
      <c r="O403">
        <v>1</v>
      </c>
      <c r="P403" t="s">
        <v>160</v>
      </c>
      <c r="R403">
        <v>790</v>
      </c>
      <c r="S403">
        <v>787.6</v>
      </c>
      <c r="T403" t="s">
        <v>145</v>
      </c>
      <c r="U403" t="s">
        <v>1451</v>
      </c>
      <c r="V403" t="s">
        <v>27</v>
      </c>
      <c r="W403" t="s">
        <v>66</v>
      </c>
      <c r="X403" t="s">
        <v>67</v>
      </c>
      <c r="Y403" t="s">
        <v>138</v>
      </c>
      <c r="AA403" t="s">
        <v>494</v>
      </c>
      <c r="AC403" t="s">
        <v>139</v>
      </c>
      <c r="AD403" t="s">
        <v>1492</v>
      </c>
      <c r="AG403" t="s">
        <v>156</v>
      </c>
      <c r="AH403" t="s">
        <v>68</v>
      </c>
      <c r="AI403" t="s">
        <v>493</v>
      </c>
      <c r="AK403" t="s">
        <v>1403</v>
      </c>
    </row>
    <row r="404" spans="1:37" customFormat="1">
      <c r="A404" t="s">
        <v>23</v>
      </c>
      <c r="B404" t="s">
        <v>24</v>
      </c>
      <c r="C404" t="s">
        <v>1379</v>
      </c>
      <c r="D404" t="s">
        <v>135</v>
      </c>
      <c r="E404" t="s">
        <v>1380</v>
      </c>
      <c r="F404" t="s">
        <v>931</v>
      </c>
      <c r="G404" t="s">
        <v>136</v>
      </c>
      <c r="H404" t="s">
        <v>152</v>
      </c>
      <c r="I404" t="s">
        <v>156</v>
      </c>
      <c r="J404" t="s">
        <v>26</v>
      </c>
      <c r="K404" t="s">
        <v>157</v>
      </c>
      <c r="L404" t="s">
        <v>143</v>
      </c>
      <c r="M404" t="s">
        <v>144</v>
      </c>
      <c r="N404" t="s">
        <v>1404</v>
      </c>
      <c r="O404">
        <v>1</v>
      </c>
      <c r="P404" t="s">
        <v>160</v>
      </c>
      <c r="R404">
        <v>789</v>
      </c>
      <c r="S404">
        <v>787.6</v>
      </c>
      <c r="T404" t="s">
        <v>145</v>
      </c>
      <c r="U404" t="s">
        <v>1451</v>
      </c>
      <c r="V404" t="s">
        <v>27</v>
      </c>
      <c r="W404" t="s">
        <v>66</v>
      </c>
      <c r="X404" t="s">
        <v>67</v>
      </c>
      <c r="Y404" t="s">
        <v>138</v>
      </c>
      <c r="AA404" t="s">
        <v>494</v>
      </c>
      <c r="AC404" t="s">
        <v>139</v>
      </c>
      <c r="AD404" t="s">
        <v>1493</v>
      </c>
      <c r="AG404" t="s">
        <v>156</v>
      </c>
      <c r="AH404" t="s">
        <v>68</v>
      </c>
      <c r="AI404" t="s">
        <v>493</v>
      </c>
      <c r="AK404" t="s">
        <v>1405</v>
      </c>
    </row>
    <row r="405" spans="1:37" customFormat="1">
      <c r="A405" t="s">
        <v>23</v>
      </c>
      <c r="B405" t="s">
        <v>24</v>
      </c>
      <c r="C405" t="s">
        <v>1379</v>
      </c>
      <c r="D405" t="s">
        <v>135</v>
      </c>
      <c r="E405" t="s">
        <v>1380</v>
      </c>
      <c r="F405" t="s">
        <v>931</v>
      </c>
      <c r="G405" t="s">
        <v>136</v>
      </c>
      <c r="H405" t="s">
        <v>152</v>
      </c>
      <c r="I405" t="s">
        <v>156</v>
      </c>
      <c r="J405" t="s">
        <v>26</v>
      </c>
      <c r="K405" t="s">
        <v>157</v>
      </c>
      <c r="L405" t="s">
        <v>143</v>
      </c>
      <c r="M405" t="s">
        <v>144</v>
      </c>
      <c r="N405" t="s">
        <v>1406</v>
      </c>
      <c r="O405">
        <v>1</v>
      </c>
      <c r="P405" t="s">
        <v>160</v>
      </c>
      <c r="R405">
        <v>789</v>
      </c>
      <c r="S405">
        <v>787.6</v>
      </c>
      <c r="T405" t="s">
        <v>145</v>
      </c>
      <c r="U405" t="s">
        <v>1451</v>
      </c>
      <c r="V405" t="s">
        <v>27</v>
      </c>
      <c r="W405" t="s">
        <v>66</v>
      </c>
      <c r="X405" t="s">
        <v>67</v>
      </c>
      <c r="Y405" t="s">
        <v>138</v>
      </c>
      <c r="AA405" t="s">
        <v>494</v>
      </c>
      <c r="AC405" t="s">
        <v>139</v>
      </c>
      <c r="AD405" t="s">
        <v>1494</v>
      </c>
      <c r="AG405" t="s">
        <v>156</v>
      </c>
      <c r="AH405" t="s">
        <v>68</v>
      </c>
      <c r="AI405" t="s">
        <v>493</v>
      </c>
      <c r="AK405" t="s">
        <v>1407</v>
      </c>
    </row>
    <row r="406" spans="1:37" customFormat="1">
      <c r="A406" t="s">
        <v>23</v>
      </c>
      <c r="B406" t="s">
        <v>24</v>
      </c>
      <c r="C406" t="s">
        <v>1379</v>
      </c>
      <c r="D406" t="s">
        <v>135</v>
      </c>
      <c r="E406" t="s">
        <v>1380</v>
      </c>
      <c r="F406" t="s">
        <v>931</v>
      </c>
      <c r="G406" t="s">
        <v>136</v>
      </c>
      <c r="H406" t="s">
        <v>152</v>
      </c>
      <c r="I406" t="s">
        <v>156</v>
      </c>
      <c r="J406" t="s">
        <v>26</v>
      </c>
      <c r="K406" t="s">
        <v>157</v>
      </c>
      <c r="L406" t="s">
        <v>143</v>
      </c>
      <c r="M406" t="s">
        <v>144</v>
      </c>
      <c r="N406" t="s">
        <v>1408</v>
      </c>
      <c r="O406">
        <v>1</v>
      </c>
      <c r="P406" t="s">
        <v>160</v>
      </c>
      <c r="R406">
        <v>791</v>
      </c>
      <c r="S406">
        <v>787.6</v>
      </c>
      <c r="T406" t="s">
        <v>145</v>
      </c>
      <c r="U406" t="s">
        <v>1451</v>
      </c>
      <c r="V406" t="s">
        <v>27</v>
      </c>
      <c r="W406" t="s">
        <v>66</v>
      </c>
      <c r="X406" t="s">
        <v>67</v>
      </c>
      <c r="Y406" t="s">
        <v>138</v>
      </c>
      <c r="AA406" t="s">
        <v>494</v>
      </c>
      <c r="AC406" t="s">
        <v>139</v>
      </c>
      <c r="AD406" t="s">
        <v>1495</v>
      </c>
      <c r="AG406" t="s">
        <v>156</v>
      </c>
      <c r="AH406" t="s">
        <v>68</v>
      </c>
      <c r="AI406" t="s">
        <v>493</v>
      </c>
      <c r="AK406" t="s">
        <v>1409</v>
      </c>
    </row>
    <row r="407" spans="1:37" customFormat="1">
      <c r="A407" t="s">
        <v>23</v>
      </c>
      <c r="B407" t="s">
        <v>24</v>
      </c>
      <c r="C407" t="s">
        <v>174</v>
      </c>
      <c r="D407" t="s">
        <v>135</v>
      </c>
      <c r="E407" t="s">
        <v>1400</v>
      </c>
      <c r="F407" t="s">
        <v>931</v>
      </c>
      <c r="G407" t="s">
        <v>136</v>
      </c>
      <c r="H407" t="s">
        <v>152</v>
      </c>
      <c r="I407" t="s">
        <v>156</v>
      </c>
      <c r="J407" t="s">
        <v>25</v>
      </c>
      <c r="K407" t="s">
        <v>157</v>
      </c>
      <c r="L407" t="s">
        <v>143</v>
      </c>
      <c r="M407" t="s">
        <v>144</v>
      </c>
      <c r="N407" t="s">
        <v>1410</v>
      </c>
      <c r="O407">
        <v>9</v>
      </c>
      <c r="P407" t="s">
        <v>159</v>
      </c>
      <c r="R407">
        <v>208.5</v>
      </c>
      <c r="S407">
        <v>177.21</v>
      </c>
      <c r="T407" t="s">
        <v>145</v>
      </c>
      <c r="U407" t="s">
        <v>988</v>
      </c>
      <c r="V407" t="s">
        <v>27</v>
      </c>
      <c r="W407" t="s">
        <v>66</v>
      </c>
      <c r="X407" t="s">
        <v>67</v>
      </c>
      <c r="Y407" t="s">
        <v>138</v>
      </c>
      <c r="AA407" t="s">
        <v>494</v>
      </c>
      <c r="AC407" t="s">
        <v>139</v>
      </c>
      <c r="AD407" t="s">
        <v>1496</v>
      </c>
      <c r="AG407" t="s">
        <v>156</v>
      </c>
      <c r="AH407" t="s">
        <v>68</v>
      </c>
      <c r="AI407" t="s">
        <v>493</v>
      </c>
    </row>
    <row r="408" spans="1:37" customFormat="1">
      <c r="A408" t="s">
        <v>23</v>
      </c>
      <c r="B408" t="s">
        <v>24</v>
      </c>
      <c r="C408" t="s">
        <v>1379</v>
      </c>
      <c r="D408" t="s">
        <v>135</v>
      </c>
      <c r="E408" t="s">
        <v>1411</v>
      </c>
      <c r="F408" t="s">
        <v>931</v>
      </c>
      <c r="G408" t="s">
        <v>136</v>
      </c>
      <c r="H408" t="s">
        <v>152</v>
      </c>
      <c r="I408" t="s">
        <v>156</v>
      </c>
      <c r="J408" t="s">
        <v>26</v>
      </c>
      <c r="K408" t="s">
        <v>157</v>
      </c>
      <c r="L408" t="s">
        <v>143</v>
      </c>
      <c r="M408" t="s">
        <v>144</v>
      </c>
      <c r="N408" t="s">
        <v>1412</v>
      </c>
      <c r="O408">
        <v>1</v>
      </c>
      <c r="P408" t="s">
        <v>160</v>
      </c>
      <c r="R408">
        <v>797</v>
      </c>
      <c r="S408">
        <v>794.4</v>
      </c>
      <c r="T408" t="s">
        <v>145</v>
      </c>
      <c r="U408" t="s">
        <v>1451</v>
      </c>
      <c r="V408" t="s">
        <v>27</v>
      </c>
      <c r="W408" t="s">
        <v>66</v>
      </c>
      <c r="X408" t="s">
        <v>67</v>
      </c>
      <c r="Y408" t="s">
        <v>138</v>
      </c>
      <c r="AA408" t="s">
        <v>494</v>
      </c>
      <c r="AC408" t="s">
        <v>139</v>
      </c>
      <c r="AD408" t="s">
        <v>1497</v>
      </c>
      <c r="AG408" t="s">
        <v>156</v>
      </c>
      <c r="AH408" t="s">
        <v>68</v>
      </c>
      <c r="AI408" t="s">
        <v>493</v>
      </c>
      <c r="AK408" t="s">
        <v>1413</v>
      </c>
    </row>
    <row r="409" spans="1:37" customFormat="1">
      <c r="A409" t="s">
        <v>23</v>
      </c>
      <c r="B409" t="s">
        <v>24</v>
      </c>
      <c r="C409" t="s">
        <v>1379</v>
      </c>
      <c r="D409" t="s">
        <v>135</v>
      </c>
      <c r="E409" t="s">
        <v>1411</v>
      </c>
      <c r="F409" t="s">
        <v>931</v>
      </c>
      <c r="G409" t="s">
        <v>136</v>
      </c>
      <c r="H409" t="s">
        <v>152</v>
      </c>
      <c r="I409" t="s">
        <v>156</v>
      </c>
      <c r="J409" t="s">
        <v>26</v>
      </c>
      <c r="K409" t="s">
        <v>157</v>
      </c>
      <c r="L409" t="s">
        <v>143</v>
      </c>
      <c r="M409" t="s">
        <v>144</v>
      </c>
      <c r="N409" t="s">
        <v>1414</v>
      </c>
      <c r="O409">
        <v>1</v>
      </c>
      <c r="P409" t="s">
        <v>160</v>
      </c>
      <c r="R409">
        <v>797</v>
      </c>
      <c r="S409">
        <v>794.4</v>
      </c>
      <c r="T409" t="s">
        <v>145</v>
      </c>
      <c r="U409" t="s">
        <v>1451</v>
      </c>
      <c r="V409" t="s">
        <v>27</v>
      </c>
      <c r="W409" t="s">
        <v>66</v>
      </c>
      <c r="X409" t="s">
        <v>67</v>
      </c>
      <c r="Y409" t="s">
        <v>138</v>
      </c>
      <c r="AA409" t="s">
        <v>494</v>
      </c>
      <c r="AC409" t="s">
        <v>139</v>
      </c>
      <c r="AD409" t="s">
        <v>1498</v>
      </c>
      <c r="AG409" t="s">
        <v>156</v>
      </c>
      <c r="AH409" t="s">
        <v>68</v>
      </c>
      <c r="AI409" t="s">
        <v>493</v>
      </c>
      <c r="AK409" t="s">
        <v>1415</v>
      </c>
    </row>
    <row r="410" spans="1:37" customFormat="1">
      <c r="A410" t="s">
        <v>23</v>
      </c>
      <c r="B410" t="s">
        <v>24</v>
      </c>
      <c r="C410" t="s">
        <v>1379</v>
      </c>
      <c r="D410" t="s">
        <v>135</v>
      </c>
      <c r="E410" t="s">
        <v>1411</v>
      </c>
      <c r="F410" t="s">
        <v>931</v>
      </c>
      <c r="G410" t="s">
        <v>136</v>
      </c>
      <c r="H410" t="s">
        <v>152</v>
      </c>
      <c r="I410" t="s">
        <v>156</v>
      </c>
      <c r="J410" t="s">
        <v>26</v>
      </c>
      <c r="K410" t="s">
        <v>157</v>
      </c>
      <c r="L410" t="s">
        <v>143</v>
      </c>
      <c r="M410" t="s">
        <v>144</v>
      </c>
      <c r="N410" t="s">
        <v>1416</v>
      </c>
      <c r="O410">
        <v>1</v>
      </c>
      <c r="P410" t="s">
        <v>160</v>
      </c>
      <c r="R410">
        <v>795</v>
      </c>
      <c r="S410">
        <v>794.4</v>
      </c>
      <c r="T410" t="s">
        <v>145</v>
      </c>
      <c r="U410" t="s">
        <v>1451</v>
      </c>
      <c r="V410" t="s">
        <v>27</v>
      </c>
      <c r="W410" t="s">
        <v>66</v>
      </c>
      <c r="X410" t="s">
        <v>67</v>
      </c>
      <c r="Y410" t="s">
        <v>138</v>
      </c>
      <c r="AA410" t="s">
        <v>494</v>
      </c>
      <c r="AC410" t="s">
        <v>139</v>
      </c>
      <c r="AD410" t="s">
        <v>1499</v>
      </c>
      <c r="AG410" t="s">
        <v>156</v>
      </c>
      <c r="AH410" t="s">
        <v>68</v>
      </c>
      <c r="AI410" t="s">
        <v>493</v>
      </c>
      <c r="AK410" t="s">
        <v>1417</v>
      </c>
    </row>
    <row r="411" spans="1:37" customFormat="1">
      <c r="A411" t="s">
        <v>23</v>
      </c>
      <c r="B411" t="s">
        <v>24</v>
      </c>
      <c r="C411" t="s">
        <v>1379</v>
      </c>
      <c r="D411" t="s">
        <v>135</v>
      </c>
      <c r="E411" t="s">
        <v>1411</v>
      </c>
      <c r="F411" t="s">
        <v>931</v>
      </c>
      <c r="G411" t="s">
        <v>136</v>
      </c>
      <c r="H411" t="s">
        <v>152</v>
      </c>
      <c r="I411" t="s">
        <v>156</v>
      </c>
      <c r="J411" t="s">
        <v>26</v>
      </c>
      <c r="K411" t="s">
        <v>157</v>
      </c>
      <c r="L411" t="s">
        <v>143</v>
      </c>
      <c r="M411" t="s">
        <v>144</v>
      </c>
      <c r="N411" t="s">
        <v>1418</v>
      </c>
      <c r="O411">
        <v>1</v>
      </c>
      <c r="P411" t="s">
        <v>160</v>
      </c>
      <c r="R411">
        <v>798</v>
      </c>
      <c r="S411">
        <v>794.4</v>
      </c>
      <c r="T411" t="s">
        <v>145</v>
      </c>
      <c r="U411" t="s">
        <v>1451</v>
      </c>
      <c r="V411" t="s">
        <v>27</v>
      </c>
      <c r="W411" t="s">
        <v>66</v>
      </c>
      <c r="X411" t="s">
        <v>67</v>
      </c>
      <c r="Y411" t="s">
        <v>138</v>
      </c>
      <c r="AA411" t="s">
        <v>494</v>
      </c>
      <c r="AC411" t="s">
        <v>139</v>
      </c>
      <c r="AD411" t="s">
        <v>1500</v>
      </c>
      <c r="AG411" t="s">
        <v>156</v>
      </c>
      <c r="AH411" t="s">
        <v>68</v>
      </c>
      <c r="AI411" t="s">
        <v>493</v>
      </c>
      <c r="AK411" t="s">
        <v>1419</v>
      </c>
    </row>
    <row r="412" spans="1:37" customFormat="1">
      <c r="A412" t="s">
        <v>23</v>
      </c>
      <c r="B412" t="s">
        <v>24</v>
      </c>
      <c r="C412" t="s">
        <v>1379</v>
      </c>
      <c r="D412" t="s">
        <v>135</v>
      </c>
      <c r="E412" t="s">
        <v>1411</v>
      </c>
      <c r="F412" t="s">
        <v>931</v>
      </c>
      <c r="G412" t="s">
        <v>136</v>
      </c>
      <c r="H412" t="s">
        <v>152</v>
      </c>
      <c r="I412" t="s">
        <v>156</v>
      </c>
      <c r="J412" t="s">
        <v>26</v>
      </c>
      <c r="K412" t="s">
        <v>157</v>
      </c>
      <c r="L412" t="s">
        <v>143</v>
      </c>
      <c r="M412" t="s">
        <v>144</v>
      </c>
      <c r="N412" t="s">
        <v>1420</v>
      </c>
      <c r="O412">
        <v>1</v>
      </c>
      <c r="P412" t="s">
        <v>160</v>
      </c>
      <c r="R412">
        <v>799</v>
      </c>
      <c r="S412">
        <v>794.4</v>
      </c>
      <c r="T412" t="s">
        <v>145</v>
      </c>
      <c r="U412" t="s">
        <v>1451</v>
      </c>
      <c r="V412" t="s">
        <v>27</v>
      </c>
      <c r="W412" t="s">
        <v>66</v>
      </c>
      <c r="X412" t="s">
        <v>67</v>
      </c>
      <c r="Y412" t="s">
        <v>138</v>
      </c>
      <c r="AA412" t="s">
        <v>494</v>
      </c>
      <c r="AC412" t="s">
        <v>139</v>
      </c>
      <c r="AD412" t="s">
        <v>1501</v>
      </c>
      <c r="AG412" t="s">
        <v>156</v>
      </c>
      <c r="AH412" t="s">
        <v>68</v>
      </c>
      <c r="AI412" t="s">
        <v>493</v>
      </c>
      <c r="AK412" t="s">
        <v>1421</v>
      </c>
    </row>
    <row r="413" spans="1:37" customFormat="1">
      <c r="A413" t="s">
        <v>23</v>
      </c>
      <c r="B413" t="s">
        <v>24</v>
      </c>
      <c r="C413" t="s">
        <v>1379</v>
      </c>
      <c r="D413" t="s">
        <v>135</v>
      </c>
      <c r="E413" t="s">
        <v>1411</v>
      </c>
      <c r="F413" t="s">
        <v>931</v>
      </c>
      <c r="G413" t="s">
        <v>136</v>
      </c>
      <c r="H413" t="s">
        <v>152</v>
      </c>
      <c r="I413" t="s">
        <v>156</v>
      </c>
      <c r="J413" t="s">
        <v>26</v>
      </c>
      <c r="K413" t="s">
        <v>157</v>
      </c>
      <c r="L413" t="s">
        <v>143</v>
      </c>
      <c r="M413" t="s">
        <v>144</v>
      </c>
      <c r="N413" t="s">
        <v>1422</v>
      </c>
      <c r="O413">
        <v>1</v>
      </c>
      <c r="P413" t="s">
        <v>160</v>
      </c>
      <c r="R413">
        <v>800</v>
      </c>
      <c r="S413">
        <v>794.4</v>
      </c>
      <c r="T413" t="s">
        <v>145</v>
      </c>
      <c r="U413" t="s">
        <v>1451</v>
      </c>
      <c r="V413" t="s">
        <v>27</v>
      </c>
      <c r="W413" t="s">
        <v>66</v>
      </c>
      <c r="X413" t="s">
        <v>67</v>
      </c>
      <c r="Y413" t="s">
        <v>138</v>
      </c>
      <c r="AA413" t="s">
        <v>494</v>
      </c>
      <c r="AC413" t="s">
        <v>139</v>
      </c>
      <c r="AD413" t="s">
        <v>1502</v>
      </c>
      <c r="AG413" t="s">
        <v>156</v>
      </c>
      <c r="AH413" t="s">
        <v>68</v>
      </c>
      <c r="AI413" t="s">
        <v>493</v>
      </c>
      <c r="AK413" t="s">
        <v>1423</v>
      </c>
    </row>
    <row r="414" spans="1:37" customFormat="1">
      <c r="A414" t="s">
        <v>23</v>
      </c>
      <c r="B414" t="s">
        <v>24</v>
      </c>
      <c r="C414" t="s">
        <v>1379</v>
      </c>
      <c r="D414" t="s">
        <v>135</v>
      </c>
      <c r="E414" t="s">
        <v>1411</v>
      </c>
      <c r="F414" t="s">
        <v>931</v>
      </c>
      <c r="G414" t="s">
        <v>136</v>
      </c>
      <c r="H414" t="s">
        <v>152</v>
      </c>
      <c r="I414" t="s">
        <v>156</v>
      </c>
      <c r="J414" t="s">
        <v>26</v>
      </c>
      <c r="K414" t="s">
        <v>157</v>
      </c>
      <c r="L414" t="s">
        <v>143</v>
      </c>
      <c r="M414" t="s">
        <v>144</v>
      </c>
      <c r="N414" t="s">
        <v>1424</v>
      </c>
      <c r="O414">
        <v>1</v>
      </c>
      <c r="P414" t="s">
        <v>160</v>
      </c>
      <c r="R414">
        <v>802</v>
      </c>
      <c r="S414">
        <v>794.4</v>
      </c>
      <c r="T414" t="s">
        <v>145</v>
      </c>
      <c r="U414" t="s">
        <v>1451</v>
      </c>
      <c r="V414" t="s">
        <v>27</v>
      </c>
      <c r="W414" t="s">
        <v>66</v>
      </c>
      <c r="X414" t="s">
        <v>67</v>
      </c>
      <c r="Y414" t="s">
        <v>138</v>
      </c>
      <c r="AA414" t="s">
        <v>494</v>
      </c>
      <c r="AC414" t="s">
        <v>139</v>
      </c>
      <c r="AD414" t="s">
        <v>1503</v>
      </c>
      <c r="AG414" t="s">
        <v>156</v>
      </c>
      <c r="AH414" t="s">
        <v>68</v>
      </c>
      <c r="AI414" t="s">
        <v>493</v>
      </c>
      <c r="AK414" t="s">
        <v>1425</v>
      </c>
    </row>
    <row r="415" spans="1:37" customFormat="1">
      <c r="A415" t="s">
        <v>23</v>
      </c>
      <c r="B415" t="s">
        <v>24</v>
      </c>
      <c r="C415" t="s">
        <v>1379</v>
      </c>
      <c r="D415" t="s">
        <v>135</v>
      </c>
      <c r="E415" t="s">
        <v>1411</v>
      </c>
      <c r="F415" t="s">
        <v>931</v>
      </c>
      <c r="G415" t="s">
        <v>136</v>
      </c>
      <c r="H415" t="s">
        <v>152</v>
      </c>
      <c r="I415" t="s">
        <v>156</v>
      </c>
      <c r="J415" t="s">
        <v>26</v>
      </c>
      <c r="K415" t="s">
        <v>157</v>
      </c>
      <c r="L415" t="s">
        <v>143</v>
      </c>
      <c r="M415" t="s">
        <v>144</v>
      </c>
      <c r="N415" t="s">
        <v>1426</v>
      </c>
      <c r="O415">
        <v>1</v>
      </c>
      <c r="P415" t="s">
        <v>160</v>
      </c>
      <c r="R415">
        <v>801</v>
      </c>
      <c r="S415">
        <v>794.4</v>
      </c>
      <c r="T415" t="s">
        <v>145</v>
      </c>
      <c r="U415" t="s">
        <v>1451</v>
      </c>
      <c r="V415" t="s">
        <v>27</v>
      </c>
      <c r="W415" t="s">
        <v>66</v>
      </c>
      <c r="X415" t="s">
        <v>67</v>
      </c>
      <c r="Y415" t="s">
        <v>138</v>
      </c>
      <c r="AA415" t="s">
        <v>494</v>
      </c>
      <c r="AC415" t="s">
        <v>139</v>
      </c>
      <c r="AD415" t="s">
        <v>1504</v>
      </c>
      <c r="AG415" t="s">
        <v>156</v>
      </c>
      <c r="AH415" t="s">
        <v>68</v>
      </c>
      <c r="AI415" t="s">
        <v>493</v>
      </c>
      <c r="AK415" t="s">
        <v>1427</v>
      </c>
    </row>
    <row r="416" spans="1:37" customFormat="1">
      <c r="A416" t="s">
        <v>23</v>
      </c>
      <c r="B416" t="s">
        <v>24</v>
      </c>
      <c r="C416" t="s">
        <v>1379</v>
      </c>
      <c r="D416" t="s">
        <v>135</v>
      </c>
      <c r="E416" t="s">
        <v>1411</v>
      </c>
      <c r="F416" t="s">
        <v>931</v>
      </c>
      <c r="G416" t="s">
        <v>136</v>
      </c>
      <c r="H416" t="s">
        <v>152</v>
      </c>
      <c r="I416" t="s">
        <v>156</v>
      </c>
      <c r="J416" t="s">
        <v>26</v>
      </c>
      <c r="K416" t="s">
        <v>157</v>
      </c>
      <c r="L416" t="s">
        <v>143</v>
      </c>
      <c r="M416" t="s">
        <v>144</v>
      </c>
      <c r="N416" t="s">
        <v>1428</v>
      </c>
      <c r="O416">
        <v>1</v>
      </c>
      <c r="P416" t="s">
        <v>160</v>
      </c>
      <c r="R416">
        <v>802</v>
      </c>
      <c r="S416">
        <v>794.4</v>
      </c>
      <c r="T416" t="s">
        <v>145</v>
      </c>
      <c r="U416" t="s">
        <v>1451</v>
      </c>
      <c r="V416" t="s">
        <v>27</v>
      </c>
      <c r="W416" t="s">
        <v>66</v>
      </c>
      <c r="X416" t="s">
        <v>67</v>
      </c>
      <c r="Y416" t="s">
        <v>138</v>
      </c>
      <c r="AA416" t="s">
        <v>494</v>
      </c>
      <c r="AC416" t="s">
        <v>139</v>
      </c>
      <c r="AD416" t="s">
        <v>1505</v>
      </c>
      <c r="AG416" t="s">
        <v>156</v>
      </c>
      <c r="AH416" t="s">
        <v>68</v>
      </c>
      <c r="AI416" t="s">
        <v>493</v>
      </c>
      <c r="AK416" t="s">
        <v>1429</v>
      </c>
    </row>
    <row r="417" spans="1:37" customFormat="1">
      <c r="A417" t="s">
        <v>23</v>
      </c>
      <c r="B417" t="s">
        <v>24</v>
      </c>
      <c r="C417" t="s">
        <v>1379</v>
      </c>
      <c r="D417" t="s">
        <v>135</v>
      </c>
      <c r="E417" t="s">
        <v>1411</v>
      </c>
      <c r="F417" t="s">
        <v>931</v>
      </c>
      <c r="G417" t="s">
        <v>136</v>
      </c>
      <c r="H417" t="s">
        <v>152</v>
      </c>
      <c r="I417" t="s">
        <v>156</v>
      </c>
      <c r="J417" t="s">
        <v>26</v>
      </c>
      <c r="K417" t="s">
        <v>157</v>
      </c>
      <c r="L417" t="s">
        <v>143</v>
      </c>
      <c r="M417" t="s">
        <v>144</v>
      </c>
      <c r="N417" t="s">
        <v>1430</v>
      </c>
      <c r="O417">
        <v>1</v>
      </c>
      <c r="P417" t="s">
        <v>160</v>
      </c>
      <c r="R417">
        <v>801</v>
      </c>
      <c r="S417">
        <v>794.4</v>
      </c>
      <c r="T417" t="s">
        <v>145</v>
      </c>
      <c r="U417" t="s">
        <v>1451</v>
      </c>
      <c r="V417" t="s">
        <v>27</v>
      </c>
      <c r="W417" t="s">
        <v>66</v>
      </c>
      <c r="X417" t="s">
        <v>67</v>
      </c>
      <c r="Y417" t="s">
        <v>138</v>
      </c>
      <c r="AA417" t="s">
        <v>494</v>
      </c>
      <c r="AC417" t="s">
        <v>139</v>
      </c>
      <c r="AD417" t="s">
        <v>1506</v>
      </c>
      <c r="AG417" t="s">
        <v>156</v>
      </c>
      <c r="AH417" t="s">
        <v>68</v>
      </c>
      <c r="AI417" t="s">
        <v>493</v>
      </c>
      <c r="AK417" t="s">
        <v>1431</v>
      </c>
    </row>
    <row r="418" spans="1:37" customFormat="1">
      <c r="A418" t="s">
        <v>23</v>
      </c>
      <c r="B418" t="s">
        <v>24</v>
      </c>
      <c r="C418" t="s">
        <v>1379</v>
      </c>
      <c r="D418" t="s">
        <v>135</v>
      </c>
      <c r="E418" t="s">
        <v>1411</v>
      </c>
      <c r="F418" t="s">
        <v>931</v>
      </c>
      <c r="G418" t="s">
        <v>136</v>
      </c>
      <c r="H418" t="s">
        <v>152</v>
      </c>
      <c r="I418" t="s">
        <v>156</v>
      </c>
      <c r="J418" t="s">
        <v>26</v>
      </c>
      <c r="K418" t="s">
        <v>157</v>
      </c>
      <c r="L418" t="s">
        <v>143</v>
      </c>
      <c r="M418" t="s">
        <v>144</v>
      </c>
      <c r="N418" t="s">
        <v>1432</v>
      </c>
      <c r="O418">
        <v>1</v>
      </c>
      <c r="P418" t="s">
        <v>160</v>
      </c>
      <c r="R418">
        <v>802</v>
      </c>
      <c r="S418">
        <v>794.4</v>
      </c>
      <c r="T418" t="s">
        <v>145</v>
      </c>
      <c r="U418" t="s">
        <v>1451</v>
      </c>
      <c r="V418" t="s">
        <v>27</v>
      </c>
      <c r="W418" t="s">
        <v>66</v>
      </c>
      <c r="X418" t="s">
        <v>67</v>
      </c>
      <c r="Y418" t="s">
        <v>138</v>
      </c>
      <c r="AA418" t="s">
        <v>494</v>
      </c>
      <c r="AC418" t="s">
        <v>139</v>
      </c>
      <c r="AD418" t="s">
        <v>1507</v>
      </c>
      <c r="AG418" t="s">
        <v>156</v>
      </c>
      <c r="AH418" t="s">
        <v>68</v>
      </c>
      <c r="AI418" t="s">
        <v>493</v>
      </c>
      <c r="AK418" t="s">
        <v>1433</v>
      </c>
    </row>
    <row r="419" spans="1:37" customFormat="1">
      <c r="A419" t="s">
        <v>23</v>
      </c>
      <c r="B419" t="s">
        <v>24</v>
      </c>
      <c r="C419" t="s">
        <v>1379</v>
      </c>
      <c r="D419" t="s">
        <v>135</v>
      </c>
      <c r="E419" t="s">
        <v>1411</v>
      </c>
      <c r="F419" t="s">
        <v>931</v>
      </c>
      <c r="G419" t="s">
        <v>136</v>
      </c>
      <c r="H419" t="s">
        <v>152</v>
      </c>
      <c r="I419" t="s">
        <v>156</v>
      </c>
      <c r="J419" t="s">
        <v>26</v>
      </c>
      <c r="K419" t="s">
        <v>157</v>
      </c>
      <c r="L419" t="s">
        <v>143</v>
      </c>
      <c r="M419" t="s">
        <v>144</v>
      </c>
      <c r="N419" t="s">
        <v>1434</v>
      </c>
      <c r="O419">
        <v>1</v>
      </c>
      <c r="P419" t="s">
        <v>160</v>
      </c>
      <c r="R419">
        <v>801</v>
      </c>
      <c r="S419">
        <v>794.4</v>
      </c>
      <c r="T419" t="s">
        <v>145</v>
      </c>
      <c r="U419" t="s">
        <v>1451</v>
      </c>
      <c r="V419" t="s">
        <v>27</v>
      </c>
      <c r="W419" t="s">
        <v>66</v>
      </c>
      <c r="X419" t="s">
        <v>67</v>
      </c>
      <c r="Y419" t="s">
        <v>138</v>
      </c>
      <c r="AA419" t="s">
        <v>494</v>
      </c>
      <c r="AC419" t="s">
        <v>139</v>
      </c>
      <c r="AD419" t="s">
        <v>1508</v>
      </c>
      <c r="AG419" t="s">
        <v>156</v>
      </c>
      <c r="AH419" t="s">
        <v>68</v>
      </c>
      <c r="AI419" t="s">
        <v>493</v>
      </c>
      <c r="AK419" t="s">
        <v>1435</v>
      </c>
    </row>
    <row r="420" spans="1:37" customFormat="1">
      <c r="A420" t="s">
        <v>23</v>
      </c>
      <c r="B420" t="s">
        <v>24</v>
      </c>
      <c r="C420" t="s">
        <v>1379</v>
      </c>
      <c r="D420" t="s">
        <v>135</v>
      </c>
      <c r="E420" t="s">
        <v>1411</v>
      </c>
      <c r="F420" t="s">
        <v>931</v>
      </c>
      <c r="G420" t="s">
        <v>136</v>
      </c>
      <c r="H420" t="s">
        <v>152</v>
      </c>
      <c r="I420" t="s">
        <v>156</v>
      </c>
      <c r="J420" t="s">
        <v>26</v>
      </c>
      <c r="K420" t="s">
        <v>157</v>
      </c>
      <c r="L420" t="s">
        <v>143</v>
      </c>
      <c r="M420" t="s">
        <v>144</v>
      </c>
      <c r="N420" t="s">
        <v>1436</v>
      </c>
      <c r="O420">
        <v>1</v>
      </c>
      <c r="P420" t="s">
        <v>160</v>
      </c>
      <c r="R420">
        <v>802</v>
      </c>
      <c r="S420">
        <v>794.4</v>
      </c>
      <c r="T420" t="s">
        <v>145</v>
      </c>
      <c r="U420" t="s">
        <v>1451</v>
      </c>
      <c r="V420" t="s">
        <v>27</v>
      </c>
      <c r="W420" t="s">
        <v>66</v>
      </c>
      <c r="X420" t="s">
        <v>67</v>
      </c>
      <c r="Y420" t="s">
        <v>138</v>
      </c>
      <c r="AA420" t="s">
        <v>494</v>
      </c>
      <c r="AC420" t="s">
        <v>139</v>
      </c>
      <c r="AD420" t="s">
        <v>1509</v>
      </c>
      <c r="AG420" t="s">
        <v>156</v>
      </c>
      <c r="AH420" t="s">
        <v>68</v>
      </c>
      <c r="AI420" t="s">
        <v>493</v>
      </c>
      <c r="AK420" t="s">
        <v>1437</v>
      </c>
    </row>
    <row r="421" spans="1:37" customFormat="1">
      <c r="A421" t="s">
        <v>23</v>
      </c>
      <c r="B421" t="s">
        <v>24</v>
      </c>
      <c r="C421" t="s">
        <v>1379</v>
      </c>
      <c r="D421" t="s">
        <v>135</v>
      </c>
      <c r="E421" t="s">
        <v>1411</v>
      </c>
      <c r="F421" t="s">
        <v>931</v>
      </c>
      <c r="G421" t="s">
        <v>136</v>
      </c>
      <c r="H421" t="s">
        <v>152</v>
      </c>
      <c r="I421" t="s">
        <v>156</v>
      </c>
      <c r="J421" t="s">
        <v>26</v>
      </c>
      <c r="K421" t="s">
        <v>157</v>
      </c>
      <c r="L421" t="s">
        <v>143</v>
      </c>
      <c r="M421" t="s">
        <v>144</v>
      </c>
      <c r="N421" t="s">
        <v>1438</v>
      </c>
      <c r="O421">
        <v>1</v>
      </c>
      <c r="P421" t="s">
        <v>160</v>
      </c>
      <c r="R421">
        <v>800</v>
      </c>
      <c r="S421">
        <v>794.4</v>
      </c>
      <c r="T421" t="s">
        <v>145</v>
      </c>
      <c r="U421" t="s">
        <v>1451</v>
      </c>
      <c r="V421" t="s">
        <v>27</v>
      </c>
      <c r="W421" t="s">
        <v>66</v>
      </c>
      <c r="X421" t="s">
        <v>67</v>
      </c>
      <c r="Y421" t="s">
        <v>138</v>
      </c>
      <c r="AA421" t="s">
        <v>494</v>
      </c>
      <c r="AC421" t="s">
        <v>139</v>
      </c>
      <c r="AD421" t="s">
        <v>1510</v>
      </c>
      <c r="AG421" t="s">
        <v>156</v>
      </c>
      <c r="AH421" t="s">
        <v>68</v>
      </c>
      <c r="AI421" t="s">
        <v>493</v>
      </c>
      <c r="AK421" t="s">
        <v>1439</v>
      </c>
    </row>
    <row r="422" spans="1:37" customFormat="1">
      <c r="A422" t="s">
        <v>23</v>
      </c>
      <c r="B422" t="s">
        <v>24</v>
      </c>
      <c r="C422" t="s">
        <v>1379</v>
      </c>
      <c r="D422" t="s">
        <v>135</v>
      </c>
      <c r="E422" t="s">
        <v>1411</v>
      </c>
      <c r="F422" t="s">
        <v>931</v>
      </c>
      <c r="G422" t="s">
        <v>136</v>
      </c>
      <c r="H422" t="s">
        <v>152</v>
      </c>
      <c r="I422" t="s">
        <v>156</v>
      </c>
      <c r="J422" t="s">
        <v>26</v>
      </c>
      <c r="K422" t="s">
        <v>157</v>
      </c>
      <c r="L422" t="s">
        <v>143</v>
      </c>
      <c r="M422" t="s">
        <v>144</v>
      </c>
      <c r="N422" t="s">
        <v>1511</v>
      </c>
      <c r="O422">
        <v>1</v>
      </c>
      <c r="P422" t="s">
        <v>160</v>
      </c>
      <c r="R422">
        <v>802</v>
      </c>
      <c r="S422">
        <v>794.4</v>
      </c>
      <c r="T422" t="s">
        <v>145</v>
      </c>
      <c r="U422" t="s">
        <v>1451</v>
      </c>
      <c r="V422" t="s">
        <v>27</v>
      </c>
      <c r="W422" t="s">
        <v>66</v>
      </c>
      <c r="X422" t="s">
        <v>67</v>
      </c>
      <c r="Y422" t="s">
        <v>138</v>
      </c>
      <c r="AA422" t="s">
        <v>494</v>
      </c>
      <c r="AC422" t="s">
        <v>139</v>
      </c>
      <c r="AD422" t="s">
        <v>1512</v>
      </c>
      <c r="AG422" t="s">
        <v>156</v>
      </c>
      <c r="AH422" t="s">
        <v>68</v>
      </c>
      <c r="AI422" t="s">
        <v>493</v>
      </c>
      <c r="AK422" t="s">
        <v>1513</v>
      </c>
    </row>
    <row r="423" spans="1:37" customFormat="1">
      <c r="A423" t="s">
        <v>23</v>
      </c>
      <c r="B423" t="s">
        <v>24</v>
      </c>
      <c r="C423" t="s">
        <v>174</v>
      </c>
      <c r="D423" t="s">
        <v>135</v>
      </c>
      <c r="E423" t="s">
        <v>1445</v>
      </c>
      <c r="F423" t="s">
        <v>931</v>
      </c>
      <c r="G423" t="s">
        <v>136</v>
      </c>
      <c r="H423" t="s">
        <v>152</v>
      </c>
      <c r="I423" t="s">
        <v>156</v>
      </c>
      <c r="J423" t="s">
        <v>25</v>
      </c>
      <c r="K423" t="s">
        <v>157</v>
      </c>
      <c r="L423" t="s">
        <v>143</v>
      </c>
      <c r="M423" t="s">
        <v>144</v>
      </c>
      <c r="N423" t="s">
        <v>1514</v>
      </c>
      <c r="O423">
        <v>18</v>
      </c>
      <c r="P423" t="s">
        <v>159</v>
      </c>
      <c r="R423">
        <v>389</v>
      </c>
      <c r="S423">
        <v>357.48</v>
      </c>
      <c r="T423" t="s">
        <v>145</v>
      </c>
      <c r="U423" t="s">
        <v>185</v>
      </c>
      <c r="V423" t="s">
        <v>27</v>
      </c>
      <c r="W423" t="s">
        <v>66</v>
      </c>
      <c r="X423" t="s">
        <v>67</v>
      </c>
      <c r="Y423" t="s">
        <v>138</v>
      </c>
      <c r="AA423" t="s">
        <v>494</v>
      </c>
      <c r="AC423" t="s">
        <v>139</v>
      </c>
      <c r="AD423" t="s">
        <v>1515</v>
      </c>
      <c r="AG423" t="s">
        <v>156</v>
      </c>
      <c r="AH423" t="s">
        <v>68</v>
      </c>
      <c r="AI423" t="s">
        <v>493</v>
      </c>
    </row>
    <row r="424" spans="1:37" customFormat="1">
      <c r="A424" t="s">
        <v>23</v>
      </c>
      <c r="B424" t="s">
        <v>24</v>
      </c>
      <c r="C424" t="s">
        <v>175</v>
      </c>
      <c r="D424" t="s">
        <v>135</v>
      </c>
      <c r="E424" t="s">
        <v>1444</v>
      </c>
      <c r="F424" t="s">
        <v>931</v>
      </c>
      <c r="G424" t="s">
        <v>136</v>
      </c>
      <c r="H424" t="s">
        <v>142</v>
      </c>
      <c r="I424" t="s">
        <v>156</v>
      </c>
      <c r="J424" t="s">
        <v>26</v>
      </c>
      <c r="K424" t="s">
        <v>157</v>
      </c>
      <c r="L424" t="s">
        <v>143</v>
      </c>
      <c r="M424" t="s">
        <v>144</v>
      </c>
      <c r="N424" t="s">
        <v>1516</v>
      </c>
      <c r="O424">
        <v>1</v>
      </c>
      <c r="P424" t="s">
        <v>160</v>
      </c>
      <c r="R424">
        <v>731</v>
      </c>
      <c r="S424">
        <v>726</v>
      </c>
      <c r="T424" t="s">
        <v>145</v>
      </c>
      <c r="U424" t="s">
        <v>1517</v>
      </c>
      <c r="V424" t="s">
        <v>27</v>
      </c>
      <c r="W424" t="s">
        <v>66</v>
      </c>
      <c r="X424" t="s">
        <v>67</v>
      </c>
      <c r="Y424" t="s">
        <v>138</v>
      </c>
      <c r="AA424" t="s">
        <v>494</v>
      </c>
      <c r="AC424" t="s">
        <v>139</v>
      </c>
      <c r="AD424" t="s">
        <v>1518</v>
      </c>
      <c r="AG424" t="s">
        <v>156</v>
      </c>
      <c r="AH424" t="s">
        <v>68</v>
      </c>
      <c r="AI424" t="s">
        <v>493</v>
      </c>
      <c r="AK424" t="s">
        <v>1519</v>
      </c>
    </row>
    <row r="425" spans="1:37" customFormat="1">
      <c r="A425" t="s">
        <v>23</v>
      </c>
      <c r="B425" t="s">
        <v>24</v>
      </c>
      <c r="C425" t="s">
        <v>175</v>
      </c>
      <c r="D425" t="s">
        <v>135</v>
      </c>
      <c r="E425" t="s">
        <v>1444</v>
      </c>
      <c r="F425" t="s">
        <v>931</v>
      </c>
      <c r="G425" t="s">
        <v>136</v>
      </c>
      <c r="H425" t="s">
        <v>142</v>
      </c>
      <c r="I425" t="s">
        <v>156</v>
      </c>
      <c r="J425" t="s">
        <v>26</v>
      </c>
      <c r="K425" t="s">
        <v>157</v>
      </c>
      <c r="L425" t="s">
        <v>143</v>
      </c>
      <c r="M425" t="s">
        <v>144</v>
      </c>
      <c r="N425" t="s">
        <v>1520</v>
      </c>
      <c r="O425">
        <v>1</v>
      </c>
      <c r="P425" t="s">
        <v>160</v>
      </c>
      <c r="R425">
        <v>727</v>
      </c>
      <c r="S425">
        <v>726</v>
      </c>
      <c r="T425" t="s">
        <v>145</v>
      </c>
      <c r="U425" t="s">
        <v>1517</v>
      </c>
      <c r="V425" t="s">
        <v>27</v>
      </c>
      <c r="W425" t="s">
        <v>66</v>
      </c>
      <c r="X425" t="s">
        <v>67</v>
      </c>
      <c r="Y425" t="s">
        <v>138</v>
      </c>
      <c r="AA425" t="s">
        <v>494</v>
      </c>
      <c r="AC425" t="s">
        <v>139</v>
      </c>
      <c r="AD425" t="s">
        <v>1521</v>
      </c>
      <c r="AG425" t="s">
        <v>156</v>
      </c>
      <c r="AH425" t="s">
        <v>68</v>
      </c>
      <c r="AI425" t="s">
        <v>493</v>
      </c>
      <c r="AK425" t="s">
        <v>1522</v>
      </c>
    </row>
    <row r="426" spans="1:37" customFormat="1">
      <c r="A426" t="s">
        <v>23</v>
      </c>
      <c r="B426" t="s">
        <v>24</v>
      </c>
      <c r="C426" t="s">
        <v>175</v>
      </c>
      <c r="D426" t="s">
        <v>135</v>
      </c>
      <c r="E426" t="s">
        <v>1444</v>
      </c>
      <c r="F426" t="s">
        <v>931</v>
      </c>
      <c r="G426" t="s">
        <v>136</v>
      </c>
      <c r="H426" t="s">
        <v>142</v>
      </c>
      <c r="I426" t="s">
        <v>156</v>
      </c>
      <c r="J426" t="s">
        <v>26</v>
      </c>
      <c r="K426" t="s">
        <v>157</v>
      </c>
      <c r="L426" t="s">
        <v>143</v>
      </c>
      <c r="M426" t="s">
        <v>144</v>
      </c>
      <c r="N426" t="s">
        <v>1523</v>
      </c>
      <c r="O426">
        <v>1</v>
      </c>
      <c r="P426" t="s">
        <v>160</v>
      </c>
      <c r="R426">
        <v>732</v>
      </c>
      <c r="S426">
        <v>726</v>
      </c>
      <c r="T426" t="s">
        <v>145</v>
      </c>
      <c r="U426" t="s">
        <v>1517</v>
      </c>
      <c r="V426" t="s">
        <v>27</v>
      </c>
      <c r="W426" t="s">
        <v>66</v>
      </c>
      <c r="X426" t="s">
        <v>67</v>
      </c>
      <c r="Y426" t="s">
        <v>138</v>
      </c>
      <c r="AA426" t="s">
        <v>494</v>
      </c>
      <c r="AC426" t="s">
        <v>139</v>
      </c>
      <c r="AD426" t="s">
        <v>1524</v>
      </c>
      <c r="AG426" t="s">
        <v>156</v>
      </c>
      <c r="AH426" t="s">
        <v>68</v>
      </c>
      <c r="AI426" t="s">
        <v>493</v>
      </c>
      <c r="AK426" t="s">
        <v>1525</v>
      </c>
    </row>
    <row r="427" spans="1:37" customFormat="1">
      <c r="A427" t="s">
        <v>23</v>
      </c>
      <c r="B427" t="s">
        <v>24</v>
      </c>
      <c r="C427" t="s">
        <v>175</v>
      </c>
      <c r="D427" t="s">
        <v>135</v>
      </c>
      <c r="E427" t="s">
        <v>1444</v>
      </c>
      <c r="F427" t="s">
        <v>931</v>
      </c>
      <c r="G427" t="s">
        <v>136</v>
      </c>
      <c r="H427" t="s">
        <v>142</v>
      </c>
      <c r="I427" t="s">
        <v>156</v>
      </c>
      <c r="J427" t="s">
        <v>26</v>
      </c>
      <c r="K427" t="s">
        <v>157</v>
      </c>
      <c r="L427" t="s">
        <v>143</v>
      </c>
      <c r="M427" t="s">
        <v>144</v>
      </c>
      <c r="N427" t="s">
        <v>1526</v>
      </c>
      <c r="O427">
        <v>1</v>
      </c>
      <c r="P427" t="s">
        <v>160</v>
      </c>
      <c r="R427">
        <v>728</v>
      </c>
      <c r="S427">
        <v>726</v>
      </c>
      <c r="T427" t="s">
        <v>145</v>
      </c>
      <c r="U427" t="s">
        <v>1517</v>
      </c>
      <c r="V427" t="s">
        <v>27</v>
      </c>
      <c r="W427" t="s">
        <v>66</v>
      </c>
      <c r="X427" t="s">
        <v>67</v>
      </c>
      <c r="Y427" t="s">
        <v>138</v>
      </c>
      <c r="AA427" t="s">
        <v>494</v>
      </c>
      <c r="AC427" t="s">
        <v>139</v>
      </c>
      <c r="AD427" t="s">
        <v>1527</v>
      </c>
      <c r="AG427" t="s">
        <v>156</v>
      </c>
      <c r="AH427" t="s">
        <v>68</v>
      </c>
      <c r="AI427" t="s">
        <v>493</v>
      </c>
      <c r="AK427" t="s">
        <v>1528</v>
      </c>
    </row>
    <row r="428" spans="1:37" customFormat="1">
      <c r="A428" t="s">
        <v>23</v>
      </c>
      <c r="B428" t="s">
        <v>24</v>
      </c>
      <c r="C428" t="s">
        <v>175</v>
      </c>
      <c r="D428" t="s">
        <v>135</v>
      </c>
      <c r="E428" t="s">
        <v>1444</v>
      </c>
      <c r="F428" t="s">
        <v>931</v>
      </c>
      <c r="G428" t="s">
        <v>136</v>
      </c>
      <c r="H428" t="s">
        <v>142</v>
      </c>
      <c r="I428" t="s">
        <v>156</v>
      </c>
      <c r="J428" t="s">
        <v>26</v>
      </c>
      <c r="K428" t="s">
        <v>157</v>
      </c>
      <c r="L428" t="s">
        <v>143</v>
      </c>
      <c r="M428" t="s">
        <v>144</v>
      </c>
      <c r="N428" t="s">
        <v>1529</v>
      </c>
      <c r="O428">
        <v>1</v>
      </c>
      <c r="P428" t="s">
        <v>160</v>
      </c>
      <c r="R428">
        <v>729</v>
      </c>
      <c r="S428">
        <v>726</v>
      </c>
      <c r="T428" t="s">
        <v>145</v>
      </c>
      <c r="U428" t="s">
        <v>1517</v>
      </c>
      <c r="V428" t="s">
        <v>27</v>
      </c>
      <c r="W428" t="s">
        <v>66</v>
      </c>
      <c r="X428" t="s">
        <v>67</v>
      </c>
      <c r="Y428" t="s">
        <v>138</v>
      </c>
      <c r="AA428" t="s">
        <v>494</v>
      </c>
      <c r="AC428" t="s">
        <v>139</v>
      </c>
      <c r="AD428" t="s">
        <v>1530</v>
      </c>
      <c r="AG428" t="s">
        <v>156</v>
      </c>
      <c r="AH428" t="s">
        <v>68</v>
      </c>
      <c r="AI428" t="s">
        <v>493</v>
      </c>
      <c r="AK428" t="s">
        <v>1531</v>
      </c>
    </row>
    <row r="429" spans="1:37" customFormat="1">
      <c r="A429" t="s">
        <v>23</v>
      </c>
      <c r="B429" t="s">
        <v>24</v>
      </c>
      <c r="C429" t="s">
        <v>175</v>
      </c>
      <c r="D429" t="s">
        <v>135</v>
      </c>
      <c r="E429" t="s">
        <v>1444</v>
      </c>
      <c r="F429" t="s">
        <v>931</v>
      </c>
      <c r="G429" t="s">
        <v>136</v>
      </c>
      <c r="H429" t="s">
        <v>142</v>
      </c>
      <c r="I429" t="s">
        <v>156</v>
      </c>
      <c r="J429" t="s">
        <v>26</v>
      </c>
      <c r="K429" t="s">
        <v>157</v>
      </c>
      <c r="L429" t="s">
        <v>143</v>
      </c>
      <c r="M429" t="s">
        <v>144</v>
      </c>
      <c r="N429" t="s">
        <v>1532</v>
      </c>
      <c r="O429">
        <v>1</v>
      </c>
      <c r="P429" t="s">
        <v>160</v>
      </c>
      <c r="R429">
        <v>732</v>
      </c>
      <c r="S429">
        <v>726</v>
      </c>
      <c r="T429" t="s">
        <v>145</v>
      </c>
      <c r="U429" t="s">
        <v>1517</v>
      </c>
      <c r="V429" t="s">
        <v>27</v>
      </c>
      <c r="W429" t="s">
        <v>66</v>
      </c>
      <c r="X429" t="s">
        <v>67</v>
      </c>
      <c r="Y429" t="s">
        <v>138</v>
      </c>
      <c r="AA429" t="s">
        <v>494</v>
      </c>
      <c r="AC429" t="s">
        <v>139</v>
      </c>
      <c r="AD429" t="s">
        <v>1533</v>
      </c>
      <c r="AG429" t="s">
        <v>156</v>
      </c>
      <c r="AH429" t="s">
        <v>68</v>
      </c>
      <c r="AI429" t="s">
        <v>493</v>
      </c>
      <c r="AK429" t="s">
        <v>1534</v>
      </c>
    </row>
    <row r="430" spans="1:37" customFormat="1">
      <c r="A430" t="s">
        <v>23</v>
      </c>
      <c r="B430" t="s">
        <v>24</v>
      </c>
      <c r="C430" t="s">
        <v>175</v>
      </c>
      <c r="D430" t="s">
        <v>135</v>
      </c>
      <c r="E430" t="s">
        <v>1444</v>
      </c>
      <c r="F430" t="s">
        <v>931</v>
      </c>
      <c r="G430" t="s">
        <v>136</v>
      </c>
      <c r="H430" t="s">
        <v>142</v>
      </c>
      <c r="I430" t="s">
        <v>156</v>
      </c>
      <c r="J430" t="s">
        <v>26</v>
      </c>
      <c r="K430" t="s">
        <v>157</v>
      </c>
      <c r="L430" t="s">
        <v>143</v>
      </c>
      <c r="M430" t="s">
        <v>144</v>
      </c>
      <c r="N430" t="s">
        <v>1535</v>
      </c>
      <c r="O430">
        <v>1</v>
      </c>
      <c r="P430" t="s">
        <v>160</v>
      </c>
      <c r="R430">
        <v>729</v>
      </c>
      <c r="S430">
        <v>726</v>
      </c>
      <c r="T430" t="s">
        <v>145</v>
      </c>
      <c r="U430" t="s">
        <v>1517</v>
      </c>
      <c r="V430" t="s">
        <v>27</v>
      </c>
      <c r="W430" t="s">
        <v>66</v>
      </c>
      <c r="X430" t="s">
        <v>67</v>
      </c>
      <c r="Y430" t="s">
        <v>138</v>
      </c>
      <c r="AA430" t="s">
        <v>494</v>
      </c>
      <c r="AC430" t="s">
        <v>139</v>
      </c>
      <c r="AD430" t="s">
        <v>1536</v>
      </c>
      <c r="AG430" t="s">
        <v>156</v>
      </c>
      <c r="AH430" t="s">
        <v>68</v>
      </c>
      <c r="AI430" t="s">
        <v>493</v>
      </c>
      <c r="AK430" t="s">
        <v>1537</v>
      </c>
    </row>
    <row r="431" spans="1:37" customFormat="1">
      <c r="A431" t="s">
        <v>23</v>
      </c>
      <c r="B431" t="s">
        <v>24</v>
      </c>
      <c r="C431" t="s">
        <v>175</v>
      </c>
      <c r="D431" t="s">
        <v>135</v>
      </c>
      <c r="E431" t="s">
        <v>1444</v>
      </c>
      <c r="F431" t="s">
        <v>931</v>
      </c>
      <c r="G431" t="s">
        <v>136</v>
      </c>
      <c r="H431" t="s">
        <v>142</v>
      </c>
      <c r="I431" t="s">
        <v>156</v>
      </c>
      <c r="J431" t="s">
        <v>26</v>
      </c>
      <c r="K431" t="s">
        <v>157</v>
      </c>
      <c r="L431" t="s">
        <v>143</v>
      </c>
      <c r="M431" t="s">
        <v>144</v>
      </c>
      <c r="N431" t="s">
        <v>1538</v>
      </c>
      <c r="O431">
        <v>1</v>
      </c>
      <c r="P431" t="s">
        <v>160</v>
      </c>
      <c r="R431">
        <v>730</v>
      </c>
      <c r="S431">
        <v>726</v>
      </c>
      <c r="T431" t="s">
        <v>145</v>
      </c>
      <c r="U431" t="s">
        <v>1517</v>
      </c>
      <c r="V431" t="s">
        <v>27</v>
      </c>
      <c r="W431" t="s">
        <v>66</v>
      </c>
      <c r="X431" t="s">
        <v>67</v>
      </c>
      <c r="Y431" t="s">
        <v>138</v>
      </c>
      <c r="AA431" t="s">
        <v>494</v>
      </c>
      <c r="AC431" t="s">
        <v>139</v>
      </c>
      <c r="AD431" t="s">
        <v>1539</v>
      </c>
      <c r="AG431" t="s">
        <v>156</v>
      </c>
      <c r="AH431" t="s">
        <v>68</v>
      </c>
      <c r="AI431" t="s">
        <v>493</v>
      </c>
      <c r="AK431" t="s">
        <v>1540</v>
      </c>
    </row>
    <row r="432" spans="1:37" customFormat="1">
      <c r="A432" t="s">
        <v>23</v>
      </c>
      <c r="B432" t="s">
        <v>24</v>
      </c>
      <c r="C432" t="s">
        <v>175</v>
      </c>
      <c r="D432" t="s">
        <v>135</v>
      </c>
      <c r="E432" t="s">
        <v>1444</v>
      </c>
      <c r="F432" t="s">
        <v>931</v>
      </c>
      <c r="G432" t="s">
        <v>136</v>
      </c>
      <c r="H432" t="s">
        <v>142</v>
      </c>
      <c r="I432" t="s">
        <v>156</v>
      </c>
      <c r="J432" t="s">
        <v>26</v>
      </c>
      <c r="K432" t="s">
        <v>157</v>
      </c>
      <c r="L432" t="s">
        <v>143</v>
      </c>
      <c r="M432" t="s">
        <v>144</v>
      </c>
      <c r="N432" t="s">
        <v>1541</v>
      </c>
      <c r="O432">
        <v>1</v>
      </c>
      <c r="P432" t="s">
        <v>160</v>
      </c>
      <c r="R432">
        <v>733</v>
      </c>
      <c r="S432">
        <v>726</v>
      </c>
      <c r="T432" t="s">
        <v>145</v>
      </c>
      <c r="U432" t="s">
        <v>1517</v>
      </c>
      <c r="V432" t="s">
        <v>27</v>
      </c>
      <c r="W432" t="s">
        <v>66</v>
      </c>
      <c r="X432" t="s">
        <v>67</v>
      </c>
      <c r="Y432" t="s">
        <v>138</v>
      </c>
      <c r="AA432" t="s">
        <v>494</v>
      </c>
      <c r="AC432" t="s">
        <v>139</v>
      </c>
      <c r="AD432" t="s">
        <v>1542</v>
      </c>
      <c r="AG432" t="s">
        <v>156</v>
      </c>
      <c r="AH432" t="s">
        <v>68</v>
      </c>
      <c r="AI432" t="s">
        <v>493</v>
      </c>
      <c r="AK432" t="s">
        <v>1543</v>
      </c>
    </row>
    <row r="433" spans="1:37" customFormat="1">
      <c r="A433" t="s">
        <v>23</v>
      </c>
      <c r="B433" t="s">
        <v>24</v>
      </c>
      <c r="C433" t="s">
        <v>175</v>
      </c>
      <c r="D433" t="s">
        <v>135</v>
      </c>
      <c r="E433" t="s">
        <v>1444</v>
      </c>
      <c r="F433" t="s">
        <v>931</v>
      </c>
      <c r="G433" t="s">
        <v>136</v>
      </c>
      <c r="H433" t="s">
        <v>142</v>
      </c>
      <c r="I433" t="s">
        <v>156</v>
      </c>
      <c r="J433" t="s">
        <v>26</v>
      </c>
      <c r="K433" t="s">
        <v>157</v>
      </c>
      <c r="L433" t="s">
        <v>143</v>
      </c>
      <c r="M433" t="s">
        <v>144</v>
      </c>
      <c r="N433" t="s">
        <v>1544</v>
      </c>
      <c r="O433">
        <v>1</v>
      </c>
      <c r="P433" t="s">
        <v>160</v>
      </c>
      <c r="R433">
        <v>733</v>
      </c>
      <c r="S433">
        <v>726</v>
      </c>
      <c r="T433" t="s">
        <v>145</v>
      </c>
      <c r="U433" t="s">
        <v>1517</v>
      </c>
      <c r="V433" t="s">
        <v>27</v>
      </c>
      <c r="W433" t="s">
        <v>66</v>
      </c>
      <c r="X433" t="s">
        <v>67</v>
      </c>
      <c r="Y433" t="s">
        <v>138</v>
      </c>
      <c r="AA433" t="s">
        <v>494</v>
      </c>
      <c r="AC433" t="s">
        <v>139</v>
      </c>
      <c r="AD433" t="s">
        <v>1545</v>
      </c>
      <c r="AG433" t="s">
        <v>156</v>
      </c>
      <c r="AH433" t="s">
        <v>68</v>
      </c>
      <c r="AI433" t="s">
        <v>493</v>
      </c>
      <c r="AK433" t="s">
        <v>1546</v>
      </c>
    </row>
    <row r="434" spans="1:37" customFormat="1">
      <c r="A434" t="s">
        <v>23</v>
      </c>
      <c r="B434" t="s">
        <v>24</v>
      </c>
      <c r="C434" t="s">
        <v>175</v>
      </c>
      <c r="D434" t="s">
        <v>135</v>
      </c>
      <c r="E434" t="s">
        <v>1444</v>
      </c>
      <c r="F434" t="s">
        <v>931</v>
      </c>
      <c r="G434" t="s">
        <v>136</v>
      </c>
      <c r="H434" t="s">
        <v>142</v>
      </c>
      <c r="I434" t="s">
        <v>156</v>
      </c>
      <c r="J434" t="s">
        <v>26</v>
      </c>
      <c r="K434" t="s">
        <v>157</v>
      </c>
      <c r="L434" t="s">
        <v>143</v>
      </c>
      <c r="M434" t="s">
        <v>144</v>
      </c>
      <c r="N434" t="s">
        <v>1547</v>
      </c>
      <c r="O434">
        <v>1</v>
      </c>
      <c r="P434" t="s">
        <v>160</v>
      </c>
      <c r="R434">
        <v>733</v>
      </c>
      <c r="S434">
        <v>726</v>
      </c>
      <c r="T434" t="s">
        <v>145</v>
      </c>
      <c r="U434" t="s">
        <v>1517</v>
      </c>
      <c r="V434" t="s">
        <v>27</v>
      </c>
      <c r="W434" t="s">
        <v>66</v>
      </c>
      <c r="X434" t="s">
        <v>67</v>
      </c>
      <c r="Y434" t="s">
        <v>138</v>
      </c>
      <c r="AA434" t="s">
        <v>494</v>
      </c>
      <c r="AC434" t="s">
        <v>139</v>
      </c>
      <c r="AD434" t="s">
        <v>1548</v>
      </c>
      <c r="AG434" t="s">
        <v>156</v>
      </c>
      <c r="AH434" t="s">
        <v>68</v>
      </c>
      <c r="AI434" t="s">
        <v>493</v>
      </c>
      <c r="AK434" t="s">
        <v>1549</v>
      </c>
    </row>
    <row r="435" spans="1:37" customFormat="1">
      <c r="A435" t="s">
        <v>23</v>
      </c>
      <c r="B435" t="s">
        <v>24</v>
      </c>
      <c r="C435" t="s">
        <v>175</v>
      </c>
      <c r="D435" t="s">
        <v>135</v>
      </c>
      <c r="E435" t="s">
        <v>1444</v>
      </c>
      <c r="F435" t="s">
        <v>931</v>
      </c>
      <c r="G435" t="s">
        <v>136</v>
      </c>
      <c r="H435" t="s">
        <v>142</v>
      </c>
      <c r="I435" t="s">
        <v>156</v>
      </c>
      <c r="J435" t="s">
        <v>26</v>
      </c>
      <c r="K435" t="s">
        <v>157</v>
      </c>
      <c r="L435" t="s">
        <v>143</v>
      </c>
      <c r="M435" t="s">
        <v>144</v>
      </c>
      <c r="N435" t="s">
        <v>1550</v>
      </c>
      <c r="O435">
        <v>1</v>
      </c>
      <c r="P435" t="s">
        <v>160</v>
      </c>
      <c r="R435">
        <v>727</v>
      </c>
      <c r="S435">
        <v>726</v>
      </c>
      <c r="T435" t="s">
        <v>145</v>
      </c>
      <c r="U435" t="s">
        <v>1517</v>
      </c>
      <c r="V435" t="s">
        <v>27</v>
      </c>
      <c r="W435" t="s">
        <v>66</v>
      </c>
      <c r="X435" t="s">
        <v>67</v>
      </c>
      <c r="Y435" t="s">
        <v>138</v>
      </c>
      <c r="AA435" t="s">
        <v>494</v>
      </c>
      <c r="AC435" t="s">
        <v>139</v>
      </c>
      <c r="AD435" t="s">
        <v>1551</v>
      </c>
      <c r="AG435" t="s">
        <v>156</v>
      </c>
      <c r="AH435" t="s">
        <v>68</v>
      </c>
      <c r="AI435" t="s">
        <v>493</v>
      </c>
      <c r="AK435" t="s">
        <v>1552</v>
      </c>
    </row>
    <row r="436" spans="1:37" customFormat="1">
      <c r="A436" t="s">
        <v>23</v>
      </c>
      <c r="B436" t="s">
        <v>24</v>
      </c>
      <c r="C436" t="s">
        <v>175</v>
      </c>
      <c r="D436" t="s">
        <v>135</v>
      </c>
      <c r="E436" t="s">
        <v>1444</v>
      </c>
      <c r="F436" t="s">
        <v>931</v>
      </c>
      <c r="G436" t="s">
        <v>136</v>
      </c>
      <c r="H436" t="s">
        <v>142</v>
      </c>
      <c r="I436" t="s">
        <v>156</v>
      </c>
      <c r="J436" t="s">
        <v>26</v>
      </c>
      <c r="K436" t="s">
        <v>157</v>
      </c>
      <c r="L436" t="s">
        <v>143</v>
      </c>
      <c r="M436" t="s">
        <v>144</v>
      </c>
      <c r="N436" t="s">
        <v>1553</v>
      </c>
      <c r="O436">
        <v>1</v>
      </c>
      <c r="P436" t="s">
        <v>160</v>
      </c>
      <c r="R436">
        <v>733</v>
      </c>
      <c r="S436">
        <v>726</v>
      </c>
      <c r="T436" t="s">
        <v>145</v>
      </c>
      <c r="U436" t="s">
        <v>1517</v>
      </c>
      <c r="V436" t="s">
        <v>27</v>
      </c>
      <c r="W436" t="s">
        <v>66</v>
      </c>
      <c r="X436" t="s">
        <v>67</v>
      </c>
      <c r="Y436" t="s">
        <v>138</v>
      </c>
      <c r="AA436" t="s">
        <v>494</v>
      </c>
      <c r="AC436" t="s">
        <v>139</v>
      </c>
      <c r="AD436" t="s">
        <v>1554</v>
      </c>
      <c r="AG436" t="s">
        <v>156</v>
      </c>
      <c r="AH436" t="s">
        <v>68</v>
      </c>
      <c r="AI436" t="s">
        <v>493</v>
      </c>
      <c r="AK436" t="s">
        <v>1555</v>
      </c>
    </row>
    <row r="437" spans="1:37" customFormat="1">
      <c r="A437" t="s">
        <v>23</v>
      </c>
      <c r="B437" t="s">
        <v>24</v>
      </c>
      <c r="C437" t="s">
        <v>175</v>
      </c>
      <c r="D437" t="s">
        <v>135</v>
      </c>
      <c r="E437" t="s">
        <v>1444</v>
      </c>
      <c r="F437" t="s">
        <v>931</v>
      </c>
      <c r="G437" t="s">
        <v>136</v>
      </c>
      <c r="H437" t="s">
        <v>142</v>
      </c>
      <c r="I437" t="s">
        <v>156</v>
      </c>
      <c r="J437" t="s">
        <v>26</v>
      </c>
      <c r="K437" t="s">
        <v>157</v>
      </c>
      <c r="L437" t="s">
        <v>143</v>
      </c>
      <c r="M437" t="s">
        <v>144</v>
      </c>
      <c r="N437" t="s">
        <v>1556</v>
      </c>
      <c r="O437">
        <v>1</v>
      </c>
      <c r="P437" t="s">
        <v>160</v>
      </c>
      <c r="R437">
        <v>731</v>
      </c>
      <c r="S437">
        <v>726</v>
      </c>
      <c r="T437" t="s">
        <v>145</v>
      </c>
      <c r="U437" t="s">
        <v>1517</v>
      </c>
      <c r="V437" t="s">
        <v>27</v>
      </c>
      <c r="W437" t="s">
        <v>66</v>
      </c>
      <c r="X437" t="s">
        <v>67</v>
      </c>
      <c r="Y437" t="s">
        <v>138</v>
      </c>
      <c r="AA437" t="s">
        <v>494</v>
      </c>
      <c r="AC437" t="s">
        <v>139</v>
      </c>
      <c r="AD437" t="s">
        <v>1557</v>
      </c>
      <c r="AG437" t="s">
        <v>156</v>
      </c>
      <c r="AH437" t="s">
        <v>68</v>
      </c>
      <c r="AI437" t="s">
        <v>493</v>
      </c>
      <c r="AK437" t="s">
        <v>1558</v>
      </c>
    </row>
    <row r="438" spans="1:37" customFormat="1">
      <c r="A438" t="s">
        <v>23</v>
      </c>
      <c r="B438" t="s">
        <v>24</v>
      </c>
      <c r="C438" t="s">
        <v>175</v>
      </c>
      <c r="D438" t="s">
        <v>135</v>
      </c>
      <c r="E438" t="s">
        <v>1444</v>
      </c>
      <c r="F438" t="s">
        <v>931</v>
      </c>
      <c r="G438" t="s">
        <v>136</v>
      </c>
      <c r="H438" t="s">
        <v>142</v>
      </c>
      <c r="I438" t="s">
        <v>156</v>
      </c>
      <c r="J438" t="s">
        <v>26</v>
      </c>
      <c r="K438" t="s">
        <v>157</v>
      </c>
      <c r="L438" t="s">
        <v>143</v>
      </c>
      <c r="M438" t="s">
        <v>144</v>
      </c>
      <c r="N438" t="s">
        <v>1559</v>
      </c>
      <c r="O438">
        <v>1</v>
      </c>
      <c r="P438" t="s">
        <v>160</v>
      </c>
      <c r="R438">
        <v>730</v>
      </c>
      <c r="S438">
        <v>726</v>
      </c>
      <c r="T438" t="s">
        <v>145</v>
      </c>
      <c r="U438" t="s">
        <v>1517</v>
      </c>
      <c r="V438" t="s">
        <v>27</v>
      </c>
      <c r="W438" t="s">
        <v>66</v>
      </c>
      <c r="X438" t="s">
        <v>67</v>
      </c>
      <c r="Y438" t="s">
        <v>138</v>
      </c>
      <c r="AA438" t="s">
        <v>494</v>
      </c>
      <c r="AC438" t="s">
        <v>139</v>
      </c>
      <c r="AD438" t="s">
        <v>1560</v>
      </c>
      <c r="AG438" t="s">
        <v>156</v>
      </c>
      <c r="AH438" t="s">
        <v>68</v>
      </c>
      <c r="AI438" t="s">
        <v>493</v>
      </c>
      <c r="AK438" t="s">
        <v>1561</v>
      </c>
    </row>
    <row r="439" spans="1:37" customFormat="1">
      <c r="A439" t="s">
        <v>23</v>
      </c>
      <c r="B439" t="s">
        <v>24</v>
      </c>
      <c r="C439" t="s">
        <v>175</v>
      </c>
      <c r="D439" t="s">
        <v>135</v>
      </c>
      <c r="E439" t="s">
        <v>1444</v>
      </c>
      <c r="F439" t="s">
        <v>931</v>
      </c>
      <c r="G439" t="s">
        <v>136</v>
      </c>
      <c r="H439" t="s">
        <v>142</v>
      </c>
      <c r="I439" t="s">
        <v>156</v>
      </c>
      <c r="J439" t="s">
        <v>26</v>
      </c>
      <c r="K439" t="s">
        <v>157</v>
      </c>
      <c r="L439" t="s">
        <v>143</v>
      </c>
      <c r="M439" t="s">
        <v>144</v>
      </c>
      <c r="N439" t="s">
        <v>1562</v>
      </c>
      <c r="O439">
        <v>1</v>
      </c>
      <c r="P439" t="s">
        <v>160</v>
      </c>
      <c r="R439">
        <v>733</v>
      </c>
      <c r="S439">
        <v>726</v>
      </c>
      <c r="T439" t="s">
        <v>145</v>
      </c>
      <c r="U439" t="s">
        <v>1517</v>
      </c>
      <c r="V439" t="s">
        <v>27</v>
      </c>
      <c r="W439" t="s">
        <v>66</v>
      </c>
      <c r="X439" t="s">
        <v>67</v>
      </c>
      <c r="Y439" t="s">
        <v>138</v>
      </c>
      <c r="AA439" t="s">
        <v>494</v>
      </c>
      <c r="AC439" t="s">
        <v>139</v>
      </c>
      <c r="AD439" t="s">
        <v>1563</v>
      </c>
      <c r="AG439" t="s">
        <v>156</v>
      </c>
      <c r="AH439" t="s">
        <v>68</v>
      </c>
      <c r="AI439" t="s">
        <v>493</v>
      </c>
      <c r="AK439" t="s">
        <v>1564</v>
      </c>
    </row>
    <row r="440" spans="1:37" customFormat="1">
      <c r="A440" t="s">
        <v>23</v>
      </c>
      <c r="B440" t="s">
        <v>24</v>
      </c>
      <c r="C440" t="s">
        <v>175</v>
      </c>
      <c r="D440" t="s">
        <v>135</v>
      </c>
      <c r="E440" t="s">
        <v>1444</v>
      </c>
      <c r="F440" t="s">
        <v>931</v>
      </c>
      <c r="G440" t="s">
        <v>136</v>
      </c>
      <c r="H440" t="s">
        <v>142</v>
      </c>
      <c r="I440" t="s">
        <v>156</v>
      </c>
      <c r="J440" t="s">
        <v>26</v>
      </c>
      <c r="K440" t="s">
        <v>157</v>
      </c>
      <c r="L440" t="s">
        <v>143</v>
      </c>
      <c r="M440" t="s">
        <v>144</v>
      </c>
      <c r="N440" t="s">
        <v>1565</v>
      </c>
      <c r="O440">
        <v>1</v>
      </c>
      <c r="P440" t="s">
        <v>160</v>
      </c>
      <c r="R440">
        <v>733</v>
      </c>
      <c r="S440">
        <v>726</v>
      </c>
      <c r="T440" t="s">
        <v>145</v>
      </c>
      <c r="U440" t="s">
        <v>1517</v>
      </c>
      <c r="V440" t="s">
        <v>27</v>
      </c>
      <c r="W440" t="s">
        <v>66</v>
      </c>
      <c r="X440" t="s">
        <v>67</v>
      </c>
      <c r="Y440" t="s">
        <v>138</v>
      </c>
      <c r="AA440" t="s">
        <v>494</v>
      </c>
      <c r="AC440" t="s">
        <v>139</v>
      </c>
      <c r="AD440" t="s">
        <v>1566</v>
      </c>
      <c r="AG440" t="s">
        <v>156</v>
      </c>
      <c r="AH440" t="s">
        <v>68</v>
      </c>
      <c r="AI440" t="s">
        <v>493</v>
      </c>
      <c r="AK440" t="s">
        <v>1567</v>
      </c>
    </row>
    <row r="441" spans="1:37" customFormat="1">
      <c r="A441" t="s">
        <v>23</v>
      </c>
      <c r="B441" t="s">
        <v>24</v>
      </c>
      <c r="C441" t="s">
        <v>176</v>
      </c>
      <c r="D441" t="s">
        <v>135</v>
      </c>
      <c r="E441" t="s">
        <v>1449</v>
      </c>
      <c r="F441" t="s">
        <v>931</v>
      </c>
      <c r="G441" t="s">
        <v>136</v>
      </c>
      <c r="H441" t="s">
        <v>142</v>
      </c>
      <c r="I441" t="s">
        <v>156</v>
      </c>
      <c r="J441" t="s">
        <v>25</v>
      </c>
      <c r="K441" t="s">
        <v>157</v>
      </c>
      <c r="L441" t="s">
        <v>143</v>
      </c>
      <c r="M441" t="s">
        <v>144</v>
      </c>
      <c r="N441" t="s">
        <v>1568</v>
      </c>
      <c r="O441">
        <v>4</v>
      </c>
      <c r="P441" t="s">
        <v>159</v>
      </c>
      <c r="R441">
        <v>103</v>
      </c>
      <c r="S441">
        <v>72.599999999999994</v>
      </c>
      <c r="T441" t="s">
        <v>145</v>
      </c>
      <c r="U441" t="s">
        <v>185</v>
      </c>
      <c r="V441" t="s">
        <v>27</v>
      </c>
      <c r="W441" t="s">
        <v>66</v>
      </c>
      <c r="X441" t="s">
        <v>67</v>
      </c>
      <c r="Y441" t="s">
        <v>138</v>
      </c>
      <c r="AA441" t="s">
        <v>494</v>
      </c>
      <c r="AC441" t="s">
        <v>139</v>
      </c>
      <c r="AD441" t="s">
        <v>1569</v>
      </c>
      <c r="AG441" t="s">
        <v>156</v>
      </c>
      <c r="AH441" t="s">
        <v>68</v>
      </c>
      <c r="AI441" t="s">
        <v>493</v>
      </c>
    </row>
    <row r="442" spans="1:37" customFormat="1">
      <c r="A442" t="s">
        <v>23</v>
      </c>
      <c r="B442" t="s">
        <v>24</v>
      </c>
      <c r="C442" t="s">
        <v>179</v>
      </c>
      <c r="D442" t="s">
        <v>135</v>
      </c>
      <c r="E442" t="s">
        <v>1443</v>
      </c>
      <c r="F442" t="s">
        <v>931</v>
      </c>
      <c r="G442" t="s">
        <v>136</v>
      </c>
      <c r="H442" t="s">
        <v>146</v>
      </c>
      <c r="I442" t="s">
        <v>156</v>
      </c>
      <c r="J442" t="s">
        <v>26</v>
      </c>
      <c r="K442" t="s">
        <v>157</v>
      </c>
      <c r="L442" t="s">
        <v>150</v>
      </c>
      <c r="M442" t="s">
        <v>144</v>
      </c>
      <c r="N442" t="s">
        <v>1570</v>
      </c>
      <c r="O442">
        <v>1</v>
      </c>
      <c r="P442" t="s">
        <v>160</v>
      </c>
      <c r="R442">
        <v>811</v>
      </c>
      <c r="S442">
        <v>803.2</v>
      </c>
      <c r="T442" t="s">
        <v>145</v>
      </c>
      <c r="U442" t="s">
        <v>1664</v>
      </c>
      <c r="V442" t="s">
        <v>27</v>
      </c>
      <c r="W442" t="s">
        <v>66</v>
      </c>
      <c r="X442" t="s">
        <v>67</v>
      </c>
      <c r="Y442" t="s">
        <v>138</v>
      </c>
      <c r="AA442" t="s">
        <v>494</v>
      </c>
      <c r="AC442" t="s">
        <v>139</v>
      </c>
      <c r="AD442" t="s">
        <v>1665</v>
      </c>
      <c r="AG442" t="s">
        <v>156</v>
      </c>
      <c r="AH442" t="s">
        <v>68</v>
      </c>
      <c r="AI442" t="s">
        <v>493</v>
      </c>
      <c r="AK442" t="s">
        <v>1571</v>
      </c>
    </row>
    <row r="443" spans="1:37" customFormat="1">
      <c r="A443" t="s">
        <v>23</v>
      </c>
      <c r="B443" t="s">
        <v>24</v>
      </c>
      <c r="C443" t="s">
        <v>179</v>
      </c>
      <c r="D443" t="s">
        <v>135</v>
      </c>
      <c r="E443" t="s">
        <v>1443</v>
      </c>
      <c r="F443" t="s">
        <v>931</v>
      </c>
      <c r="G443" t="s">
        <v>136</v>
      </c>
      <c r="H443" t="s">
        <v>146</v>
      </c>
      <c r="I443" t="s">
        <v>156</v>
      </c>
      <c r="J443" t="s">
        <v>26</v>
      </c>
      <c r="K443" t="s">
        <v>157</v>
      </c>
      <c r="L443" t="s">
        <v>150</v>
      </c>
      <c r="M443" t="s">
        <v>144</v>
      </c>
      <c r="N443" t="s">
        <v>1572</v>
      </c>
      <c r="O443">
        <v>1</v>
      </c>
      <c r="P443" t="s">
        <v>160</v>
      </c>
      <c r="R443">
        <v>810</v>
      </c>
      <c r="S443">
        <v>803.2</v>
      </c>
      <c r="T443" t="s">
        <v>145</v>
      </c>
      <c r="U443" t="s">
        <v>1664</v>
      </c>
      <c r="V443" t="s">
        <v>27</v>
      </c>
      <c r="W443" t="s">
        <v>66</v>
      </c>
      <c r="X443" t="s">
        <v>67</v>
      </c>
      <c r="Y443" t="s">
        <v>138</v>
      </c>
      <c r="AA443" t="s">
        <v>494</v>
      </c>
      <c r="AC443" t="s">
        <v>139</v>
      </c>
      <c r="AD443" t="s">
        <v>1666</v>
      </c>
      <c r="AG443" t="s">
        <v>156</v>
      </c>
      <c r="AH443" t="s">
        <v>68</v>
      </c>
      <c r="AI443" t="s">
        <v>493</v>
      </c>
      <c r="AK443" t="s">
        <v>1573</v>
      </c>
    </row>
    <row r="444" spans="1:37" customFormat="1">
      <c r="A444" t="s">
        <v>23</v>
      </c>
      <c r="B444" t="s">
        <v>24</v>
      </c>
      <c r="C444" t="s">
        <v>179</v>
      </c>
      <c r="D444" t="s">
        <v>135</v>
      </c>
      <c r="E444" t="s">
        <v>1443</v>
      </c>
      <c r="F444" t="s">
        <v>931</v>
      </c>
      <c r="G444" t="s">
        <v>136</v>
      </c>
      <c r="H444" t="s">
        <v>146</v>
      </c>
      <c r="I444" t="s">
        <v>156</v>
      </c>
      <c r="J444" t="s">
        <v>26</v>
      </c>
      <c r="K444" t="s">
        <v>157</v>
      </c>
      <c r="L444" t="s">
        <v>150</v>
      </c>
      <c r="M444" t="s">
        <v>144</v>
      </c>
      <c r="N444" t="s">
        <v>1574</v>
      </c>
      <c r="O444">
        <v>1</v>
      </c>
      <c r="P444" t="s">
        <v>160</v>
      </c>
      <c r="R444">
        <v>809</v>
      </c>
      <c r="S444">
        <v>803.2</v>
      </c>
      <c r="T444" t="s">
        <v>145</v>
      </c>
      <c r="U444" t="s">
        <v>1664</v>
      </c>
      <c r="V444" t="s">
        <v>27</v>
      </c>
      <c r="W444" t="s">
        <v>66</v>
      </c>
      <c r="X444" t="s">
        <v>67</v>
      </c>
      <c r="Y444" t="s">
        <v>138</v>
      </c>
      <c r="AA444" t="s">
        <v>494</v>
      </c>
      <c r="AC444" t="s">
        <v>139</v>
      </c>
      <c r="AD444" t="s">
        <v>1667</v>
      </c>
      <c r="AG444" t="s">
        <v>156</v>
      </c>
      <c r="AH444" t="s">
        <v>68</v>
      </c>
      <c r="AI444" t="s">
        <v>493</v>
      </c>
      <c r="AK444" t="s">
        <v>1575</v>
      </c>
    </row>
    <row r="445" spans="1:37" customFormat="1">
      <c r="A445" t="s">
        <v>23</v>
      </c>
      <c r="B445" t="s">
        <v>24</v>
      </c>
      <c r="C445" t="s">
        <v>179</v>
      </c>
      <c r="D445" t="s">
        <v>135</v>
      </c>
      <c r="E445" t="s">
        <v>1443</v>
      </c>
      <c r="F445" t="s">
        <v>931</v>
      </c>
      <c r="G445" t="s">
        <v>136</v>
      </c>
      <c r="H445" t="s">
        <v>146</v>
      </c>
      <c r="I445" t="s">
        <v>156</v>
      </c>
      <c r="J445" t="s">
        <v>26</v>
      </c>
      <c r="K445" t="s">
        <v>157</v>
      </c>
      <c r="L445" t="s">
        <v>150</v>
      </c>
      <c r="M445" t="s">
        <v>144</v>
      </c>
      <c r="N445" t="s">
        <v>1576</v>
      </c>
      <c r="O445">
        <v>1</v>
      </c>
      <c r="P445" t="s">
        <v>160</v>
      </c>
      <c r="R445">
        <v>811</v>
      </c>
      <c r="S445">
        <v>803.2</v>
      </c>
      <c r="T445" t="s">
        <v>145</v>
      </c>
      <c r="U445" t="s">
        <v>1664</v>
      </c>
      <c r="V445" t="s">
        <v>27</v>
      </c>
      <c r="W445" t="s">
        <v>66</v>
      </c>
      <c r="X445" t="s">
        <v>67</v>
      </c>
      <c r="Y445" t="s">
        <v>138</v>
      </c>
      <c r="AA445" t="s">
        <v>494</v>
      </c>
      <c r="AC445" t="s">
        <v>139</v>
      </c>
      <c r="AD445" t="s">
        <v>1668</v>
      </c>
      <c r="AG445" t="s">
        <v>156</v>
      </c>
      <c r="AH445" t="s">
        <v>68</v>
      </c>
      <c r="AI445" t="s">
        <v>493</v>
      </c>
      <c r="AK445" t="s">
        <v>1577</v>
      </c>
    </row>
    <row r="446" spans="1:37" customFormat="1">
      <c r="A446" t="s">
        <v>23</v>
      </c>
      <c r="B446" t="s">
        <v>24</v>
      </c>
      <c r="C446" t="s">
        <v>179</v>
      </c>
      <c r="D446" t="s">
        <v>135</v>
      </c>
      <c r="E446" t="s">
        <v>1443</v>
      </c>
      <c r="F446" t="s">
        <v>931</v>
      </c>
      <c r="G446" t="s">
        <v>136</v>
      </c>
      <c r="H446" t="s">
        <v>146</v>
      </c>
      <c r="I446" t="s">
        <v>156</v>
      </c>
      <c r="J446" t="s">
        <v>26</v>
      </c>
      <c r="K446" t="s">
        <v>157</v>
      </c>
      <c r="L446" t="s">
        <v>150</v>
      </c>
      <c r="M446" t="s">
        <v>144</v>
      </c>
      <c r="N446" t="s">
        <v>1578</v>
      </c>
      <c r="O446">
        <v>1</v>
      </c>
      <c r="P446" t="s">
        <v>160</v>
      </c>
      <c r="R446">
        <v>806</v>
      </c>
      <c r="S446">
        <v>803.2</v>
      </c>
      <c r="T446" t="s">
        <v>145</v>
      </c>
      <c r="U446" t="s">
        <v>1664</v>
      </c>
      <c r="V446" t="s">
        <v>27</v>
      </c>
      <c r="W446" t="s">
        <v>66</v>
      </c>
      <c r="X446" t="s">
        <v>67</v>
      </c>
      <c r="Y446" t="s">
        <v>138</v>
      </c>
      <c r="AA446" t="s">
        <v>494</v>
      </c>
      <c r="AC446" t="s">
        <v>139</v>
      </c>
      <c r="AD446" t="s">
        <v>1669</v>
      </c>
      <c r="AG446" t="s">
        <v>156</v>
      </c>
      <c r="AH446" t="s">
        <v>68</v>
      </c>
      <c r="AI446" t="s">
        <v>493</v>
      </c>
      <c r="AK446" t="s">
        <v>1579</v>
      </c>
    </row>
    <row r="447" spans="1:37" customFormat="1">
      <c r="A447" t="s">
        <v>23</v>
      </c>
      <c r="B447" t="s">
        <v>24</v>
      </c>
      <c r="C447" t="s">
        <v>179</v>
      </c>
      <c r="D447" t="s">
        <v>135</v>
      </c>
      <c r="E447" t="s">
        <v>1443</v>
      </c>
      <c r="F447" t="s">
        <v>931</v>
      </c>
      <c r="G447" t="s">
        <v>136</v>
      </c>
      <c r="H447" t="s">
        <v>146</v>
      </c>
      <c r="I447" t="s">
        <v>156</v>
      </c>
      <c r="J447" t="s">
        <v>26</v>
      </c>
      <c r="K447" t="s">
        <v>157</v>
      </c>
      <c r="L447" t="s">
        <v>150</v>
      </c>
      <c r="M447" t="s">
        <v>144</v>
      </c>
      <c r="N447" t="s">
        <v>1580</v>
      </c>
      <c r="O447">
        <v>1</v>
      </c>
      <c r="P447" t="s">
        <v>160</v>
      </c>
      <c r="R447">
        <v>809</v>
      </c>
      <c r="S447">
        <v>803.2</v>
      </c>
      <c r="T447" t="s">
        <v>145</v>
      </c>
      <c r="U447" t="s">
        <v>1664</v>
      </c>
      <c r="V447" t="s">
        <v>27</v>
      </c>
      <c r="W447" t="s">
        <v>66</v>
      </c>
      <c r="X447" t="s">
        <v>67</v>
      </c>
      <c r="Y447" t="s">
        <v>138</v>
      </c>
      <c r="AA447" t="s">
        <v>494</v>
      </c>
      <c r="AC447" t="s">
        <v>139</v>
      </c>
      <c r="AD447" t="s">
        <v>1670</v>
      </c>
      <c r="AG447" t="s">
        <v>156</v>
      </c>
      <c r="AH447" t="s">
        <v>68</v>
      </c>
      <c r="AI447" t="s">
        <v>493</v>
      </c>
      <c r="AK447" t="s">
        <v>1581</v>
      </c>
    </row>
    <row r="448" spans="1:37" customFormat="1">
      <c r="A448" t="s">
        <v>23</v>
      </c>
      <c r="B448" t="s">
        <v>24</v>
      </c>
      <c r="C448" t="s">
        <v>179</v>
      </c>
      <c r="D448" t="s">
        <v>135</v>
      </c>
      <c r="E448" t="s">
        <v>1443</v>
      </c>
      <c r="F448" t="s">
        <v>931</v>
      </c>
      <c r="G448" t="s">
        <v>136</v>
      </c>
      <c r="H448" t="s">
        <v>146</v>
      </c>
      <c r="I448" t="s">
        <v>156</v>
      </c>
      <c r="J448" t="s">
        <v>26</v>
      </c>
      <c r="K448" t="s">
        <v>157</v>
      </c>
      <c r="L448" t="s">
        <v>150</v>
      </c>
      <c r="M448" t="s">
        <v>144</v>
      </c>
      <c r="N448" t="s">
        <v>1582</v>
      </c>
      <c r="O448">
        <v>1</v>
      </c>
      <c r="P448" t="s">
        <v>160</v>
      </c>
      <c r="R448">
        <v>808</v>
      </c>
      <c r="S448">
        <v>803.2</v>
      </c>
      <c r="T448" t="s">
        <v>145</v>
      </c>
      <c r="U448" t="s">
        <v>1664</v>
      </c>
      <c r="V448" t="s">
        <v>27</v>
      </c>
      <c r="W448" t="s">
        <v>66</v>
      </c>
      <c r="X448" t="s">
        <v>67</v>
      </c>
      <c r="Y448" t="s">
        <v>138</v>
      </c>
      <c r="AA448" t="s">
        <v>494</v>
      </c>
      <c r="AC448" t="s">
        <v>139</v>
      </c>
      <c r="AD448" t="s">
        <v>1671</v>
      </c>
      <c r="AG448" t="s">
        <v>156</v>
      </c>
      <c r="AH448" t="s">
        <v>68</v>
      </c>
      <c r="AI448" t="s">
        <v>493</v>
      </c>
      <c r="AK448" t="s">
        <v>1583</v>
      </c>
    </row>
    <row r="449" spans="1:37" customFormat="1">
      <c r="A449" t="s">
        <v>23</v>
      </c>
      <c r="B449" t="s">
        <v>24</v>
      </c>
      <c r="C449" t="s">
        <v>179</v>
      </c>
      <c r="D449" t="s">
        <v>135</v>
      </c>
      <c r="E449" t="s">
        <v>1443</v>
      </c>
      <c r="F449" t="s">
        <v>931</v>
      </c>
      <c r="G449" t="s">
        <v>136</v>
      </c>
      <c r="H449" t="s">
        <v>146</v>
      </c>
      <c r="I449" t="s">
        <v>156</v>
      </c>
      <c r="J449" t="s">
        <v>26</v>
      </c>
      <c r="K449" t="s">
        <v>157</v>
      </c>
      <c r="L449" t="s">
        <v>150</v>
      </c>
      <c r="M449" t="s">
        <v>144</v>
      </c>
      <c r="N449" t="s">
        <v>1584</v>
      </c>
      <c r="O449">
        <v>1</v>
      </c>
      <c r="P449" t="s">
        <v>160</v>
      </c>
      <c r="R449">
        <v>806</v>
      </c>
      <c r="S449">
        <v>803.2</v>
      </c>
      <c r="T449" t="s">
        <v>145</v>
      </c>
      <c r="U449" t="s">
        <v>1664</v>
      </c>
      <c r="V449" t="s">
        <v>27</v>
      </c>
      <c r="W449" t="s">
        <v>66</v>
      </c>
      <c r="X449" t="s">
        <v>67</v>
      </c>
      <c r="Y449" t="s">
        <v>138</v>
      </c>
      <c r="AA449" t="s">
        <v>494</v>
      </c>
      <c r="AC449" t="s">
        <v>139</v>
      </c>
      <c r="AD449" t="s">
        <v>1672</v>
      </c>
      <c r="AG449" t="s">
        <v>156</v>
      </c>
      <c r="AH449" t="s">
        <v>68</v>
      </c>
      <c r="AI449" t="s">
        <v>493</v>
      </c>
      <c r="AK449" t="s">
        <v>1585</v>
      </c>
    </row>
    <row r="450" spans="1:37" customFormat="1">
      <c r="A450" t="s">
        <v>23</v>
      </c>
      <c r="B450" t="s">
        <v>24</v>
      </c>
      <c r="C450" t="s">
        <v>179</v>
      </c>
      <c r="D450" t="s">
        <v>135</v>
      </c>
      <c r="E450" t="s">
        <v>1443</v>
      </c>
      <c r="F450" t="s">
        <v>931</v>
      </c>
      <c r="G450" t="s">
        <v>136</v>
      </c>
      <c r="H450" t="s">
        <v>146</v>
      </c>
      <c r="I450" t="s">
        <v>156</v>
      </c>
      <c r="J450" t="s">
        <v>26</v>
      </c>
      <c r="K450" t="s">
        <v>157</v>
      </c>
      <c r="L450" t="s">
        <v>150</v>
      </c>
      <c r="M450" t="s">
        <v>144</v>
      </c>
      <c r="N450" t="s">
        <v>1586</v>
      </c>
      <c r="O450">
        <v>1</v>
      </c>
      <c r="P450" t="s">
        <v>160</v>
      </c>
      <c r="R450">
        <v>806</v>
      </c>
      <c r="S450">
        <v>803.2</v>
      </c>
      <c r="T450" t="s">
        <v>145</v>
      </c>
      <c r="U450" t="s">
        <v>1664</v>
      </c>
      <c r="V450" t="s">
        <v>27</v>
      </c>
      <c r="W450" t="s">
        <v>66</v>
      </c>
      <c r="X450" t="s">
        <v>67</v>
      </c>
      <c r="Y450" t="s">
        <v>138</v>
      </c>
      <c r="AA450" t="s">
        <v>494</v>
      </c>
      <c r="AC450" t="s">
        <v>139</v>
      </c>
      <c r="AD450" t="s">
        <v>1673</v>
      </c>
      <c r="AG450" t="s">
        <v>156</v>
      </c>
      <c r="AH450" t="s">
        <v>68</v>
      </c>
      <c r="AI450" t="s">
        <v>493</v>
      </c>
      <c r="AK450" t="s">
        <v>1587</v>
      </c>
    </row>
    <row r="451" spans="1:37" customFormat="1">
      <c r="A451" t="s">
        <v>23</v>
      </c>
      <c r="B451" t="s">
        <v>24</v>
      </c>
      <c r="C451" t="s">
        <v>179</v>
      </c>
      <c r="D451" t="s">
        <v>135</v>
      </c>
      <c r="E451" t="s">
        <v>1443</v>
      </c>
      <c r="F451" t="s">
        <v>931</v>
      </c>
      <c r="G451" t="s">
        <v>136</v>
      </c>
      <c r="H451" t="s">
        <v>146</v>
      </c>
      <c r="I451" t="s">
        <v>156</v>
      </c>
      <c r="J451" t="s">
        <v>26</v>
      </c>
      <c r="K451" t="s">
        <v>157</v>
      </c>
      <c r="L451" t="s">
        <v>150</v>
      </c>
      <c r="M451" t="s">
        <v>144</v>
      </c>
      <c r="N451" t="s">
        <v>1588</v>
      </c>
      <c r="O451">
        <v>1</v>
      </c>
      <c r="P451" t="s">
        <v>160</v>
      </c>
      <c r="R451">
        <v>806</v>
      </c>
      <c r="S451">
        <v>803.2</v>
      </c>
      <c r="T451" t="s">
        <v>145</v>
      </c>
      <c r="U451" t="s">
        <v>1664</v>
      </c>
      <c r="V451" t="s">
        <v>27</v>
      </c>
      <c r="W451" t="s">
        <v>66</v>
      </c>
      <c r="X451" t="s">
        <v>67</v>
      </c>
      <c r="Y451" t="s">
        <v>138</v>
      </c>
      <c r="AA451" t="s">
        <v>494</v>
      </c>
      <c r="AC451" t="s">
        <v>139</v>
      </c>
      <c r="AD451" t="s">
        <v>1674</v>
      </c>
      <c r="AG451" t="s">
        <v>156</v>
      </c>
      <c r="AH451" t="s">
        <v>68</v>
      </c>
      <c r="AI451" t="s">
        <v>493</v>
      </c>
      <c r="AK451" t="s">
        <v>1589</v>
      </c>
    </row>
    <row r="452" spans="1:37" customFormat="1">
      <c r="A452" t="s">
        <v>23</v>
      </c>
      <c r="B452" t="s">
        <v>24</v>
      </c>
      <c r="C452" t="s">
        <v>179</v>
      </c>
      <c r="D452" t="s">
        <v>135</v>
      </c>
      <c r="E452" t="s">
        <v>1443</v>
      </c>
      <c r="F452" t="s">
        <v>931</v>
      </c>
      <c r="G452" t="s">
        <v>136</v>
      </c>
      <c r="H452" t="s">
        <v>146</v>
      </c>
      <c r="I452" t="s">
        <v>156</v>
      </c>
      <c r="J452" t="s">
        <v>26</v>
      </c>
      <c r="K452" t="s">
        <v>157</v>
      </c>
      <c r="L452" t="s">
        <v>150</v>
      </c>
      <c r="M452" t="s">
        <v>144</v>
      </c>
      <c r="N452" t="s">
        <v>1590</v>
      </c>
      <c r="O452">
        <v>1</v>
      </c>
      <c r="P452" t="s">
        <v>160</v>
      </c>
      <c r="R452">
        <v>810</v>
      </c>
      <c r="S452">
        <v>803.2</v>
      </c>
      <c r="T452" t="s">
        <v>145</v>
      </c>
      <c r="U452" t="s">
        <v>1664</v>
      </c>
      <c r="V452" t="s">
        <v>27</v>
      </c>
      <c r="W452" t="s">
        <v>66</v>
      </c>
      <c r="X452" t="s">
        <v>67</v>
      </c>
      <c r="Y452" t="s">
        <v>138</v>
      </c>
      <c r="AA452" t="s">
        <v>494</v>
      </c>
      <c r="AC452" t="s">
        <v>139</v>
      </c>
      <c r="AD452" t="s">
        <v>1675</v>
      </c>
      <c r="AG452" t="s">
        <v>156</v>
      </c>
      <c r="AH452" t="s">
        <v>68</v>
      </c>
      <c r="AI452" t="s">
        <v>493</v>
      </c>
      <c r="AK452" t="s">
        <v>1591</v>
      </c>
    </row>
    <row r="453" spans="1:37" customFormat="1">
      <c r="A453" t="s">
        <v>23</v>
      </c>
      <c r="B453" t="s">
        <v>24</v>
      </c>
      <c r="C453" t="s">
        <v>179</v>
      </c>
      <c r="D453" t="s">
        <v>135</v>
      </c>
      <c r="E453" t="s">
        <v>1443</v>
      </c>
      <c r="F453" t="s">
        <v>931</v>
      </c>
      <c r="G453" t="s">
        <v>136</v>
      </c>
      <c r="H453" t="s">
        <v>146</v>
      </c>
      <c r="I453" t="s">
        <v>156</v>
      </c>
      <c r="J453" t="s">
        <v>26</v>
      </c>
      <c r="K453" t="s">
        <v>157</v>
      </c>
      <c r="L453" t="s">
        <v>150</v>
      </c>
      <c r="M453" t="s">
        <v>144</v>
      </c>
      <c r="N453" t="s">
        <v>1592</v>
      </c>
      <c r="O453">
        <v>1</v>
      </c>
      <c r="P453" t="s">
        <v>160</v>
      </c>
      <c r="R453">
        <v>809</v>
      </c>
      <c r="S453">
        <v>803.2</v>
      </c>
      <c r="T453" t="s">
        <v>145</v>
      </c>
      <c r="U453" t="s">
        <v>1664</v>
      </c>
      <c r="V453" t="s">
        <v>27</v>
      </c>
      <c r="W453" t="s">
        <v>66</v>
      </c>
      <c r="X453" t="s">
        <v>67</v>
      </c>
      <c r="Y453" t="s">
        <v>138</v>
      </c>
      <c r="AA453" t="s">
        <v>494</v>
      </c>
      <c r="AC453" t="s">
        <v>139</v>
      </c>
      <c r="AD453" t="s">
        <v>1676</v>
      </c>
      <c r="AG453" t="s">
        <v>156</v>
      </c>
      <c r="AH453" t="s">
        <v>68</v>
      </c>
      <c r="AI453" t="s">
        <v>493</v>
      </c>
      <c r="AK453" t="s">
        <v>1593</v>
      </c>
    </row>
    <row r="454" spans="1:37" customFormat="1">
      <c r="A454" t="s">
        <v>23</v>
      </c>
      <c r="B454" t="s">
        <v>24</v>
      </c>
      <c r="C454" t="s">
        <v>179</v>
      </c>
      <c r="D454" t="s">
        <v>135</v>
      </c>
      <c r="E454" t="s">
        <v>1443</v>
      </c>
      <c r="F454" t="s">
        <v>931</v>
      </c>
      <c r="G454" t="s">
        <v>136</v>
      </c>
      <c r="H454" t="s">
        <v>146</v>
      </c>
      <c r="I454" t="s">
        <v>156</v>
      </c>
      <c r="J454" t="s">
        <v>26</v>
      </c>
      <c r="K454" t="s">
        <v>157</v>
      </c>
      <c r="L454" t="s">
        <v>150</v>
      </c>
      <c r="M454" t="s">
        <v>144</v>
      </c>
      <c r="N454" t="s">
        <v>1594</v>
      </c>
      <c r="O454">
        <v>1</v>
      </c>
      <c r="P454" t="s">
        <v>160</v>
      </c>
      <c r="R454">
        <v>811</v>
      </c>
      <c r="S454">
        <v>803.2</v>
      </c>
      <c r="T454" t="s">
        <v>145</v>
      </c>
      <c r="U454" t="s">
        <v>1664</v>
      </c>
      <c r="V454" t="s">
        <v>27</v>
      </c>
      <c r="W454" t="s">
        <v>66</v>
      </c>
      <c r="X454" t="s">
        <v>67</v>
      </c>
      <c r="Y454" t="s">
        <v>138</v>
      </c>
      <c r="AA454" t="s">
        <v>494</v>
      </c>
      <c r="AC454" t="s">
        <v>139</v>
      </c>
      <c r="AD454" t="s">
        <v>1677</v>
      </c>
      <c r="AG454" t="s">
        <v>156</v>
      </c>
      <c r="AH454" t="s">
        <v>68</v>
      </c>
      <c r="AI454" t="s">
        <v>493</v>
      </c>
      <c r="AK454" t="s">
        <v>1595</v>
      </c>
    </row>
    <row r="455" spans="1:37" customFormat="1">
      <c r="A455" t="s">
        <v>23</v>
      </c>
      <c r="B455" t="s">
        <v>24</v>
      </c>
      <c r="C455" t="s">
        <v>179</v>
      </c>
      <c r="D455" t="s">
        <v>135</v>
      </c>
      <c r="E455" t="s">
        <v>1443</v>
      </c>
      <c r="F455" t="s">
        <v>931</v>
      </c>
      <c r="G455" t="s">
        <v>136</v>
      </c>
      <c r="H455" t="s">
        <v>146</v>
      </c>
      <c r="I455" t="s">
        <v>156</v>
      </c>
      <c r="J455" t="s">
        <v>26</v>
      </c>
      <c r="K455" t="s">
        <v>157</v>
      </c>
      <c r="L455" t="s">
        <v>150</v>
      </c>
      <c r="M455" t="s">
        <v>144</v>
      </c>
      <c r="N455" t="s">
        <v>1596</v>
      </c>
      <c r="O455">
        <v>1</v>
      </c>
      <c r="P455" t="s">
        <v>160</v>
      </c>
      <c r="R455">
        <v>804</v>
      </c>
      <c r="S455">
        <v>803.2</v>
      </c>
      <c r="T455" t="s">
        <v>145</v>
      </c>
      <c r="U455" t="s">
        <v>1664</v>
      </c>
      <c r="V455" t="s">
        <v>27</v>
      </c>
      <c r="W455" t="s">
        <v>66</v>
      </c>
      <c r="X455" t="s">
        <v>67</v>
      </c>
      <c r="Y455" t="s">
        <v>138</v>
      </c>
      <c r="AA455" t="s">
        <v>494</v>
      </c>
      <c r="AC455" t="s">
        <v>139</v>
      </c>
      <c r="AD455" t="s">
        <v>1678</v>
      </c>
      <c r="AG455" t="s">
        <v>156</v>
      </c>
      <c r="AH455" t="s">
        <v>68</v>
      </c>
      <c r="AI455" t="s">
        <v>493</v>
      </c>
      <c r="AK455" t="s">
        <v>1597</v>
      </c>
    </row>
    <row r="456" spans="1:37" customFormat="1">
      <c r="A456" t="s">
        <v>23</v>
      </c>
      <c r="B456" t="s">
        <v>24</v>
      </c>
      <c r="C456" t="s">
        <v>179</v>
      </c>
      <c r="D456" t="s">
        <v>135</v>
      </c>
      <c r="E456" t="s">
        <v>1443</v>
      </c>
      <c r="F456" t="s">
        <v>931</v>
      </c>
      <c r="G456" t="s">
        <v>136</v>
      </c>
      <c r="H456" t="s">
        <v>146</v>
      </c>
      <c r="I456" t="s">
        <v>156</v>
      </c>
      <c r="J456" t="s">
        <v>26</v>
      </c>
      <c r="K456" t="s">
        <v>157</v>
      </c>
      <c r="L456" t="s">
        <v>150</v>
      </c>
      <c r="M456" t="s">
        <v>144</v>
      </c>
      <c r="N456" t="s">
        <v>1598</v>
      </c>
      <c r="O456">
        <v>1</v>
      </c>
      <c r="P456" t="s">
        <v>160</v>
      </c>
      <c r="R456">
        <v>804</v>
      </c>
      <c r="S456">
        <v>803.2</v>
      </c>
      <c r="T456" t="s">
        <v>145</v>
      </c>
      <c r="U456" t="s">
        <v>1664</v>
      </c>
      <c r="V456" t="s">
        <v>27</v>
      </c>
      <c r="W456" t="s">
        <v>66</v>
      </c>
      <c r="X456" t="s">
        <v>67</v>
      </c>
      <c r="Y456" t="s">
        <v>138</v>
      </c>
      <c r="AA456" t="s">
        <v>494</v>
      </c>
      <c r="AC456" t="s">
        <v>139</v>
      </c>
      <c r="AD456" t="s">
        <v>1679</v>
      </c>
      <c r="AG456" t="s">
        <v>156</v>
      </c>
      <c r="AH456" t="s">
        <v>68</v>
      </c>
      <c r="AI456" t="s">
        <v>493</v>
      </c>
      <c r="AK456" t="s">
        <v>1599</v>
      </c>
    </row>
    <row r="457" spans="1:37" customFormat="1">
      <c r="A457" t="s">
        <v>23</v>
      </c>
      <c r="B457" t="s">
        <v>24</v>
      </c>
      <c r="C457" t="s">
        <v>179</v>
      </c>
      <c r="D457" t="s">
        <v>135</v>
      </c>
      <c r="E457" t="s">
        <v>1443</v>
      </c>
      <c r="F457" t="s">
        <v>931</v>
      </c>
      <c r="G457" t="s">
        <v>136</v>
      </c>
      <c r="H457" t="s">
        <v>146</v>
      </c>
      <c r="I457" t="s">
        <v>156</v>
      </c>
      <c r="J457" t="s">
        <v>26</v>
      </c>
      <c r="K457" t="s">
        <v>157</v>
      </c>
      <c r="L457" t="s">
        <v>150</v>
      </c>
      <c r="M457" t="s">
        <v>144</v>
      </c>
      <c r="N457" t="s">
        <v>1600</v>
      </c>
      <c r="O457">
        <v>1</v>
      </c>
      <c r="P457" t="s">
        <v>160</v>
      </c>
      <c r="R457">
        <v>806</v>
      </c>
      <c r="S457">
        <v>803.2</v>
      </c>
      <c r="T457" t="s">
        <v>145</v>
      </c>
      <c r="U457" t="s">
        <v>1664</v>
      </c>
      <c r="V457" t="s">
        <v>27</v>
      </c>
      <c r="W457" t="s">
        <v>66</v>
      </c>
      <c r="X457" t="s">
        <v>67</v>
      </c>
      <c r="Y457" t="s">
        <v>138</v>
      </c>
      <c r="AA457" t="s">
        <v>494</v>
      </c>
      <c r="AC457" t="s">
        <v>139</v>
      </c>
      <c r="AD457" t="s">
        <v>1680</v>
      </c>
      <c r="AG457" t="s">
        <v>156</v>
      </c>
      <c r="AH457" t="s">
        <v>68</v>
      </c>
      <c r="AI457" t="s">
        <v>493</v>
      </c>
      <c r="AK457" t="s">
        <v>1601</v>
      </c>
    </row>
    <row r="458" spans="1:37" customFormat="1">
      <c r="A458" t="s">
        <v>23</v>
      </c>
      <c r="B458" t="s">
        <v>24</v>
      </c>
      <c r="C458" t="s">
        <v>179</v>
      </c>
      <c r="D458" t="s">
        <v>135</v>
      </c>
      <c r="E458" t="s">
        <v>1443</v>
      </c>
      <c r="F458" t="s">
        <v>931</v>
      </c>
      <c r="G458" t="s">
        <v>136</v>
      </c>
      <c r="H458" t="s">
        <v>146</v>
      </c>
      <c r="I458" t="s">
        <v>156</v>
      </c>
      <c r="J458" t="s">
        <v>26</v>
      </c>
      <c r="K458" t="s">
        <v>157</v>
      </c>
      <c r="L458" t="s">
        <v>150</v>
      </c>
      <c r="M458" t="s">
        <v>144</v>
      </c>
      <c r="N458" t="s">
        <v>1602</v>
      </c>
      <c r="O458">
        <v>1</v>
      </c>
      <c r="P458" t="s">
        <v>160</v>
      </c>
      <c r="R458">
        <v>807</v>
      </c>
      <c r="S458">
        <v>803.2</v>
      </c>
      <c r="T458" t="s">
        <v>145</v>
      </c>
      <c r="U458" t="s">
        <v>1664</v>
      </c>
      <c r="V458" t="s">
        <v>27</v>
      </c>
      <c r="W458" t="s">
        <v>66</v>
      </c>
      <c r="X458" t="s">
        <v>67</v>
      </c>
      <c r="Y458" t="s">
        <v>138</v>
      </c>
      <c r="AA458" t="s">
        <v>494</v>
      </c>
      <c r="AC458" t="s">
        <v>139</v>
      </c>
      <c r="AD458" t="s">
        <v>1681</v>
      </c>
      <c r="AG458" t="s">
        <v>156</v>
      </c>
      <c r="AH458" t="s">
        <v>68</v>
      </c>
      <c r="AI458" t="s">
        <v>493</v>
      </c>
      <c r="AK458" t="s">
        <v>1603</v>
      </c>
    </row>
    <row r="459" spans="1:37" customFormat="1">
      <c r="A459" t="s">
        <v>23</v>
      </c>
      <c r="B459" t="s">
        <v>24</v>
      </c>
      <c r="C459" t="s">
        <v>179</v>
      </c>
      <c r="D459" t="s">
        <v>135</v>
      </c>
      <c r="E459" t="s">
        <v>1443</v>
      </c>
      <c r="F459" t="s">
        <v>931</v>
      </c>
      <c r="G459" t="s">
        <v>136</v>
      </c>
      <c r="H459" t="s">
        <v>146</v>
      </c>
      <c r="I459" t="s">
        <v>156</v>
      </c>
      <c r="J459" t="s">
        <v>26</v>
      </c>
      <c r="K459" t="s">
        <v>157</v>
      </c>
      <c r="L459" t="s">
        <v>150</v>
      </c>
      <c r="M459" t="s">
        <v>144</v>
      </c>
      <c r="N459" t="s">
        <v>1604</v>
      </c>
      <c r="O459">
        <v>1</v>
      </c>
      <c r="P459" t="s">
        <v>160</v>
      </c>
      <c r="R459">
        <v>805</v>
      </c>
      <c r="S459">
        <v>803.2</v>
      </c>
      <c r="T459" t="s">
        <v>145</v>
      </c>
      <c r="U459" t="s">
        <v>1664</v>
      </c>
      <c r="V459" t="s">
        <v>27</v>
      </c>
      <c r="W459" t="s">
        <v>66</v>
      </c>
      <c r="X459" t="s">
        <v>67</v>
      </c>
      <c r="Y459" t="s">
        <v>138</v>
      </c>
      <c r="AA459" t="s">
        <v>494</v>
      </c>
      <c r="AC459" t="s">
        <v>139</v>
      </c>
      <c r="AD459" t="s">
        <v>1682</v>
      </c>
      <c r="AG459" t="s">
        <v>156</v>
      </c>
      <c r="AH459" t="s">
        <v>68</v>
      </c>
      <c r="AI459" t="s">
        <v>493</v>
      </c>
      <c r="AK459" t="s">
        <v>1605</v>
      </c>
    </row>
    <row r="460" spans="1:37" customFormat="1">
      <c r="A460" t="s">
        <v>23</v>
      </c>
      <c r="B460" t="s">
        <v>24</v>
      </c>
      <c r="C460" t="s">
        <v>179</v>
      </c>
      <c r="D460" t="s">
        <v>135</v>
      </c>
      <c r="E460" t="s">
        <v>1443</v>
      </c>
      <c r="F460" t="s">
        <v>931</v>
      </c>
      <c r="G460" t="s">
        <v>136</v>
      </c>
      <c r="H460" t="s">
        <v>146</v>
      </c>
      <c r="I460" t="s">
        <v>156</v>
      </c>
      <c r="J460" t="s">
        <v>26</v>
      </c>
      <c r="K460" t="s">
        <v>157</v>
      </c>
      <c r="L460" t="s">
        <v>150</v>
      </c>
      <c r="M460" t="s">
        <v>144</v>
      </c>
      <c r="N460" t="s">
        <v>1606</v>
      </c>
      <c r="O460">
        <v>1</v>
      </c>
      <c r="P460" t="s">
        <v>160</v>
      </c>
      <c r="R460">
        <v>811</v>
      </c>
      <c r="S460">
        <v>803.2</v>
      </c>
      <c r="T460" t="s">
        <v>145</v>
      </c>
      <c r="U460" t="s">
        <v>1664</v>
      </c>
      <c r="V460" t="s">
        <v>27</v>
      </c>
      <c r="W460" t="s">
        <v>66</v>
      </c>
      <c r="X460" t="s">
        <v>67</v>
      </c>
      <c r="Y460" t="s">
        <v>138</v>
      </c>
      <c r="AA460" t="s">
        <v>494</v>
      </c>
      <c r="AC460" t="s">
        <v>139</v>
      </c>
      <c r="AD460" t="s">
        <v>1683</v>
      </c>
      <c r="AG460" t="s">
        <v>156</v>
      </c>
      <c r="AH460" t="s">
        <v>68</v>
      </c>
      <c r="AI460" t="s">
        <v>493</v>
      </c>
      <c r="AK460" t="s">
        <v>1607</v>
      </c>
    </row>
    <row r="461" spans="1:37" customFormat="1">
      <c r="A461" t="s">
        <v>23</v>
      </c>
      <c r="B461" t="s">
        <v>24</v>
      </c>
      <c r="C461" t="s">
        <v>179</v>
      </c>
      <c r="D461" t="s">
        <v>135</v>
      </c>
      <c r="E461" t="s">
        <v>1443</v>
      </c>
      <c r="F461" t="s">
        <v>931</v>
      </c>
      <c r="G461" t="s">
        <v>136</v>
      </c>
      <c r="H461" t="s">
        <v>146</v>
      </c>
      <c r="I461" t="s">
        <v>156</v>
      </c>
      <c r="J461" t="s">
        <v>26</v>
      </c>
      <c r="K461" t="s">
        <v>157</v>
      </c>
      <c r="L461" t="s">
        <v>150</v>
      </c>
      <c r="M461" t="s">
        <v>144</v>
      </c>
      <c r="N461" t="s">
        <v>1608</v>
      </c>
      <c r="O461">
        <v>1</v>
      </c>
      <c r="P461" t="s">
        <v>160</v>
      </c>
      <c r="R461">
        <v>806</v>
      </c>
      <c r="S461">
        <v>803.2</v>
      </c>
      <c r="T461" t="s">
        <v>145</v>
      </c>
      <c r="U461" t="s">
        <v>1664</v>
      </c>
      <c r="V461" t="s">
        <v>27</v>
      </c>
      <c r="W461" t="s">
        <v>66</v>
      </c>
      <c r="X461" t="s">
        <v>67</v>
      </c>
      <c r="Y461" t="s">
        <v>138</v>
      </c>
      <c r="AA461" t="s">
        <v>494</v>
      </c>
      <c r="AC461" t="s">
        <v>139</v>
      </c>
      <c r="AD461" t="s">
        <v>1684</v>
      </c>
      <c r="AG461" t="s">
        <v>156</v>
      </c>
      <c r="AH461" t="s">
        <v>68</v>
      </c>
      <c r="AI461" t="s">
        <v>493</v>
      </c>
      <c r="AK461" t="s">
        <v>1609</v>
      </c>
    </row>
    <row r="462" spans="1:37" customFormat="1">
      <c r="A462" t="s">
        <v>23</v>
      </c>
      <c r="B462" t="s">
        <v>24</v>
      </c>
      <c r="C462" t="s">
        <v>179</v>
      </c>
      <c r="D462" t="s">
        <v>135</v>
      </c>
      <c r="E462" t="s">
        <v>1443</v>
      </c>
      <c r="F462" t="s">
        <v>931</v>
      </c>
      <c r="G462" t="s">
        <v>136</v>
      </c>
      <c r="H462" t="s">
        <v>146</v>
      </c>
      <c r="I462" t="s">
        <v>156</v>
      </c>
      <c r="J462" t="s">
        <v>26</v>
      </c>
      <c r="K462" t="s">
        <v>157</v>
      </c>
      <c r="L462" t="s">
        <v>150</v>
      </c>
      <c r="M462" t="s">
        <v>144</v>
      </c>
      <c r="N462" t="s">
        <v>1610</v>
      </c>
      <c r="O462">
        <v>1</v>
      </c>
      <c r="P462" t="s">
        <v>160</v>
      </c>
      <c r="R462">
        <v>804</v>
      </c>
      <c r="S462">
        <v>803.2</v>
      </c>
      <c r="T462" t="s">
        <v>145</v>
      </c>
      <c r="U462" t="s">
        <v>1664</v>
      </c>
      <c r="V462" t="s">
        <v>27</v>
      </c>
      <c r="W462" t="s">
        <v>66</v>
      </c>
      <c r="X462" t="s">
        <v>67</v>
      </c>
      <c r="Y462" t="s">
        <v>138</v>
      </c>
      <c r="AA462" t="s">
        <v>494</v>
      </c>
      <c r="AC462" t="s">
        <v>139</v>
      </c>
      <c r="AD462" t="s">
        <v>1685</v>
      </c>
      <c r="AG462" t="s">
        <v>156</v>
      </c>
      <c r="AH462" t="s">
        <v>68</v>
      </c>
      <c r="AI462" t="s">
        <v>493</v>
      </c>
      <c r="AK462" t="s">
        <v>1611</v>
      </c>
    </row>
    <row r="463" spans="1:37" customFormat="1">
      <c r="A463" t="s">
        <v>23</v>
      </c>
      <c r="B463" t="s">
        <v>24</v>
      </c>
      <c r="C463" t="s">
        <v>179</v>
      </c>
      <c r="D463" t="s">
        <v>135</v>
      </c>
      <c r="E463" t="s">
        <v>1443</v>
      </c>
      <c r="F463" t="s">
        <v>931</v>
      </c>
      <c r="G463" t="s">
        <v>136</v>
      </c>
      <c r="H463" t="s">
        <v>146</v>
      </c>
      <c r="I463" t="s">
        <v>156</v>
      </c>
      <c r="J463" t="s">
        <v>26</v>
      </c>
      <c r="K463" t="s">
        <v>157</v>
      </c>
      <c r="L463" t="s">
        <v>150</v>
      </c>
      <c r="M463" t="s">
        <v>144</v>
      </c>
      <c r="N463" t="s">
        <v>1612</v>
      </c>
      <c r="O463">
        <v>1</v>
      </c>
      <c r="P463" t="s">
        <v>160</v>
      </c>
      <c r="R463">
        <v>806</v>
      </c>
      <c r="S463">
        <v>803.2</v>
      </c>
      <c r="T463" t="s">
        <v>145</v>
      </c>
      <c r="U463" t="s">
        <v>1664</v>
      </c>
      <c r="V463" t="s">
        <v>27</v>
      </c>
      <c r="W463" t="s">
        <v>66</v>
      </c>
      <c r="X463" t="s">
        <v>67</v>
      </c>
      <c r="Y463" t="s">
        <v>138</v>
      </c>
      <c r="AA463" t="s">
        <v>494</v>
      </c>
      <c r="AC463" t="s">
        <v>139</v>
      </c>
      <c r="AD463" t="s">
        <v>1686</v>
      </c>
      <c r="AG463" t="s">
        <v>156</v>
      </c>
      <c r="AH463" t="s">
        <v>68</v>
      </c>
      <c r="AI463" t="s">
        <v>493</v>
      </c>
      <c r="AK463" t="s">
        <v>1613</v>
      </c>
    </row>
    <row r="464" spans="1:37" customFormat="1">
      <c r="A464" t="s">
        <v>23</v>
      </c>
      <c r="B464" t="s">
        <v>24</v>
      </c>
      <c r="C464" t="s">
        <v>179</v>
      </c>
      <c r="D464" t="s">
        <v>135</v>
      </c>
      <c r="E464" t="s">
        <v>1443</v>
      </c>
      <c r="F464" t="s">
        <v>931</v>
      </c>
      <c r="G464" t="s">
        <v>136</v>
      </c>
      <c r="H464" t="s">
        <v>146</v>
      </c>
      <c r="I464" t="s">
        <v>156</v>
      </c>
      <c r="J464" t="s">
        <v>26</v>
      </c>
      <c r="K464" t="s">
        <v>157</v>
      </c>
      <c r="L464" t="s">
        <v>150</v>
      </c>
      <c r="M464" t="s">
        <v>144</v>
      </c>
      <c r="N464" t="s">
        <v>1614</v>
      </c>
      <c r="O464">
        <v>1</v>
      </c>
      <c r="P464" t="s">
        <v>160</v>
      </c>
      <c r="R464">
        <v>806</v>
      </c>
      <c r="S464">
        <v>803.2</v>
      </c>
      <c r="T464" t="s">
        <v>145</v>
      </c>
      <c r="U464" t="s">
        <v>1664</v>
      </c>
      <c r="V464" t="s">
        <v>27</v>
      </c>
      <c r="W464" t="s">
        <v>66</v>
      </c>
      <c r="X464" t="s">
        <v>67</v>
      </c>
      <c r="Y464" t="s">
        <v>138</v>
      </c>
      <c r="AA464" t="s">
        <v>494</v>
      </c>
      <c r="AC464" t="s">
        <v>139</v>
      </c>
      <c r="AD464" t="s">
        <v>1687</v>
      </c>
      <c r="AG464" t="s">
        <v>156</v>
      </c>
      <c r="AH464" t="s">
        <v>68</v>
      </c>
      <c r="AI464" t="s">
        <v>493</v>
      </c>
      <c r="AK464" t="s">
        <v>1615</v>
      </c>
    </row>
    <row r="465" spans="1:37" customFormat="1">
      <c r="A465" t="s">
        <v>23</v>
      </c>
      <c r="B465" t="s">
        <v>24</v>
      </c>
      <c r="C465" t="s">
        <v>177</v>
      </c>
      <c r="D465" t="s">
        <v>135</v>
      </c>
      <c r="E465" t="s">
        <v>1448</v>
      </c>
      <c r="F465" t="s">
        <v>931</v>
      </c>
      <c r="G465" t="s">
        <v>136</v>
      </c>
      <c r="H465" t="s">
        <v>146</v>
      </c>
      <c r="I465" t="s">
        <v>156</v>
      </c>
      <c r="J465" t="s">
        <v>25</v>
      </c>
      <c r="K465" t="s">
        <v>157</v>
      </c>
      <c r="L465" t="s">
        <v>143</v>
      </c>
      <c r="M465" t="s">
        <v>144</v>
      </c>
      <c r="N465" t="s">
        <v>1616</v>
      </c>
      <c r="O465">
        <v>12</v>
      </c>
      <c r="P465" t="s">
        <v>159</v>
      </c>
      <c r="R465">
        <v>271</v>
      </c>
      <c r="S465">
        <v>240.96</v>
      </c>
      <c r="T465" t="s">
        <v>145</v>
      </c>
      <c r="U465" t="s">
        <v>988</v>
      </c>
      <c r="V465" t="s">
        <v>27</v>
      </c>
      <c r="W465" t="s">
        <v>66</v>
      </c>
      <c r="X465" t="s">
        <v>67</v>
      </c>
      <c r="Y465" t="s">
        <v>138</v>
      </c>
      <c r="AA465" t="s">
        <v>494</v>
      </c>
      <c r="AC465" t="s">
        <v>139</v>
      </c>
      <c r="AD465" t="s">
        <v>1617</v>
      </c>
      <c r="AG465" t="s">
        <v>156</v>
      </c>
      <c r="AH465" t="s">
        <v>68</v>
      </c>
      <c r="AI465" t="s">
        <v>493</v>
      </c>
    </row>
    <row r="466" spans="1:37" customFormat="1">
      <c r="A466" t="s">
        <v>23</v>
      </c>
      <c r="B466" t="s">
        <v>24</v>
      </c>
      <c r="C466" t="s">
        <v>1618</v>
      </c>
      <c r="D466" t="s">
        <v>135</v>
      </c>
      <c r="E466" t="s">
        <v>1440</v>
      </c>
      <c r="F466" t="s">
        <v>931</v>
      </c>
      <c r="G466" t="s">
        <v>136</v>
      </c>
      <c r="H466" t="s">
        <v>151</v>
      </c>
      <c r="I466" t="s">
        <v>156</v>
      </c>
      <c r="J466" t="s">
        <v>26</v>
      </c>
      <c r="K466" t="s">
        <v>157</v>
      </c>
      <c r="L466" t="s">
        <v>143</v>
      </c>
      <c r="M466" t="s">
        <v>144</v>
      </c>
      <c r="N466" t="s">
        <v>1619</v>
      </c>
      <c r="O466">
        <v>1</v>
      </c>
      <c r="P466" t="s">
        <v>160</v>
      </c>
      <c r="R466">
        <v>699</v>
      </c>
      <c r="S466">
        <v>698.4</v>
      </c>
      <c r="T466" t="s">
        <v>145</v>
      </c>
      <c r="U466" t="s">
        <v>1517</v>
      </c>
      <c r="V466" t="s">
        <v>27</v>
      </c>
      <c r="W466" t="s">
        <v>66</v>
      </c>
      <c r="X466" t="s">
        <v>67</v>
      </c>
      <c r="Y466" t="s">
        <v>138</v>
      </c>
      <c r="AA466" t="s">
        <v>494</v>
      </c>
      <c r="AC466" t="s">
        <v>139</v>
      </c>
      <c r="AD466" t="s">
        <v>1620</v>
      </c>
      <c r="AG466" t="s">
        <v>156</v>
      </c>
      <c r="AH466" t="s">
        <v>68</v>
      </c>
      <c r="AI466" t="s">
        <v>493</v>
      </c>
      <c r="AK466" t="s">
        <v>1621</v>
      </c>
    </row>
    <row r="467" spans="1:37" customFormat="1">
      <c r="A467" t="s">
        <v>23</v>
      </c>
      <c r="B467" t="s">
        <v>24</v>
      </c>
      <c r="C467" t="s">
        <v>1618</v>
      </c>
      <c r="D467" t="s">
        <v>135</v>
      </c>
      <c r="E467" t="s">
        <v>1440</v>
      </c>
      <c r="F467" t="s">
        <v>931</v>
      </c>
      <c r="G467" t="s">
        <v>136</v>
      </c>
      <c r="H467" t="s">
        <v>151</v>
      </c>
      <c r="I467" t="s">
        <v>156</v>
      </c>
      <c r="J467" t="s">
        <v>26</v>
      </c>
      <c r="K467" t="s">
        <v>157</v>
      </c>
      <c r="L467" t="s">
        <v>143</v>
      </c>
      <c r="M467" t="s">
        <v>144</v>
      </c>
      <c r="N467" t="s">
        <v>1622</v>
      </c>
      <c r="O467">
        <v>1</v>
      </c>
      <c r="P467" t="s">
        <v>160</v>
      </c>
      <c r="R467">
        <v>703</v>
      </c>
      <c r="S467">
        <v>698.4</v>
      </c>
      <c r="T467" t="s">
        <v>145</v>
      </c>
      <c r="U467" t="s">
        <v>1517</v>
      </c>
      <c r="V467" t="s">
        <v>27</v>
      </c>
      <c r="W467" t="s">
        <v>66</v>
      </c>
      <c r="X467" t="s">
        <v>67</v>
      </c>
      <c r="Y467" t="s">
        <v>148</v>
      </c>
      <c r="AA467" t="s">
        <v>494</v>
      </c>
      <c r="AC467" t="s">
        <v>139</v>
      </c>
      <c r="AD467" t="s">
        <v>1623</v>
      </c>
      <c r="AF467" t="s">
        <v>493</v>
      </c>
      <c r="AG467" t="s">
        <v>156</v>
      </c>
      <c r="AH467" t="s">
        <v>68</v>
      </c>
      <c r="AI467" t="s">
        <v>493</v>
      </c>
      <c r="AK467" t="s">
        <v>1624</v>
      </c>
    </row>
    <row r="468" spans="1:37" customFormat="1">
      <c r="A468" t="s">
        <v>23</v>
      </c>
      <c r="B468" t="s">
        <v>24</v>
      </c>
      <c r="C468" t="s">
        <v>1618</v>
      </c>
      <c r="D468" t="s">
        <v>135</v>
      </c>
      <c r="E468" t="s">
        <v>1440</v>
      </c>
      <c r="F468" t="s">
        <v>931</v>
      </c>
      <c r="G468" t="s">
        <v>136</v>
      </c>
      <c r="H468" t="s">
        <v>151</v>
      </c>
      <c r="I468" t="s">
        <v>156</v>
      </c>
      <c r="J468" t="s">
        <v>26</v>
      </c>
      <c r="K468" t="s">
        <v>157</v>
      </c>
      <c r="L468" t="s">
        <v>143</v>
      </c>
      <c r="M468" t="s">
        <v>144</v>
      </c>
      <c r="N468" t="s">
        <v>1625</v>
      </c>
      <c r="O468">
        <v>1</v>
      </c>
      <c r="P468" t="s">
        <v>160</v>
      </c>
      <c r="R468">
        <v>700</v>
      </c>
      <c r="S468">
        <v>698.4</v>
      </c>
      <c r="T468" t="s">
        <v>145</v>
      </c>
      <c r="U468" t="s">
        <v>1517</v>
      </c>
      <c r="V468" t="s">
        <v>27</v>
      </c>
      <c r="W468" t="s">
        <v>66</v>
      </c>
      <c r="X468" t="s">
        <v>67</v>
      </c>
      <c r="Y468" t="s">
        <v>138</v>
      </c>
      <c r="AA468" t="s">
        <v>494</v>
      </c>
      <c r="AC468" t="s">
        <v>139</v>
      </c>
      <c r="AD468" t="s">
        <v>1626</v>
      </c>
      <c r="AG468" t="s">
        <v>156</v>
      </c>
      <c r="AH468" t="s">
        <v>68</v>
      </c>
      <c r="AI468" t="s">
        <v>493</v>
      </c>
      <c r="AK468" t="s">
        <v>1627</v>
      </c>
    </row>
    <row r="469" spans="1:37" customFormat="1">
      <c r="A469" t="s">
        <v>23</v>
      </c>
      <c r="B469" t="s">
        <v>24</v>
      </c>
      <c r="C469" t="s">
        <v>1618</v>
      </c>
      <c r="D469" t="s">
        <v>135</v>
      </c>
      <c r="E469" t="s">
        <v>1440</v>
      </c>
      <c r="F469" t="s">
        <v>931</v>
      </c>
      <c r="G469" t="s">
        <v>136</v>
      </c>
      <c r="H469" t="s">
        <v>151</v>
      </c>
      <c r="I469" t="s">
        <v>156</v>
      </c>
      <c r="J469" t="s">
        <v>26</v>
      </c>
      <c r="K469" t="s">
        <v>157</v>
      </c>
      <c r="L469" t="s">
        <v>143</v>
      </c>
      <c r="M469" t="s">
        <v>144</v>
      </c>
      <c r="N469" t="s">
        <v>1628</v>
      </c>
      <c r="O469">
        <v>1</v>
      </c>
      <c r="P469" t="s">
        <v>160</v>
      </c>
      <c r="R469">
        <v>704</v>
      </c>
      <c r="S469">
        <v>698.4</v>
      </c>
      <c r="T469" t="s">
        <v>145</v>
      </c>
      <c r="U469" t="s">
        <v>1517</v>
      </c>
      <c r="V469" t="s">
        <v>27</v>
      </c>
      <c r="W469" t="s">
        <v>66</v>
      </c>
      <c r="X469" t="s">
        <v>67</v>
      </c>
      <c r="Y469" t="s">
        <v>138</v>
      </c>
      <c r="AA469" t="s">
        <v>494</v>
      </c>
      <c r="AC469" t="s">
        <v>139</v>
      </c>
      <c r="AD469" t="s">
        <v>1629</v>
      </c>
      <c r="AG469" t="s">
        <v>156</v>
      </c>
      <c r="AH469" t="s">
        <v>68</v>
      </c>
      <c r="AI469" t="s">
        <v>493</v>
      </c>
      <c r="AK469" t="s">
        <v>1630</v>
      </c>
    </row>
    <row r="470" spans="1:37" customFormat="1">
      <c r="A470" t="s">
        <v>23</v>
      </c>
      <c r="B470" t="s">
        <v>24</v>
      </c>
      <c r="C470" t="s">
        <v>1618</v>
      </c>
      <c r="D470" t="s">
        <v>135</v>
      </c>
      <c r="E470" t="s">
        <v>1440</v>
      </c>
      <c r="F470" t="s">
        <v>931</v>
      </c>
      <c r="G470" t="s">
        <v>136</v>
      </c>
      <c r="H470" t="s">
        <v>151</v>
      </c>
      <c r="I470" t="s">
        <v>156</v>
      </c>
      <c r="J470" t="s">
        <v>26</v>
      </c>
      <c r="K470" t="s">
        <v>157</v>
      </c>
      <c r="L470" t="s">
        <v>143</v>
      </c>
      <c r="M470" t="s">
        <v>144</v>
      </c>
      <c r="N470" t="s">
        <v>1631</v>
      </c>
      <c r="O470">
        <v>1</v>
      </c>
      <c r="P470" t="s">
        <v>160</v>
      </c>
      <c r="R470">
        <v>699</v>
      </c>
      <c r="S470">
        <v>698.4</v>
      </c>
      <c r="T470" t="s">
        <v>145</v>
      </c>
      <c r="U470" t="s">
        <v>1517</v>
      </c>
      <c r="V470" t="s">
        <v>27</v>
      </c>
      <c r="W470" t="s">
        <v>66</v>
      </c>
      <c r="X470" t="s">
        <v>67</v>
      </c>
      <c r="Y470" t="s">
        <v>138</v>
      </c>
      <c r="AA470" t="s">
        <v>494</v>
      </c>
      <c r="AC470" t="s">
        <v>139</v>
      </c>
      <c r="AD470" t="s">
        <v>1632</v>
      </c>
      <c r="AG470" t="s">
        <v>156</v>
      </c>
      <c r="AH470" t="s">
        <v>68</v>
      </c>
      <c r="AI470" t="s">
        <v>493</v>
      </c>
      <c r="AK470" t="s">
        <v>1633</v>
      </c>
    </row>
    <row r="471" spans="1:37" customFormat="1">
      <c r="A471" t="s">
        <v>23</v>
      </c>
      <c r="B471" t="s">
        <v>24</v>
      </c>
      <c r="C471" t="s">
        <v>1618</v>
      </c>
      <c r="D471" t="s">
        <v>135</v>
      </c>
      <c r="E471" t="s">
        <v>1440</v>
      </c>
      <c r="F471" t="s">
        <v>931</v>
      </c>
      <c r="G471" t="s">
        <v>136</v>
      </c>
      <c r="H471" t="s">
        <v>151</v>
      </c>
      <c r="I471" t="s">
        <v>156</v>
      </c>
      <c r="J471" t="s">
        <v>26</v>
      </c>
      <c r="K471" t="s">
        <v>157</v>
      </c>
      <c r="L471" t="s">
        <v>143</v>
      </c>
      <c r="M471" t="s">
        <v>144</v>
      </c>
      <c r="N471" t="s">
        <v>1634</v>
      </c>
      <c r="O471">
        <v>1</v>
      </c>
      <c r="P471" t="s">
        <v>160</v>
      </c>
      <c r="R471">
        <v>702</v>
      </c>
      <c r="S471">
        <v>698.4</v>
      </c>
      <c r="T471" t="s">
        <v>145</v>
      </c>
      <c r="U471" t="s">
        <v>1517</v>
      </c>
      <c r="V471" t="s">
        <v>27</v>
      </c>
      <c r="W471" t="s">
        <v>66</v>
      </c>
      <c r="X471" t="s">
        <v>67</v>
      </c>
      <c r="Y471" t="s">
        <v>138</v>
      </c>
      <c r="AA471" t="s">
        <v>494</v>
      </c>
      <c r="AC471" t="s">
        <v>139</v>
      </c>
      <c r="AD471" t="s">
        <v>1635</v>
      </c>
      <c r="AG471" t="s">
        <v>156</v>
      </c>
      <c r="AH471" t="s">
        <v>68</v>
      </c>
      <c r="AI471" t="s">
        <v>493</v>
      </c>
      <c r="AK471" t="s">
        <v>1636</v>
      </c>
    </row>
    <row r="472" spans="1:37" customFormat="1">
      <c r="A472" t="s">
        <v>23</v>
      </c>
      <c r="B472" t="s">
        <v>24</v>
      </c>
      <c r="C472" t="s">
        <v>1618</v>
      </c>
      <c r="D472" t="s">
        <v>135</v>
      </c>
      <c r="E472" t="s">
        <v>1440</v>
      </c>
      <c r="F472" t="s">
        <v>931</v>
      </c>
      <c r="G472" t="s">
        <v>136</v>
      </c>
      <c r="H472" t="s">
        <v>151</v>
      </c>
      <c r="I472" t="s">
        <v>156</v>
      </c>
      <c r="J472" t="s">
        <v>26</v>
      </c>
      <c r="K472" t="s">
        <v>157</v>
      </c>
      <c r="L472" t="s">
        <v>143</v>
      </c>
      <c r="M472" t="s">
        <v>144</v>
      </c>
      <c r="N472" t="s">
        <v>1637</v>
      </c>
      <c r="O472">
        <v>1</v>
      </c>
      <c r="P472" t="s">
        <v>160</v>
      </c>
      <c r="R472">
        <v>699</v>
      </c>
      <c r="S472">
        <v>698.4</v>
      </c>
      <c r="T472" t="s">
        <v>145</v>
      </c>
      <c r="U472" t="s">
        <v>1517</v>
      </c>
      <c r="V472" t="s">
        <v>27</v>
      </c>
      <c r="W472" t="s">
        <v>66</v>
      </c>
      <c r="X472" t="s">
        <v>67</v>
      </c>
      <c r="Y472" t="s">
        <v>138</v>
      </c>
      <c r="AA472" t="s">
        <v>494</v>
      </c>
      <c r="AC472" t="s">
        <v>139</v>
      </c>
      <c r="AD472" t="s">
        <v>1638</v>
      </c>
      <c r="AG472" t="s">
        <v>156</v>
      </c>
      <c r="AH472" t="s">
        <v>68</v>
      </c>
      <c r="AI472" t="s">
        <v>493</v>
      </c>
      <c r="AK472" t="s">
        <v>1639</v>
      </c>
    </row>
    <row r="473" spans="1:37" customFormat="1">
      <c r="A473" t="s">
        <v>23</v>
      </c>
      <c r="B473" t="s">
        <v>24</v>
      </c>
      <c r="C473" t="s">
        <v>1618</v>
      </c>
      <c r="D473" t="s">
        <v>135</v>
      </c>
      <c r="E473" t="s">
        <v>1440</v>
      </c>
      <c r="F473" t="s">
        <v>931</v>
      </c>
      <c r="G473" t="s">
        <v>136</v>
      </c>
      <c r="H473" t="s">
        <v>151</v>
      </c>
      <c r="I473" t="s">
        <v>156</v>
      </c>
      <c r="J473" t="s">
        <v>26</v>
      </c>
      <c r="K473" t="s">
        <v>157</v>
      </c>
      <c r="L473" t="s">
        <v>143</v>
      </c>
      <c r="M473" t="s">
        <v>144</v>
      </c>
      <c r="N473" t="s">
        <v>1640</v>
      </c>
      <c r="O473">
        <v>1</v>
      </c>
      <c r="P473" t="s">
        <v>160</v>
      </c>
      <c r="R473">
        <v>705</v>
      </c>
      <c r="S473">
        <v>698.4</v>
      </c>
      <c r="T473" t="s">
        <v>145</v>
      </c>
      <c r="U473" t="s">
        <v>1517</v>
      </c>
      <c r="V473" t="s">
        <v>27</v>
      </c>
      <c r="W473" t="s">
        <v>66</v>
      </c>
      <c r="X473" t="s">
        <v>67</v>
      </c>
      <c r="Y473" t="s">
        <v>138</v>
      </c>
      <c r="AA473" t="s">
        <v>494</v>
      </c>
      <c r="AC473" t="s">
        <v>139</v>
      </c>
      <c r="AD473" t="s">
        <v>1641</v>
      </c>
      <c r="AG473" t="s">
        <v>156</v>
      </c>
      <c r="AH473" t="s">
        <v>68</v>
      </c>
      <c r="AI473" t="s">
        <v>493</v>
      </c>
      <c r="AK473" t="s">
        <v>1642</v>
      </c>
    </row>
    <row r="474" spans="1:37" customFormat="1">
      <c r="A474" t="s">
        <v>23</v>
      </c>
      <c r="B474" t="s">
        <v>24</v>
      </c>
      <c r="C474" t="s">
        <v>1618</v>
      </c>
      <c r="D474" t="s">
        <v>135</v>
      </c>
      <c r="E474" t="s">
        <v>1440</v>
      </c>
      <c r="F474" t="s">
        <v>931</v>
      </c>
      <c r="G474" t="s">
        <v>136</v>
      </c>
      <c r="H474" t="s">
        <v>151</v>
      </c>
      <c r="I474" t="s">
        <v>156</v>
      </c>
      <c r="J474" t="s">
        <v>26</v>
      </c>
      <c r="K474" t="s">
        <v>157</v>
      </c>
      <c r="L474" t="s">
        <v>143</v>
      </c>
      <c r="M474" t="s">
        <v>144</v>
      </c>
      <c r="N474" t="s">
        <v>1643</v>
      </c>
      <c r="O474">
        <v>1</v>
      </c>
      <c r="P474" t="s">
        <v>160</v>
      </c>
      <c r="R474">
        <v>699</v>
      </c>
      <c r="S474">
        <v>698.4</v>
      </c>
      <c r="T474" t="s">
        <v>145</v>
      </c>
      <c r="U474" t="s">
        <v>1517</v>
      </c>
      <c r="V474" t="s">
        <v>27</v>
      </c>
      <c r="W474" t="s">
        <v>66</v>
      </c>
      <c r="X474" t="s">
        <v>67</v>
      </c>
      <c r="Y474" t="s">
        <v>138</v>
      </c>
      <c r="AA474" t="s">
        <v>494</v>
      </c>
      <c r="AC474" t="s">
        <v>139</v>
      </c>
      <c r="AD474" t="s">
        <v>1644</v>
      </c>
      <c r="AG474" t="s">
        <v>156</v>
      </c>
      <c r="AH474" t="s">
        <v>68</v>
      </c>
      <c r="AI474" t="s">
        <v>493</v>
      </c>
      <c r="AK474" t="s">
        <v>1645</v>
      </c>
    </row>
    <row r="475" spans="1:37" customFormat="1">
      <c r="A475" t="s">
        <v>23</v>
      </c>
      <c r="B475" t="s">
        <v>24</v>
      </c>
      <c r="C475" t="s">
        <v>1618</v>
      </c>
      <c r="D475" t="s">
        <v>135</v>
      </c>
      <c r="E475" t="s">
        <v>1440</v>
      </c>
      <c r="F475" t="s">
        <v>931</v>
      </c>
      <c r="G475" t="s">
        <v>136</v>
      </c>
      <c r="H475" t="s">
        <v>151</v>
      </c>
      <c r="I475" t="s">
        <v>156</v>
      </c>
      <c r="J475" t="s">
        <v>26</v>
      </c>
      <c r="K475" t="s">
        <v>157</v>
      </c>
      <c r="L475" t="s">
        <v>143</v>
      </c>
      <c r="M475" t="s">
        <v>144</v>
      </c>
      <c r="N475" t="s">
        <v>1646</v>
      </c>
      <c r="O475">
        <v>1</v>
      </c>
      <c r="P475" t="s">
        <v>160</v>
      </c>
      <c r="R475">
        <v>701</v>
      </c>
      <c r="S475">
        <v>698.4</v>
      </c>
      <c r="T475" t="s">
        <v>145</v>
      </c>
      <c r="U475" t="s">
        <v>1517</v>
      </c>
      <c r="V475" t="s">
        <v>27</v>
      </c>
      <c r="W475" t="s">
        <v>66</v>
      </c>
      <c r="X475" t="s">
        <v>67</v>
      </c>
      <c r="Y475" t="s">
        <v>138</v>
      </c>
      <c r="AA475" t="s">
        <v>494</v>
      </c>
      <c r="AC475" t="s">
        <v>139</v>
      </c>
      <c r="AD475" t="s">
        <v>1647</v>
      </c>
      <c r="AG475" t="s">
        <v>156</v>
      </c>
      <c r="AH475" t="s">
        <v>68</v>
      </c>
      <c r="AI475" t="s">
        <v>493</v>
      </c>
      <c r="AK475" t="s">
        <v>1648</v>
      </c>
    </row>
    <row r="476" spans="1:37" customFormat="1">
      <c r="A476" t="s">
        <v>23</v>
      </c>
      <c r="B476" t="s">
        <v>24</v>
      </c>
      <c r="C476" t="s">
        <v>1618</v>
      </c>
      <c r="D476" t="s">
        <v>135</v>
      </c>
      <c r="E476" t="s">
        <v>1440</v>
      </c>
      <c r="F476" t="s">
        <v>931</v>
      </c>
      <c r="G476" t="s">
        <v>136</v>
      </c>
      <c r="H476" t="s">
        <v>151</v>
      </c>
      <c r="I476" t="s">
        <v>156</v>
      </c>
      <c r="J476" t="s">
        <v>26</v>
      </c>
      <c r="K476" t="s">
        <v>157</v>
      </c>
      <c r="L476" t="s">
        <v>143</v>
      </c>
      <c r="M476" t="s">
        <v>144</v>
      </c>
      <c r="N476" t="s">
        <v>1649</v>
      </c>
      <c r="O476">
        <v>1</v>
      </c>
      <c r="P476" t="s">
        <v>160</v>
      </c>
      <c r="R476">
        <v>701</v>
      </c>
      <c r="S476">
        <v>698.4</v>
      </c>
      <c r="T476" t="s">
        <v>145</v>
      </c>
      <c r="U476" t="s">
        <v>1517</v>
      </c>
      <c r="V476" t="s">
        <v>27</v>
      </c>
      <c r="W476" t="s">
        <v>66</v>
      </c>
      <c r="X476" t="s">
        <v>67</v>
      </c>
      <c r="Y476" t="s">
        <v>138</v>
      </c>
      <c r="AA476" t="s">
        <v>494</v>
      </c>
      <c r="AC476" t="s">
        <v>139</v>
      </c>
      <c r="AD476" t="s">
        <v>1650</v>
      </c>
      <c r="AG476" t="s">
        <v>156</v>
      </c>
      <c r="AH476" t="s">
        <v>68</v>
      </c>
      <c r="AI476" t="s">
        <v>493</v>
      </c>
      <c r="AK476" t="s">
        <v>1651</v>
      </c>
    </row>
    <row r="477" spans="1:37" customFormat="1">
      <c r="A477" t="s">
        <v>23</v>
      </c>
      <c r="B477" t="s">
        <v>24</v>
      </c>
      <c r="C477" t="s">
        <v>1618</v>
      </c>
      <c r="D477" t="s">
        <v>135</v>
      </c>
      <c r="E477" t="s">
        <v>1440</v>
      </c>
      <c r="F477" t="s">
        <v>931</v>
      </c>
      <c r="G477" t="s">
        <v>136</v>
      </c>
      <c r="H477" t="s">
        <v>151</v>
      </c>
      <c r="I477" t="s">
        <v>156</v>
      </c>
      <c r="J477" t="s">
        <v>26</v>
      </c>
      <c r="K477" t="s">
        <v>157</v>
      </c>
      <c r="L477" t="s">
        <v>143</v>
      </c>
      <c r="M477" t="s">
        <v>144</v>
      </c>
      <c r="N477" t="s">
        <v>1652</v>
      </c>
      <c r="O477">
        <v>1</v>
      </c>
      <c r="P477" t="s">
        <v>160</v>
      </c>
      <c r="R477">
        <v>699</v>
      </c>
      <c r="S477">
        <v>698.4</v>
      </c>
      <c r="T477" t="s">
        <v>145</v>
      </c>
      <c r="U477" t="s">
        <v>1517</v>
      </c>
      <c r="V477" t="s">
        <v>27</v>
      </c>
      <c r="W477" t="s">
        <v>66</v>
      </c>
      <c r="X477" t="s">
        <v>67</v>
      </c>
      <c r="Y477" t="s">
        <v>138</v>
      </c>
      <c r="AA477" t="s">
        <v>494</v>
      </c>
      <c r="AC477" t="s">
        <v>139</v>
      </c>
      <c r="AD477" t="s">
        <v>1653</v>
      </c>
      <c r="AG477" t="s">
        <v>156</v>
      </c>
      <c r="AH477" t="s">
        <v>68</v>
      </c>
      <c r="AI477" t="s">
        <v>493</v>
      </c>
      <c r="AK477" t="s">
        <v>1654</v>
      </c>
    </row>
    <row r="478" spans="1:37" customFormat="1">
      <c r="A478" t="s">
        <v>23</v>
      </c>
      <c r="B478" t="s">
        <v>24</v>
      </c>
      <c r="C478" t="s">
        <v>1618</v>
      </c>
      <c r="D478" t="s">
        <v>135</v>
      </c>
      <c r="E478" t="s">
        <v>1440</v>
      </c>
      <c r="F478" t="s">
        <v>931</v>
      </c>
      <c r="G478" t="s">
        <v>136</v>
      </c>
      <c r="H478" t="s">
        <v>151</v>
      </c>
      <c r="I478" t="s">
        <v>156</v>
      </c>
      <c r="J478" t="s">
        <v>26</v>
      </c>
      <c r="K478" t="s">
        <v>157</v>
      </c>
      <c r="L478" t="s">
        <v>143</v>
      </c>
      <c r="M478" t="s">
        <v>144</v>
      </c>
      <c r="N478" t="s">
        <v>1655</v>
      </c>
      <c r="O478">
        <v>1</v>
      </c>
      <c r="P478" t="s">
        <v>160</v>
      </c>
      <c r="R478">
        <v>705</v>
      </c>
      <c r="S478">
        <v>698.4</v>
      </c>
      <c r="T478" t="s">
        <v>145</v>
      </c>
      <c r="U478" t="s">
        <v>1517</v>
      </c>
      <c r="V478" t="s">
        <v>27</v>
      </c>
      <c r="W478" t="s">
        <v>66</v>
      </c>
      <c r="X478" t="s">
        <v>67</v>
      </c>
      <c r="Y478" t="s">
        <v>138</v>
      </c>
      <c r="AA478" t="s">
        <v>494</v>
      </c>
      <c r="AC478" t="s">
        <v>139</v>
      </c>
      <c r="AD478" t="s">
        <v>1656</v>
      </c>
      <c r="AG478" t="s">
        <v>156</v>
      </c>
      <c r="AH478" t="s">
        <v>68</v>
      </c>
      <c r="AI478" t="s">
        <v>493</v>
      </c>
      <c r="AK478" t="s">
        <v>1657</v>
      </c>
    </row>
    <row r="479" spans="1:37" customFormat="1">
      <c r="A479" t="s">
        <v>23</v>
      </c>
      <c r="B479" t="s">
        <v>24</v>
      </c>
      <c r="C479" t="s">
        <v>178</v>
      </c>
      <c r="D479" t="s">
        <v>135</v>
      </c>
      <c r="E479" t="s">
        <v>1446</v>
      </c>
      <c r="F479" t="s">
        <v>931</v>
      </c>
      <c r="G479" t="s">
        <v>136</v>
      </c>
      <c r="H479" t="s">
        <v>151</v>
      </c>
      <c r="I479" t="s">
        <v>156</v>
      </c>
      <c r="J479" t="s">
        <v>25</v>
      </c>
      <c r="K479" t="s">
        <v>157</v>
      </c>
      <c r="L479" t="s">
        <v>143</v>
      </c>
      <c r="M479" t="s">
        <v>144</v>
      </c>
      <c r="N479" t="s">
        <v>1658</v>
      </c>
      <c r="O479">
        <v>37</v>
      </c>
      <c r="P479" t="s">
        <v>159</v>
      </c>
      <c r="R479">
        <v>679</v>
      </c>
      <c r="S479">
        <v>646.02</v>
      </c>
      <c r="T479" t="s">
        <v>145</v>
      </c>
      <c r="U479" t="s">
        <v>988</v>
      </c>
      <c r="V479" t="s">
        <v>27</v>
      </c>
      <c r="W479" t="s">
        <v>66</v>
      </c>
      <c r="X479" t="s">
        <v>67</v>
      </c>
      <c r="Y479" t="s">
        <v>138</v>
      </c>
      <c r="AA479" t="s">
        <v>494</v>
      </c>
      <c r="AC479" t="s">
        <v>139</v>
      </c>
      <c r="AD479" t="s">
        <v>1659</v>
      </c>
      <c r="AG479" t="s">
        <v>156</v>
      </c>
      <c r="AH479" t="s">
        <v>68</v>
      </c>
      <c r="AI479" t="s">
        <v>493</v>
      </c>
    </row>
    <row r="480" spans="1:37" customFormat="1">
      <c r="A480" t="s">
        <v>23</v>
      </c>
      <c r="B480" t="s">
        <v>24</v>
      </c>
      <c r="C480" t="s">
        <v>175</v>
      </c>
      <c r="D480" t="s">
        <v>135</v>
      </c>
      <c r="E480" t="s">
        <v>1661</v>
      </c>
      <c r="F480" t="s">
        <v>931</v>
      </c>
      <c r="G480" t="s">
        <v>136</v>
      </c>
      <c r="H480" t="s">
        <v>142</v>
      </c>
      <c r="I480" t="s">
        <v>156</v>
      </c>
      <c r="J480" t="s">
        <v>26</v>
      </c>
      <c r="K480" t="s">
        <v>157</v>
      </c>
      <c r="L480" t="s">
        <v>162</v>
      </c>
      <c r="M480" t="s">
        <v>144</v>
      </c>
      <c r="N480" t="s">
        <v>1688</v>
      </c>
      <c r="O480">
        <v>1</v>
      </c>
      <c r="P480" t="s">
        <v>160</v>
      </c>
      <c r="R480">
        <v>731</v>
      </c>
      <c r="S480">
        <v>728.8</v>
      </c>
      <c r="T480" t="s">
        <v>145</v>
      </c>
      <c r="U480" t="s">
        <v>1689</v>
      </c>
      <c r="V480" t="s">
        <v>27</v>
      </c>
      <c r="W480" t="s">
        <v>66</v>
      </c>
      <c r="X480" t="s">
        <v>67</v>
      </c>
      <c r="Y480" t="s">
        <v>138</v>
      </c>
      <c r="AA480" t="s">
        <v>494</v>
      </c>
      <c r="AC480" t="s">
        <v>139</v>
      </c>
      <c r="AD480" t="s">
        <v>1690</v>
      </c>
      <c r="AG480" t="s">
        <v>156</v>
      </c>
      <c r="AH480" t="s">
        <v>68</v>
      </c>
      <c r="AI480" t="s">
        <v>493</v>
      </c>
      <c r="AK480" t="s">
        <v>1760</v>
      </c>
    </row>
    <row r="481" spans="1:37" customFormat="1">
      <c r="A481" t="s">
        <v>23</v>
      </c>
      <c r="B481" t="s">
        <v>24</v>
      </c>
      <c r="C481" t="s">
        <v>175</v>
      </c>
      <c r="D481" t="s">
        <v>135</v>
      </c>
      <c r="E481" t="s">
        <v>1661</v>
      </c>
      <c r="F481" t="s">
        <v>931</v>
      </c>
      <c r="G481" t="s">
        <v>136</v>
      </c>
      <c r="H481" t="s">
        <v>142</v>
      </c>
      <c r="I481" t="s">
        <v>156</v>
      </c>
      <c r="J481" t="s">
        <v>26</v>
      </c>
      <c r="K481" t="s">
        <v>157</v>
      </c>
      <c r="L481" t="s">
        <v>162</v>
      </c>
      <c r="M481" t="s">
        <v>144</v>
      </c>
      <c r="N481" t="s">
        <v>1691</v>
      </c>
      <c r="O481">
        <v>1</v>
      </c>
      <c r="P481" t="s">
        <v>160</v>
      </c>
      <c r="R481">
        <v>732</v>
      </c>
      <c r="S481">
        <v>728.8</v>
      </c>
      <c r="T481" t="s">
        <v>145</v>
      </c>
      <c r="U481" t="s">
        <v>1689</v>
      </c>
      <c r="V481" t="s">
        <v>27</v>
      </c>
      <c r="W481" t="s">
        <v>66</v>
      </c>
      <c r="X481" t="s">
        <v>67</v>
      </c>
      <c r="Y481" t="s">
        <v>138</v>
      </c>
      <c r="AA481" t="s">
        <v>494</v>
      </c>
      <c r="AC481" t="s">
        <v>139</v>
      </c>
      <c r="AD481" t="s">
        <v>1692</v>
      </c>
      <c r="AG481" t="s">
        <v>156</v>
      </c>
      <c r="AH481" t="s">
        <v>68</v>
      </c>
      <c r="AI481" t="s">
        <v>493</v>
      </c>
      <c r="AK481" t="s">
        <v>1761</v>
      </c>
    </row>
    <row r="482" spans="1:37" customFormat="1">
      <c r="A482" t="s">
        <v>23</v>
      </c>
      <c r="B482" t="s">
        <v>24</v>
      </c>
      <c r="C482" t="s">
        <v>175</v>
      </c>
      <c r="D482" t="s">
        <v>135</v>
      </c>
      <c r="E482" t="s">
        <v>1661</v>
      </c>
      <c r="F482" t="s">
        <v>931</v>
      </c>
      <c r="G482" t="s">
        <v>136</v>
      </c>
      <c r="H482" t="s">
        <v>142</v>
      </c>
      <c r="I482" t="s">
        <v>156</v>
      </c>
      <c r="J482" t="s">
        <v>26</v>
      </c>
      <c r="K482" t="s">
        <v>157</v>
      </c>
      <c r="L482" t="s">
        <v>162</v>
      </c>
      <c r="M482" t="s">
        <v>144</v>
      </c>
      <c r="N482" t="s">
        <v>1693</v>
      </c>
      <c r="O482">
        <v>1</v>
      </c>
      <c r="P482" t="s">
        <v>160</v>
      </c>
      <c r="R482">
        <v>732</v>
      </c>
      <c r="S482">
        <v>728.8</v>
      </c>
      <c r="T482" t="s">
        <v>145</v>
      </c>
      <c r="U482" t="s">
        <v>1689</v>
      </c>
      <c r="V482" t="s">
        <v>27</v>
      </c>
      <c r="W482" t="s">
        <v>66</v>
      </c>
      <c r="X482" t="s">
        <v>67</v>
      </c>
      <c r="Y482" t="s">
        <v>138</v>
      </c>
      <c r="AA482" t="s">
        <v>494</v>
      </c>
      <c r="AC482" t="s">
        <v>139</v>
      </c>
      <c r="AD482" t="s">
        <v>1694</v>
      </c>
      <c r="AG482" t="s">
        <v>156</v>
      </c>
      <c r="AH482" t="s">
        <v>68</v>
      </c>
      <c r="AI482" t="s">
        <v>493</v>
      </c>
      <c r="AK482" t="s">
        <v>1762</v>
      </c>
    </row>
    <row r="483" spans="1:37" customFormat="1">
      <c r="A483" t="s">
        <v>23</v>
      </c>
      <c r="B483" t="s">
        <v>24</v>
      </c>
      <c r="C483" t="s">
        <v>175</v>
      </c>
      <c r="D483" t="s">
        <v>135</v>
      </c>
      <c r="E483" t="s">
        <v>1661</v>
      </c>
      <c r="F483" t="s">
        <v>931</v>
      </c>
      <c r="G483" t="s">
        <v>136</v>
      </c>
      <c r="H483" t="s">
        <v>142</v>
      </c>
      <c r="I483" t="s">
        <v>156</v>
      </c>
      <c r="J483" t="s">
        <v>26</v>
      </c>
      <c r="K483" t="s">
        <v>157</v>
      </c>
      <c r="L483" t="s">
        <v>162</v>
      </c>
      <c r="M483" t="s">
        <v>144</v>
      </c>
      <c r="N483" t="s">
        <v>1695</v>
      </c>
      <c r="O483">
        <v>1</v>
      </c>
      <c r="P483" t="s">
        <v>160</v>
      </c>
      <c r="R483">
        <v>729</v>
      </c>
      <c r="S483">
        <v>728.8</v>
      </c>
      <c r="T483" t="s">
        <v>145</v>
      </c>
      <c r="U483" t="s">
        <v>1689</v>
      </c>
      <c r="V483" t="s">
        <v>27</v>
      </c>
      <c r="W483" t="s">
        <v>66</v>
      </c>
      <c r="X483" t="s">
        <v>67</v>
      </c>
      <c r="Y483" t="s">
        <v>138</v>
      </c>
      <c r="AA483" t="s">
        <v>494</v>
      </c>
      <c r="AC483" t="s">
        <v>139</v>
      </c>
      <c r="AD483" t="s">
        <v>1696</v>
      </c>
      <c r="AG483" t="s">
        <v>156</v>
      </c>
      <c r="AH483" t="s">
        <v>68</v>
      </c>
      <c r="AI483" t="s">
        <v>493</v>
      </c>
      <c r="AK483" t="s">
        <v>1763</v>
      </c>
    </row>
    <row r="484" spans="1:37" customFormat="1">
      <c r="A484" t="s">
        <v>23</v>
      </c>
      <c r="B484" t="s">
        <v>24</v>
      </c>
      <c r="C484" t="s">
        <v>175</v>
      </c>
      <c r="D484" t="s">
        <v>135</v>
      </c>
      <c r="E484" t="s">
        <v>1661</v>
      </c>
      <c r="F484" t="s">
        <v>931</v>
      </c>
      <c r="G484" t="s">
        <v>136</v>
      </c>
      <c r="H484" t="s">
        <v>142</v>
      </c>
      <c r="I484" t="s">
        <v>156</v>
      </c>
      <c r="J484" t="s">
        <v>26</v>
      </c>
      <c r="K484" t="s">
        <v>157</v>
      </c>
      <c r="L484" t="s">
        <v>162</v>
      </c>
      <c r="M484" t="s">
        <v>144</v>
      </c>
      <c r="N484" t="s">
        <v>1697</v>
      </c>
      <c r="O484">
        <v>1</v>
      </c>
      <c r="P484" t="s">
        <v>160</v>
      </c>
      <c r="R484">
        <v>730</v>
      </c>
      <c r="S484">
        <v>728.8</v>
      </c>
      <c r="T484" t="s">
        <v>145</v>
      </c>
      <c r="U484" t="s">
        <v>1689</v>
      </c>
      <c r="V484" t="s">
        <v>27</v>
      </c>
      <c r="W484" t="s">
        <v>66</v>
      </c>
      <c r="X484" t="s">
        <v>67</v>
      </c>
      <c r="Y484" t="s">
        <v>138</v>
      </c>
      <c r="AA484" t="s">
        <v>494</v>
      </c>
      <c r="AC484" t="s">
        <v>139</v>
      </c>
      <c r="AD484" t="s">
        <v>1698</v>
      </c>
      <c r="AG484" t="s">
        <v>156</v>
      </c>
      <c r="AH484" t="s">
        <v>68</v>
      </c>
      <c r="AI484" t="s">
        <v>493</v>
      </c>
      <c r="AK484" t="s">
        <v>1764</v>
      </c>
    </row>
    <row r="485" spans="1:37" customFormat="1">
      <c r="A485" t="s">
        <v>23</v>
      </c>
      <c r="B485" t="s">
        <v>24</v>
      </c>
      <c r="C485" t="s">
        <v>175</v>
      </c>
      <c r="D485" t="s">
        <v>135</v>
      </c>
      <c r="E485" t="s">
        <v>1661</v>
      </c>
      <c r="F485" t="s">
        <v>931</v>
      </c>
      <c r="G485" t="s">
        <v>136</v>
      </c>
      <c r="H485" t="s">
        <v>142</v>
      </c>
      <c r="I485" t="s">
        <v>156</v>
      </c>
      <c r="J485" t="s">
        <v>26</v>
      </c>
      <c r="K485" t="s">
        <v>157</v>
      </c>
      <c r="L485" t="s">
        <v>162</v>
      </c>
      <c r="M485" t="s">
        <v>144</v>
      </c>
      <c r="N485" t="s">
        <v>1699</v>
      </c>
      <c r="O485">
        <v>1</v>
      </c>
      <c r="P485" t="s">
        <v>160</v>
      </c>
      <c r="R485">
        <v>729</v>
      </c>
      <c r="S485">
        <v>728.8</v>
      </c>
      <c r="T485" t="s">
        <v>145</v>
      </c>
      <c r="U485" t="s">
        <v>1689</v>
      </c>
      <c r="V485" t="s">
        <v>27</v>
      </c>
      <c r="W485" t="s">
        <v>66</v>
      </c>
      <c r="X485" t="s">
        <v>67</v>
      </c>
      <c r="Y485" t="s">
        <v>138</v>
      </c>
      <c r="AA485" t="s">
        <v>494</v>
      </c>
      <c r="AC485" t="s">
        <v>139</v>
      </c>
      <c r="AD485" t="s">
        <v>1700</v>
      </c>
      <c r="AG485" t="s">
        <v>156</v>
      </c>
      <c r="AH485" t="s">
        <v>68</v>
      </c>
      <c r="AI485" t="s">
        <v>493</v>
      </c>
      <c r="AK485" t="s">
        <v>1765</v>
      </c>
    </row>
    <row r="486" spans="1:37" customFormat="1">
      <c r="A486" t="s">
        <v>23</v>
      </c>
      <c r="B486" t="s">
        <v>24</v>
      </c>
      <c r="C486" t="s">
        <v>175</v>
      </c>
      <c r="D486" t="s">
        <v>135</v>
      </c>
      <c r="E486" t="s">
        <v>1661</v>
      </c>
      <c r="F486" t="s">
        <v>931</v>
      </c>
      <c r="G486" t="s">
        <v>136</v>
      </c>
      <c r="H486" t="s">
        <v>142</v>
      </c>
      <c r="I486" t="s">
        <v>156</v>
      </c>
      <c r="J486" t="s">
        <v>26</v>
      </c>
      <c r="K486" t="s">
        <v>157</v>
      </c>
      <c r="L486" t="s">
        <v>162</v>
      </c>
      <c r="M486" t="s">
        <v>144</v>
      </c>
      <c r="N486" t="s">
        <v>1701</v>
      </c>
      <c r="O486">
        <v>1</v>
      </c>
      <c r="P486" t="s">
        <v>160</v>
      </c>
      <c r="R486">
        <v>730</v>
      </c>
      <c r="S486">
        <v>728.8</v>
      </c>
      <c r="T486" t="s">
        <v>145</v>
      </c>
      <c r="U486" t="s">
        <v>1689</v>
      </c>
      <c r="V486" t="s">
        <v>27</v>
      </c>
      <c r="W486" t="s">
        <v>66</v>
      </c>
      <c r="X486" t="s">
        <v>67</v>
      </c>
      <c r="Y486" t="s">
        <v>138</v>
      </c>
      <c r="AA486" t="s">
        <v>494</v>
      </c>
      <c r="AC486" t="s">
        <v>139</v>
      </c>
      <c r="AD486" t="s">
        <v>1702</v>
      </c>
      <c r="AG486" t="s">
        <v>156</v>
      </c>
      <c r="AH486" t="s">
        <v>68</v>
      </c>
      <c r="AI486" t="s">
        <v>493</v>
      </c>
      <c r="AK486" t="s">
        <v>1766</v>
      </c>
    </row>
    <row r="487" spans="1:37" customFormat="1">
      <c r="A487" t="s">
        <v>23</v>
      </c>
      <c r="B487" t="s">
        <v>24</v>
      </c>
      <c r="C487" t="s">
        <v>175</v>
      </c>
      <c r="D487" t="s">
        <v>135</v>
      </c>
      <c r="E487" t="s">
        <v>1661</v>
      </c>
      <c r="F487" t="s">
        <v>931</v>
      </c>
      <c r="G487" t="s">
        <v>136</v>
      </c>
      <c r="H487" t="s">
        <v>142</v>
      </c>
      <c r="I487" t="s">
        <v>156</v>
      </c>
      <c r="J487" t="s">
        <v>26</v>
      </c>
      <c r="K487" t="s">
        <v>157</v>
      </c>
      <c r="L487" t="s">
        <v>162</v>
      </c>
      <c r="M487" t="s">
        <v>144</v>
      </c>
      <c r="N487" t="s">
        <v>1703</v>
      </c>
      <c r="O487">
        <v>1</v>
      </c>
      <c r="P487" t="s">
        <v>160</v>
      </c>
      <c r="R487">
        <v>729</v>
      </c>
      <c r="S487">
        <v>728.8</v>
      </c>
      <c r="T487" t="s">
        <v>145</v>
      </c>
      <c r="U487" t="s">
        <v>1689</v>
      </c>
      <c r="V487" t="s">
        <v>27</v>
      </c>
      <c r="W487" t="s">
        <v>66</v>
      </c>
      <c r="X487" t="s">
        <v>67</v>
      </c>
      <c r="Y487" t="s">
        <v>138</v>
      </c>
      <c r="AA487" t="s">
        <v>494</v>
      </c>
      <c r="AC487" t="s">
        <v>139</v>
      </c>
      <c r="AD487" t="s">
        <v>1704</v>
      </c>
      <c r="AG487" t="s">
        <v>156</v>
      </c>
      <c r="AH487" t="s">
        <v>68</v>
      </c>
      <c r="AI487" t="s">
        <v>493</v>
      </c>
      <c r="AK487" t="s">
        <v>1767</v>
      </c>
    </row>
    <row r="488" spans="1:37" customFormat="1">
      <c r="A488" t="s">
        <v>23</v>
      </c>
      <c r="B488" t="s">
        <v>24</v>
      </c>
      <c r="C488" t="s">
        <v>175</v>
      </c>
      <c r="D488" t="s">
        <v>135</v>
      </c>
      <c r="E488" t="s">
        <v>1661</v>
      </c>
      <c r="F488" t="s">
        <v>931</v>
      </c>
      <c r="G488" t="s">
        <v>136</v>
      </c>
      <c r="H488" t="s">
        <v>142</v>
      </c>
      <c r="I488" t="s">
        <v>156</v>
      </c>
      <c r="J488" t="s">
        <v>26</v>
      </c>
      <c r="K488" t="s">
        <v>157</v>
      </c>
      <c r="L488" t="s">
        <v>162</v>
      </c>
      <c r="M488" t="s">
        <v>144</v>
      </c>
      <c r="N488" t="s">
        <v>1705</v>
      </c>
      <c r="O488">
        <v>1</v>
      </c>
      <c r="P488" t="s">
        <v>160</v>
      </c>
      <c r="R488">
        <v>731</v>
      </c>
      <c r="S488">
        <v>728.8</v>
      </c>
      <c r="T488" t="s">
        <v>145</v>
      </c>
      <c r="U488" t="s">
        <v>1689</v>
      </c>
      <c r="V488" t="s">
        <v>27</v>
      </c>
      <c r="W488" t="s">
        <v>66</v>
      </c>
      <c r="X488" t="s">
        <v>67</v>
      </c>
      <c r="Y488" t="s">
        <v>138</v>
      </c>
      <c r="AA488" t="s">
        <v>494</v>
      </c>
      <c r="AC488" t="s">
        <v>139</v>
      </c>
      <c r="AD488" t="s">
        <v>1706</v>
      </c>
      <c r="AG488" t="s">
        <v>156</v>
      </c>
      <c r="AH488" t="s">
        <v>68</v>
      </c>
      <c r="AI488" t="s">
        <v>493</v>
      </c>
      <c r="AK488" t="s">
        <v>1768</v>
      </c>
    </row>
    <row r="489" spans="1:37" customFormat="1">
      <c r="A489" t="s">
        <v>23</v>
      </c>
      <c r="B489" t="s">
        <v>24</v>
      </c>
      <c r="C489" t="s">
        <v>175</v>
      </c>
      <c r="D489" t="s">
        <v>135</v>
      </c>
      <c r="E489" t="s">
        <v>1661</v>
      </c>
      <c r="F489" t="s">
        <v>931</v>
      </c>
      <c r="G489" t="s">
        <v>136</v>
      </c>
      <c r="H489" t="s">
        <v>142</v>
      </c>
      <c r="I489" t="s">
        <v>156</v>
      </c>
      <c r="J489" t="s">
        <v>26</v>
      </c>
      <c r="K489" t="s">
        <v>157</v>
      </c>
      <c r="L489" t="s">
        <v>162</v>
      </c>
      <c r="M489" t="s">
        <v>144</v>
      </c>
      <c r="N489" t="s">
        <v>1707</v>
      </c>
      <c r="O489">
        <v>1</v>
      </c>
      <c r="P489" t="s">
        <v>160</v>
      </c>
      <c r="R489">
        <v>729</v>
      </c>
      <c r="S489">
        <v>728.8</v>
      </c>
      <c r="T489" t="s">
        <v>145</v>
      </c>
      <c r="U489" t="s">
        <v>1689</v>
      </c>
      <c r="V489" t="s">
        <v>27</v>
      </c>
      <c r="W489" t="s">
        <v>66</v>
      </c>
      <c r="X489" t="s">
        <v>67</v>
      </c>
      <c r="Y489" t="s">
        <v>138</v>
      </c>
      <c r="AA489" t="s">
        <v>494</v>
      </c>
      <c r="AC489" t="s">
        <v>139</v>
      </c>
      <c r="AD489" t="s">
        <v>1708</v>
      </c>
      <c r="AG489" t="s">
        <v>156</v>
      </c>
      <c r="AH489" t="s">
        <v>68</v>
      </c>
      <c r="AI489" t="s">
        <v>493</v>
      </c>
      <c r="AK489" t="s">
        <v>1769</v>
      </c>
    </row>
    <row r="490" spans="1:37" customFormat="1">
      <c r="A490" t="s">
        <v>23</v>
      </c>
      <c r="B490" t="s">
        <v>24</v>
      </c>
      <c r="C490" t="s">
        <v>175</v>
      </c>
      <c r="D490" t="s">
        <v>135</v>
      </c>
      <c r="E490" t="s">
        <v>1661</v>
      </c>
      <c r="F490" t="s">
        <v>931</v>
      </c>
      <c r="G490" t="s">
        <v>136</v>
      </c>
      <c r="H490" t="s">
        <v>142</v>
      </c>
      <c r="I490" t="s">
        <v>156</v>
      </c>
      <c r="J490" t="s">
        <v>26</v>
      </c>
      <c r="K490" t="s">
        <v>157</v>
      </c>
      <c r="L490" t="s">
        <v>162</v>
      </c>
      <c r="M490" t="s">
        <v>144</v>
      </c>
      <c r="N490" t="s">
        <v>1709</v>
      </c>
      <c r="O490">
        <v>1</v>
      </c>
      <c r="P490" t="s">
        <v>160</v>
      </c>
      <c r="R490">
        <v>732</v>
      </c>
      <c r="S490">
        <v>728.8</v>
      </c>
      <c r="T490" t="s">
        <v>145</v>
      </c>
      <c r="U490" t="s">
        <v>1689</v>
      </c>
      <c r="V490" t="s">
        <v>27</v>
      </c>
      <c r="W490" t="s">
        <v>66</v>
      </c>
      <c r="X490" t="s">
        <v>67</v>
      </c>
      <c r="Y490" t="s">
        <v>138</v>
      </c>
      <c r="AA490" t="s">
        <v>494</v>
      </c>
      <c r="AC490" t="s">
        <v>139</v>
      </c>
      <c r="AD490" t="s">
        <v>1710</v>
      </c>
      <c r="AG490" t="s">
        <v>156</v>
      </c>
      <c r="AH490" t="s">
        <v>68</v>
      </c>
      <c r="AI490" t="s">
        <v>493</v>
      </c>
      <c r="AK490" t="s">
        <v>1770</v>
      </c>
    </row>
    <row r="491" spans="1:37" customFormat="1">
      <c r="A491" t="s">
        <v>23</v>
      </c>
      <c r="B491" t="s">
        <v>24</v>
      </c>
      <c r="C491" t="s">
        <v>175</v>
      </c>
      <c r="D491" t="s">
        <v>135</v>
      </c>
      <c r="E491" t="s">
        <v>1661</v>
      </c>
      <c r="F491" t="s">
        <v>931</v>
      </c>
      <c r="G491" t="s">
        <v>136</v>
      </c>
      <c r="H491" t="s">
        <v>142</v>
      </c>
      <c r="I491" t="s">
        <v>156</v>
      </c>
      <c r="J491" t="s">
        <v>26</v>
      </c>
      <c r="K491" t="s">
        <v>157</v>
      </c>
      <c r="L491" t="s">
        <v>162</v>
      </c>
      <c r="M491" t="s">
        <v>144</v>
      </c>
      <c r="N491" t="s">
        <v>1711</v>
      </c>
      <c r="O491">
        <v>1</v>
      </c>
      <c r="P491" t="s">
        <v>160</v>
      </c>
      <c r="R491">
        <v>735</v>
      </c>
      <c r="S491">
        <v>728.8</v>
      </c>
      <c r="T491" t="s">
        <v>145</v>
      </c>
      <c r="U491" t="s">
        <v>1689</v>
      </c>
      <c r="V491" t="s">
        <v>27</v>
      </c>
      <c r="W491" t="s">
        <v>66</v>
      </c>
      <c r="X491" t="s">
        <v>67</v>
      </c>
      <c r="Y491" t="s">
        <v>138</v>
      </c>
      <c r="AA491" t="s">
        <v>494</v>
      </c>
      <c r="AC491" t="s">
        <v>139</v>
      </c>
      <c r="AD491" t="s">
        <v>1712</v>
      </c>
      <c r="AG491" t="s">
        <v>156</v>
      </c>
      <c r="AH491" t="s">
        <v>68</v>
      </c>
      <c r="AI491" t="s">
        <v>493</v>
      </c>
      <c r="AK491" t="s">
        <v>1771</v>
      </c>
    </row>
    <row r="492" spans="1:37" customFormat="1">
      <c r="A492" t="s">
        <v>23</v>
      </c>
      <c r="B492" t="s">
        <v>24</v>
      </c>
      <c r="C492" t="s">
        <v>175</v>
      </c>
      <c r="D492" t="s">
        <v>135</v>
      </c>
      <c r="E492" t="s">
        <v>1661</v>
      </c>
      <c r="F492" t="s">
        <v>931</v>
      </c>
      <c r="G492" t="s">
        <v>136</v>
      </c>
      <c r="H492" t="s">
        <v>142</v>
      </c>
      <c r="I492" t="s">
        <v>156</v>
      </c>
      <c r="J492" t="s">
        <v>26</v>
      </c>
      <c r="K492" t="s">
        <v>157</v>
      </c>
      <c r="L492" t="s">
        <v>150</v>
      </c>
      <c r="M492" t="s">
        <v>144</v>
      </c>
      <c r="N492" t="s">
        <v>1713</v>
      </c>
      <c r="O492">
        <v>1</v>
      </c>
      <c r="P492" t="s">
        <v>160</v>
      </c>
      <c r="R492">
        <v>735</v>
      </c>
      <c r="S492">
        <v>728.8</v>
      </c>
      <c r="T492" t="s">
        <v>145</v>
      </c>
      <c r="U492" t="s">
        <v>1689</v>
      </c>
      <c r="V492" t="s">
        <v>27</v>
      </c>
      <c r="W492" t="s">
        <v>66</v>
      </c>
      <c r="X492" t="s">
        <v>67</v>
      </c>
      <c r="Y492" t="s">
        <v>138</v>
      </c>
      <c r="AA492" t="s">
        <v>494</v>
      </c>
      <c r="AC492" t="s">
        <v>139</v>
      </c>
      <c r="AD492" t="s">
        <v>1714</v>
      </c>
      <c r="AG492" t="s">
        <v>156</v>
      </c>
      <c r="AH492" t="s">
        <v>68</v>
      </c>
      <c r="AI492" t="s">
        <v>493</v>
      </c>
      <c r="AK492" t="s">
        <v>1772</v>
      </c>
    </row>
    <row r="493" spans="1:37" customFormat="1">
      <c r="A493" t="s">
        <v>23</v>
      </c>
      <c r="B493" t="s">
        <v>24</v>
      </c>
      <c r="C493" t="s">
        <v>175</v>
      </c>
      <c r="D493" t="s">
        <v>135</v>
      </c>
      <c r="E493" t="s">
        <v>1661</v>
      </c>
      <c r="F493" t="s">
        <v>931</v>
      </c>
      <c r="G493" t="s">
        <v>136</v>
      </c>
      <c r="H493" t="s">
        <v>142</v>
      </c>
      <c r="I493" t="s">
        <v>156</v>
      </c>
      <c r="J493" t="s">
        <v>26</v>
      </c>
      <c r="K493" t="s">
        <v>157</v>
      </c>
      <c r="L493" t="s">
        <v>150</v>
      </c>
      <c r="M493" t="s">
        <v>144</v>
      </c>
      <c r="N493" t="s">
        <v>1715</v>
      </c>
      <c r="O493">
        <v>1</v>
      </c>
      <c r="P493" t="s">
        <v>160</v>
      </c>
      <c r="R493">
        <v>732</v>
      </c>
      <c r="S493">
        <v>728.8</v>
      </c>
      <c r="T493" t="s">
        <v>145</v>
      </c>
      <c r="U493" t="s">
        <v>1689</v>
      </c>
      <c r="V493" t="s">
        <v>27</v>
      </c>
      <c r="W493" t="s">
        <v>66</v>
      </c>
      <c r="X493" t="s">
        <v>67</v>
      </c>
      <c r="Y493" t="s">
        <v>138</v>
      </c>
      <c r="AA493" t="s">
        <v>494</v>
      </c>
      <c r="AC493" t="s">
        <v>139</v>
      </c>
      <c r="AD493" t="s">
        <v>1716</v>
      </c>
      <c r="AG493" t="s">
        <v>156</v>
      </c>
      <c r="AH493" t="s">
        <v>68</v>
      </c>
      <c r="AI493" t="s">
        <v>493</v>
      </c>
      <c r="AK493" t="s">
        <v>1773</v>
      </c>
    </row>
    <row r="494" spans="1:37" customFormat="1">
      <c r="A494" t="s">
        <v>23</v>
      </c>
      <c r="B494" t="s">
        <v>24</v>
      </c>
      <c r="C494" t="s">
        <v>175</v>
      </c>
      <c r="D494" t="s">
        <v>135</v>
      </c>
      <c r="E494" t="s">
        <v>1661</v>
      </c>
      <c r="F494" t="s">
        <v>931</v>
      </c>
      <c r="G494" t="s">
        <v>136</v>
      </c>
      <c r="H494" t="s">
        <v>142</v>
      </c>
      <c r="I494" t="s">
        <v>156</v>
      </c>
      <c r="J494" t="s">
        <v>26</v>
      </c>
      <c r="K494" t="s">
        <v>157</v>
      </c>
      <c r="L494" t="s">
        <v>150</v>
      </c>
      <c r="M494" t="s">
        <v>144</v>
      </c>
      <c r="N494" t="s">
        <v>1717</v>
      </c>
      <c r="O494">
        <v>1</v>
      </c>
      <c r="P494" t="s">
        <v>160</v>
      </c>
      <c r="R494">
        <v>730</v>
      </c>
      <c r="S494">
        <v>728.8</v>
      </c>
      <c r="T494" t="s">
        <v>145</v>
      </c>
      <c r="U494" t="s">
        <v>1689</v>
      </c>
      <c r="V494" t="s">
        <v>27</v>
      </c>
      <c r="W494" t="s">
        <v>66</v>
      </c>
      <c r="X494" t="s">
        <v>67</v>
      </c>
      <c r="Y494" t="s">
        <v>138</v>
      </c>
      <c r="AA494" t="s">
        <v>494</v>
      </c>
      <c r="AC494" t="s">
        <v>139</v>
      </c>
      <c r="AD494" t="s">
        <v>1718</v>
      </c>
      <c r="AG494" t="s">
        <v>156</v>
      </c>
      <c r="AH494" t="s">
        <v>68</v>
      </c>
      <c r="AI494" t="s">
        <v>493</v>
      </c>
      <c r="AK494" t="s">
        <v>1774</v>
      </c>
    </row>
    <row r="495" spans="1:37" customFormat="1">
      <c r="A495" t="s">
        <v>23</v>
      </c>
      <c r="B495" t="s">
        <v>24</v>
      </c>
      <c r="C495" t="s">
        <v>176</v>
      </c>
      <c r="D495" t="s">
        <v>135</v>
      </c>
      <c r="E495" t="s">
        <v>1663</v>
      </c>
      <c r="F495" t="s">
        <v>931</v>
      </c>
      <c r="G495" t="s">
        <v>136</v>
      </c>
      <c r="H495" t="s">
        <v>142</v>
      </c>
      <c r="I495" t="s">
        <v>156</v>
      </c>
      <c r="J495" t="s">
        <v>25</v>
      </c>
      <c r="K495" t="s">
        <v>157</v>
      </c>
      <c r="L495" t="s">
        <v>150</v>
      </c>
      <c r="M495" t="s">
        <v>144</v>
      </c>
      <c r="N495" t="s">
        <v>1719</v>
      </c>
      <c r="O495">
        <v>16</v>
      </c>
      <c r="P495" t="s">
        <v>159</v>
      </c>
      <c r="R495">
        <v>322</v>
      </c>
      <c r="S495">
        <v>291.52</v>
      </c>
      <c r="T495" t="s">
        <v>145</v>
      </c>
      <c r="U495" t="s">
        <v>988</v>
      </c>
      <c r="V495" t="s">
        <v>27</v>
      </c>
      <c r="W495" t="s">
        <v>66</v>
      </c>
      <c r="X495" t="s">
        <v>67</v>
      </c>
      <c r="Y495" t="s">
        <v>138</v>
      </c>
      <c r="AA495" t="s">
        <v>494</v>
      </c>
      <c r="AC495" t="s">
        <v>139</v>
      </c>
      <c r="AD495" t="s">
        <v>1720</v>
      </c>
      <c r="AG495" t="s">
        <v>156</v>
      </c>
      <c r="AH495" t="s">
        <v>68</v>
      </c>
      <c r="AI495" t="s">
        <v>493</v>
      </c>
    </row>
    <row r="496" spans="1:37" customFormat="1">
      <c r="A496" t="s">
        <v>23</v>
      </c>
      <c r="B496" t="s">
        <v>24</v>
      </c>
      <c r="C496" t="s">
        <v>1379</v>
      </c>
      <c r="D496" t="s">
        <v>135</v>
      </c>
      <c r="E496" t="s">
        <v>1660</v>
      </c>
      <c r="F496" t="s">
        <v>931</v>
      </c>
      <c r="G496" t="s">
        <v>136</v>
      </c>
      <c r="H496" t="s">
        <v>152</v>
      </c>
      <c r="I496" t="s">
        <v>156</v>
      </c>
      <c r="J496" t="s">
        <v>26</v>
      </c>
      <c r="K496" t="s">
        <v>157</v>
      </c>
      <c r="L496" t="s">
        <v>143</v>
      </c>
      <c r="M496" t="s">
        <v>144</v>
      </c>
      <c r="N496" t="s">
        <v>1721</v>
      </c>
      <c r="O496">
        <v>1</v>
      </c>
      <c r="P496" t="s">
        <v>160</v>
      </c>
      <c r="R496">
        <v>797</v>
      </c>
      <c r="S496">
        <v>792.8</v>
      </c>
      <c r="T496" t="s">
        <v>145</v>
      </c>
      <c r="U496" t="s">
        <v>1689</v>
      </c>
      <c r="V496" t="s">
        <v>27</v>
      </c>
      <c r="W496" t="s">
        <v>66</v>
      </c>
      <c r="X496" t="s">
        <v>67</v>
      </c>
      <c r="Y496" t="s">
        <v>138</v>
      </c>
      <c r="AA496" t="s">
        <v>494</v>
      </c>
      <c r="AC496" t="s">
        <v>139</v>
      </c>
      <c r="AD496" t="s">
        <v>1775</v>
      </c>
      <c r="AG496" t="s">
        <v>156</v>
      </c>
      <c r="AH496" t="s">
        <v>68</v>
      </c>
      <c r="AI496" t="s">
        <v>493</v>
      </c>
      <c r="AK496" t="s">
        <v>1776</v>
      </c>
    </row>
    <row r="497" spans="1:37" customFormat="1">
      <c r="A497" t="s">
        <v>23</v>
      </c>
      <c r="B497" t="s">
        <v>24</v>
      </c>
      <c r="C497" t="s">
        <v>1379</v>
      </c>
      <c r="D497" t="s">
        <v>135</v>
      </c>
      <c r="E497" t="s">
        <v>1660</v>
      </c>
      <c r="F497" t="s">
        <v>931</v>
      </c>
      <c r="G497" t="s">
        <v>136</v>
      </c>
      <c r="H497" t="s">
        <v>152</v>
      </c>
      <c r="I497" t="s">
        <v>156</v>
      </c>
      <c r="J497" t="s">
        <v>26</v>
      </c>
      <c r="K497" t="s">
        <v>157</v>
      </c>
      <c r="L497" t="s">
        <v>143</v>
      </c>
      <c r="M497" t="s">
        <v>144</v>
      </c>
      <c r="N497" t="s">
        <v>1722</v>
      </c>
      <c r="O497">
        <v>1</v>
      </c>
      <c r="P497" t="s">
        <v>160</v>
      </c>
      <c r="R497">
        <v>797</v>
      </c>
      <c r="S497">
        <v>792.8</v>
      </c>
      <c r="T497" t="s">
        <v>145</v>
      </c>
      <c r="U497" t="s">
        <v>1689</v>
      </c>
      <c r="V497" t="s">
        <v>27</v>
      </c>
      <c r="W497" t="s">
        <v>66</v>
      </c>
      <c r="X497" t="s">
        <v>67</v>
      </c>
      <c r="Y497" t="s">
        <v>138</v>
      </c>
      <c r="AA497" t="s">
        <v>494</v>
      </c>
      <c r="AC497" t="s">
        <v>139</v>
      </c>
      <c r="AD497" t="s">
        <v>1777</v>
      </c>
      <c r="AG497" t="s">
        <v>156</v>
      </c>
      <c r="AH497" t="s">
        <v>68</v>
      </c>
      <c r="AI497" t="s">
        <v>493</v>
      </c>
      <c r="AK497" t="s">
        <v>1778</v>
      </c>
    </row>
    <row r="498" spans="1:37" customFormat="1">
      <c r="A498" t="s">
        <v>23</v>
      </c>
      <c r="B498" t="s">
        <v>24</v>
      </c>
      <c r="C498" t="s">
        <v>1379</v>
      </c>
      <c r="D498" t="s">
        <v>135</v>
      </c>
      <c r="E498" t="s">
        <v>1660</v>
      </c>
      <c r="F498" t="s">
        <v>931</v>
      </c>
      <c r="G498" t="s">
        <v>136</v>
      </c>
      <c r="H498" t="s">
        <v>152</v>
      </c>
      <c r="I498" t="s">
        <v>156</v>
      </c>
      <c r="J498" t="s">
        <v>26</v>
      </c>
      <c r="K498" t="s">
        <v>157</v>
      </c>
      <c r="L498" t="s">
        <v>143</v>
      </c>
      <c r="M498" t="s">
        <v>144</v>
      </c>
      <c r="N498" t="s">
        <v>1723</v>
      </c>
      <c r="O498">
        <v>1</v>
      </c>
      <c r="P498" t="s">
        <v>160</v>
      </c>
      <c r="R498">
        <v>794</v>
      </c>
      <c r="S498">
        <v>792.8</v>
      </c>
      <c r="T498" t="s">
        <v>145</v>
      </c>
      <c r="U498" t="s">
        <v>1689</v>
      </c>
      <c r="V498" t="s">
        <v>27</v>
      </c>
      <c r="W498" t="s">
        <v>66</v>
      </c>
      <c r="X498" t="s">
        <v>67</v>
      </c>
      <c r="Y498" t="s">
        <v>138</v>
      </c>
      <c r="AA498" t="s">
        <v>494</v>
      </c>
      <c r="AC498" t="s">
        <v>139</v>
      </c>
      <c r="AD498" t="s">
        <v>1779</v>
      </c>
      <c r="AG498" t="s">
        <v>156</v>
      </c>
      <c r="AH498" t="s">
        <v>68</v>
      </c>
      <c r="AI498" t="s">
        <v>493</v>
      </c>
      <c r="AK498" t="s">
        <v>1780</v>
      </c>
    </row>
    <row r="499" spans="1:37" customFormat="1">
      <c r="A499" t="s">
        <v>23</v>
      </c>
      <c r="B499" t="s">
        <v>24</v>
      </c>
      <c r="C499" t="s">
        <v>1379</v>
      </c>
      <c r="D499" t="s">
        <v>135</v>
      </c>
      <c r="E499" t="s">
        <v>1660</v>
      </c>
      <c r="F499" t="s">
        <v>931</v>
      </c>
      <c r="G499" t="s">
        <v>136</v>
      </c>
      <c r="H499" t="s">
        <v>152</v>
      </c>
      <c r="I499" t="s">
        <v>156</v>
      </c>
      <c r="J499" t="s">
        <v>26</v>
      </c>
      <c r="K499" t="s">
        <v>157</v>
      </c>
      <c r="L499" t="s">
        <v>143</v>
      </c>
      <c r="M499" t="s">
        <v>144</v>
      </c>
      <c r="N499" t="s">
        <v>1724</v>
      </c>
      <c r="O499">
        <v>1</v>
      </c>
      <c r="P499" t="s">
        <v>160</v>
      </c>
      <c r="R499">
        <v>797</v>
      </c>
      <c r="S499">
        <v>792.8</v>
      </c>
      <c r="T499" t="s">
        <v>145</v>
      </c>
      <c r="U499" t="s">
        <v>1689</v>
      </c>
      <c r="V499" t="s">
        <v>27</v>
      </c>
      <c r="W499" t="s">
        <v>66</v>
      </c>
      <c r="X499" t="s">
        <v>67</v>
      </c>
      <c r="Y499" t="s">
        <v>138</v>
      </c>
      <c r="AA499" t="s">
        <v>494</v>
      </c>
      <c r="AC499" t="s">
        <v>139</v>
      </c>
      <c r="AD499" t="s">
        <v>1781</v>
      </c>
      <c r="AG499" t="s">
        <v>156</v>
      </c>
      <c r="AH499" t="s">
        <v>68</v>
      </c>
      <c r="AI499" t="s">
        <v>493</v>
      </c>
      <c r="AK499" t="s">
        <v>1782</v>
      </c>
    </row>
    <row r="500" spans="1:37" customFormat="1">
      <c r="A500" t="s">
        <v>23</v>
      </c>
      <c r="B500" t="s">
        <v>24</v>
      </c>
      <c r="C500" t="s">
        <v>1379</v>
      </c>
      <c r="D500" t="s">
        <v>135</v>
      </c>
      <c r="E500" t="s">
        <v>1660</v>
      </c>
      <c r="F500" t="s">
        <v>931</v>
      </c>
      <c r="G500" t="s">
        <v>136</v>
      </c>
      <c r="H500" t="s">
        <v>152</v>
      </c>
      <c r="I500" t="s">
        <v>156</v>
      </c>
      <c r="J500" t="s">
        <v>26</v>
      </c>
      <c r="K500" t="s">
        <v>157</v>
      </c>
      <c r="L500" t="s">
        <v>143</v>
      </c>
      <c r="M500" t="s">
        <v>144</v>
      </c>
      <c r="N500" t="s">
        <v>1725</v>
      </c>
      <c r="O500">
        <v>1</v>
      </c>
      <c r="P500" t="s">
        <v>160</v>
      </c>
      <c r="R500">
        <v>798</v>
      </c>
      <c r="S500">
        <v>792.8</v>
      </c>
      <c r="T500" t="s">
        <v>145</v>
      </c>
      <c r="U500" t="s">
        <v>1689</v>
      </c>
      <c r="V500" t="s">
        <v>27</v>
      </c>
      <c r="W500" t="s">
        <v>66</v>
      </c>
      <c r="X500" t="s">
        <v>67</v>
      </c>
      <c r="Y500" t="s">
        <v>138</v>
      </c>
      <c r="AA500" t="s">
        <v>494</v>
      </c>
      <c r="AC500" t="s">
        <v>139</v>
      </c>
      <c r="AD500" t="s">
        <v>1783</v>
      </c>
      <c r="AG500" t="s">
        <v>156</v>
      </c>
      <c r="AH500" t="s">
        <v>68</v>
      </c>
      <c r="AI500" t="s">
        <v>493</v>
      </c>
      <c r="AK500" t="s">
        <v>1784</v>
      </c>
    </row>
    <row r="501" spans="1:37" customFormat="1">
      <c r="A501" t="s">
        <v>23</v>
      </c>
      <c r="B501" t="s">
        <v>24</v>
      </c>
      <c r="C501" t="s">
        <v>1379</v>
      </c>
      <c r="D501" t="s">
        <v>135</v>
      </c>
      <c r="E501" t="s">
        <v>1660</v>
      </c>
      <c r="F501" t="s">
        <v>931</v>
      </c>
      <c r="G501" t="s">
        <v>136</v>
      </c>
      <c r="H501" t="s">
        <v>152</v>
      </c>
      <c r="I501" t="s">
        <v>156</v>
      </c>
      <c r="J501" t="s">
        <v>26</v>
      </c>
      <c r="K501" t="s">
        <v>157</v>
      </c>
      <c r="L501" t="s">
        <v>143</v>
      </c>
      <c r="M501" t="s">
        <v>144</v>
      </c>
      <c r="N501" t="s">
        <v>1726</v>
      </c>
      <c r="O501">
        <v>1</v>
      </c>
      <c r="P501" t="s">
        <v>160</v>
      </c>
      <c r="R501">
        <v>796</v>
      </c>
      <c r="S501">
        <v>792.8</v>
      </c>
      <c r="T501" t="s">
        <v>145</v>
      </c>
      <c r="U501" t="s">
        <v>1689</v>
      </c>
      <c r="V501" t="s">
        <v>27</v>
      </c>
      <c r="W501" t="s">
        <v>66</v>
      </c>
      <c r="X501" t="s">
        <v>67</v>
      </c>
      <c r="Y501" t="s">
        <v>138</v>
      </c>
      <c r="AA501" t="s">
        <v>494</v>
      </c>
      <c r="AC501" t="s">
        <v>139</v>
      </c>
      <c r="AD501" t="s">
        <v>1785</v>
      </c>
      <c r="AG501" t="s">
        <v>156</v>
      </c>
      <c r="AH501" t="s">
        <v>68</v>
      </c>
      <c r="AI501" t="s">
        <v>493</v>
      </c>
      <c r="AK501" t="s">
        <v>1786</v>
      </c>
    </row>
    <row r="502" spans="1:37" customFormat="1">
      <c r="A502" t="s">
        <v>23</v>
      </c>
      <c r="B502" t="s">
        <v>24</v>
      </c>
      <c r="C502" t="s">
        <v>1379</v>
      </c>
      <c r="D502" t="s">
        <v>135</v>
      </c>
      <c r="E502" t="s">
        <v>1660</v>
      </c>
      <c r="F502" t="s">
        <v>931</v>
      </c>
      <c r="G502" t="s">
        <v>136</v>
      </c>
      <c r="H502" t="s">
        <v>152</v>
      </c>
      <c r="I502" t="s">
        <v>156</v>
      </c>
      <c r="J502" t="s">
        <v>26</v>
      </c>
      <c r="K502" t="s">
        <v>157</v>
      </c>
      <c r="L502" t="s">
        <v>143</v>
      </c>
      <c r="M502" t="s">
        <v>144</v>
      </c>
      <c r="N502" t="s">
        <v>1727</v>
      </c>
      <c r="O502">
        <v>1</v>
      </c>
      <c r="P502" t="s">
        <v>160</v>
      </c>
      <c r="R502">
        <v>795</v>
      </c>
      <c r="S502">
        <v>792.8</v>
      </c>
      <c r="T502" t="s">
        <v>145</v>
      </c>
      <c r="U502" t="s">
        <v>1689</v>
      </c>
      <c r="V502" t="s">
        <v>27</v>
      </c>
      <c r="W502" t="s">
        <v>66</v>
      </c>
      <c r="X502" t="s">
        <v>67</v>
      </c>
      <c r="Y502" t="s">
        <v>138</v>
      </c>
      <c r="AA502" t="s">
        <v>494</v>
      </c>
      <c r="AC502" t="s">
        <v>139</v>
      </c>
      <c r="AD502" t="s">
        <v>1787</v>
      </c>
      <c r="AG502" t="s">
        <v>156</v>
      </c>
      <c r="AH502" t="s">
        <v>68</v>
      </c>
      <c r="AI502" t="s">
        <v>493</v>
      </c>
      <c r="AK502" t="s">
        <v>1788</v>
      </c>
    </row>
    <row r="503" spans="1:37" customFormat="1">
      <c r="A503" t="s">
        <v>23</v>
      </c>
      <c r="B503" t="s">
        <v>24</v>
      </c>
      <c r="C503" t="s">
        <v>1379</v>
      </c>
      <c r="D503" t="s">
        <v>135</v>
      </c>
      <c r="E503" t="s">
        <v>1660</v>
      </c>
      <c r="F503" t="s">
        <v>931</v>
      </c>
      <c r="G503" t="s">
        <v>136</v>
      </c>
      <c r="H503" t="s">
        <v>152</v>
      </c>
      <c r="I503" t="s">
        <v>156</v>
      </c>
      <c r="J503" t="s">
        <v>26</v>
      </c>
      <c r="K503" t="s">
        <v>157</v>
      </c>
      <c r="L503" t="s">
        <v>143</v>
      </c>
      <c r="M503" t="s">
        <v>144</v>
      </c>
      <c r="N503" t="s">
        <v>1728</v>
      </c>
      <c r="O503">
        <v>1</v>
      </c>
      <c r="P503" t="s">
        <v>160</v>
      </c>
      <c r="R503">
        <v>795</v>
      </c>
      <c r="S503">
        <v>792.8</v>
      </c>
      <c r="T503" t="s">
        <v>145</v>
      </c>
      <c r="U503" t="s">
        <v>1689</v>
      </c>
      <c r="V503" t="s">
        <v>27</v>
      </c>
      <c r="W503" t="s">
        <v>66</v>
      </c>
      <c r="X503" t="s">
        <v>67</v>
      </c>
      <c r="Y503" t="s">
        <v>138</v>
      </c>
      <c r="AA503" t="s">
        <v>494</v>
      </c>
      <c r="AC503" t="s">
        <v>139</v>
      </c>
      <c r="AD503" t="s">
        <v>1789</v>
      </c>
      <c r="AG503" t="s">
        <v>156</v>
      </c>
      <c r="AH503" t="s">
        <v>68</v>
      </c>
      <c r="AI503" t="s">
        <v>493</v>
      </c>
      <c r="AK503" t="s">
        <v>1790</v>
      </c>
    </row>
    <row r="504" spans="1:37" customFormat="1">
      <c r="A504" t="s">
        <v>23</v>
      </c>
      <c r="B504" t="s">
        <v>24</v>
      </c>
      <c r="C504" t="s">
        <v>1379</v>
      </c>
      <c r="D504" t="s">
        <v>135</v>
      </c>
      <c r="E504" t="s">
        <v>1660</v>
      </c>
      <c r="F504" t="s">
        <v>931</v>
      </c>
      <c r="G504" t="s">
        <v>136</v>
      </c>
      <c r="H504" t="s">
        <v>152</v>
      </c>
      <c r="I504" t="s">
        <v>156</v>
      </c>
      <c r="J504" t="s">
        <v>26</v>
      </c>
      <c r="K504" t="s">
        <v>157</v>
      </c>
      <c r="L504" t="s">
        <v>143</v>
      </c>
      <c r="M504" t="s">
        <v>144</v>
      </c>
      <c r="N504" t="s">
        <v>1729</v>
      </c>
      <c r="O504">
        <v>1</v>
      </c>
      <c r="P504" t="s">
        <v>160</v>
      </c>
      <c r="R504">
        <v>795</v>
      </c>
      <c r="S504">
        <v>792.8</v>
      </c>
      <c r="T504" t="s">
        <v>145</v>
      </c>
      <c r="U504" t="s">
        <v>1689</v>
      </c>
      <c r="V504" t="s">
        <v>27</v>
      </c>
      <c r="W504" t="s">
        <v>66</v>
      </c>
      <c r="X504" t="s">
        <v>67</v>
      </c>
      <c r="Y504" t="s">
        <v>138</v>
      </c>
      <c r="AA504" t="s">
        <v>494</v>
      </c>
      <c r="AC504" t="s">
        <v>139</v>
      </c>
      <c r="AD504" t="s">
        <v>1791</v>
      </c>
      <c r="AG504" t="s">
        <v>156</v>
      </c>
      <c r="AH504" t="s">
        <v>68</v>
      </c>
      <c r="AI504" t="s">
        <v>493</v>
      </c>
      <c r="AK504" t="s">
        <v>1792</v>
      </c>
    </row>
    <row r="505" spans="1:37" customFormat="1">
      <c r="A505" t="s">
        <v>23</v>
      </c>
      <c r="B505" t="s">
        <v>24</v>
      </c>
      <c r="C505" t="s">
        <v>1379</v>
      </c>
      <c r="D505" t="s">
        <v>135</v>
      </c>
      <c r="E505" t="s">
        <v>1660</v>
      </c>
      <c r="F505" t="s">
        <v>931</v>
      </c>
      <c r="G505" t="s">
        <v>136</v>
      </c>
      <c r="H505" t="s">
        <v>152</v>
      </c>
      <c r="I505" t="s">
        <v>156</v>
      </c>
      <c r="J505" t="s">
        <v>26</v>
      </c>
      <c r="K505" t="s">
        <v>157</v>
      </c>
      <c r="L505" t="s">
        <v>143</v>
      </c>
      <c r="M505" t="s">
        <v>144</v>
      </c>
      <c r="N505" t="s">
        <v>1730</v>
      </c>
      <c r="O505">
        <v>1</v>
      </c>
      <c r="P505" t="s">
        <v>160</v>
      </c>
      <c r="R505">
        <v>799</v>
      </c>
      <c r="S505">
        <v>792.8</v>
      </c>
      <c r="T505" t="s">
        <v>145</v>
      </c>
      <c r="U505" t="s">
        <v>1689</v>
      </c>
      <c r="V505" t="s">
        <v>27</v>
      </c>
      <c r="W505" t="s">
        <v>66</v>
      </c>
      <c r="X505" t="s">
        <v>67</v>
      </c>
      <c r="Y505" t="s">
        <v>138</v>
      </c>
      <c r="AA505" t="s">
        <v>494</v>
      </c>
      <c r="AC505" t="s">
        <v>139</v>
      </c>
      <c r="AD505" t="s">
        <v>1793</v>
      </c>
      <c r="AG505" t="s">
        <v>156</v>
      </c>
      <c r="AH505" t="s">
        <v>68</v>
      </c>
      <c r="AI505" t="s">
        <v>493</v>
      </c>
      <c r="AK505" t="s">
        <v>1794</v>
      </c>
    </row>
    <row r="506" spans="1:37" customFormat="1">
      <c r="A506" t="s">
        <v>23</v>
      </c>
      <c r="B506" t="s">
        <v>24</v>
      </c>
      <c r="C506" t="s">
        <v>174</v>
      </c>
      <c r="D506" t="s">
        <v>135</v>
      </c>
      <c r="E506" t="s">
        <v>1662</v>
      </c>
      <c r="F506" t="s">
        <v>931</v>
      </c>
      <c r="G506" t="s">
        <v>136</v>
      </c>
      <c r="H506" t="s">
        <v>152</v>
      </c>
      <c r="I506" t="s">
        <v>156</v>
      </c>
      <c r="J506" t="s">
        <v>25</v>
      </c>
      <c r="K506" t="s">
        <v>157</v>
      </c>
      <c r="L506" t="s">
        <v>143</v>
      </c>
      <c r="M506" t="s">
        <v>144</v>
      </c>
      <c r="N506" t="s">
        <v>1731</v>
      </c>
      <c r="O506">
        <v>25</v>
      </c>
      <c r="P506" t="s">
        <v>159</v>
      </c>
      <c r="R506">
        <v>528</v>
      </c>
      <c r="S506">
        <v>495.5</v>
      </c>
      <c r="T506" t="s">
        <v>145</v>
      </c>
      <c r="U506" t="s">
        <v>988</v>
      </c>
      <c r="V506" t="s">
        <v>27</v>
      </c>
      <c r="W506" t="s">
        <v>66</v>
      </c>
      <c r="X506" t="s">
        <v>67</v>
      </c>
      <c r="Y506" t="s">
        <v>138</v>
      </c>
      <c r="AA506" t="s">
        <v>494</v>
      </c>
      <c r="AC506" t="s">
        <v>139</v>
      </c>
      <c r="AD506" t="s">
        <v>1795</v>
      </c>
      <c r="AG506" t="s">
        <v>156</v>
      </c>
      <c r="AH506" t="s">
        <v>68</v>
      </c>
      <c r="AI506" t="s">
        <v>493</v>
      </c>
    </row>
    <row r="507" spans="1:37" customFormat="1">
      <c r="A507" t="s">
        <v>23</v>
      </c>
      <c r="B507" t="s">
        <v>24</v>
      </c>
      <c r="C507" t="s">
        <v>1732</v>
      </c>
      <c r="D507" t="s">
        <v>135</v>
      </c>
      <c r="E507" t="s">
        <v>1733</v>
      </c>
      <c r="F507" t="s">
        <v>931</v>
      </c>
      <c r="G507" t="s">
        <v>136</v>
      </c>
      <c r="H507" t="s">
        <v>1734</v>
      </c>
      <c r="I507" t="s">
        <v>156</v>
      </c>
      <c r="J507" t="s">
        <v>26</v>
      </c>
      <c r="K507" t="s">
        <v>157</v>
      </c>
      <c r="L507" t="s">
        <v>143</v>
      </c>
      <c r="M507" t="s">
        <v>144</v>
      </c>
      <c r="N507" t="s">
        <v>1735</v>
      </c>
      <c r="O507">
        <v>1</v>
      </c>
      <c r="P507" t="s">
        <v>160</v>
      </c>
      <c r="R507">
        <v>734</v>
      </c>
      <c r="S507">
        <v>731.2</v>
      </c>
      <c r="T507" t="s">
        <v>145</v>
      </c>
      <c r="U507" t="s">
        <v>1664</v>
      </c>
      <c r="V507" t="s">
        <v>27</v>
      </c>
      <c r="W507" t="s">
        <v>66</v>
      </c>
      <c r="X507" t="s">
        <v>67</v>
      </c>
      <c r="Y507" t="s">
        <v>138</v>
      </c>
      <c r="AA507" t="s">
        <v>494</v>
      </c>
      <c r="AC507" t="s">
        <v>139</v>
      </c>
      <c r="AD507" t="s">
        <v>1796</v>
      </c>
      <c r="AG507" t="s">
        <v>156</v>
      </c>
      <c r="AH507" t="s">
        <v>68</v>
      </c>
      <c r="AI507" t="s">
        <v>493</v>
      </c>
      <c r="AK507" t="s">
        <v>1797</v>
      </c>
    </row>
    <row r="508" spans="1:37" customFormat="1">
      <c r="A508" t="s">
        <v>23</v>
      </c>
      <c r="B508" t="s">
        <v>24</v>
      </c>
      <c r="C508" t="s">
        <v>1732</v>
      </c>
      <c r="D508" t="s">
        <v>135</v>
      </c>
      <c r="E508" t="s">
        <v>1733</v>
      </c>
      <c r="F508" t="s">
        <v>931</v>
      </c>
      <c r="G508" t="s">
        <v>136</v>
      </c>
      <c r="H508" t="s">
        <v>1734</v>
      </c>
      <c r="I508" t="s">
        <v>156</v>
      </c>
      <c r="J508" t="s">
        <v>26</v>
      </c>
      <c r="K508" t="s">
        <v>157</v>
      </c>
      <c r="L508" t="s">
        <v>143</v>
      </c>
      <c r="M508" t="s">
        <v>144</v>
      </c>
      <c r="N508" t="s">
        <v>1736</v>
      </c>
      <c r="O508">
        <v>1</v>
      </c>
      <c r="P508" t="s">
        <v>160</v>
      </c>
      <c r="R508">
        <v>736</v>
      </c>
      <c r="S508">
        <v>731.2</v>
      </c>
      <c r="T508" t="s">
        <v>145</v>
      </c>
      <c r="U508" t="s">
        <v>1664</v>
      </c>
      <c r="V508" t="s">
        <v>27</v>
      </c>
      <c r="W508" t="s">
        <v>66</v>
      </c>
      <c r="X508" t="s">
        <v>67</v>
      </c>
      <c r="Y508" t="s">
        <v>138</v>
      </c>
      <c r="AA508" t="s">
        <v>494</v>
      </c>
      <c r="AC508" t="s">
        <v>139</v>
      </c>
      <c r="AD508" t="s">
        <v>1798</v>
      </c>
      <c r="AG508" t="s">
        <v>156</v>
      </c>
      <c r="AH508" t="s">
        <v>68</v>
      </c>
      <c r="AI508" t="s">
        <v>493</v>
      </c>
      <c r="AK508" t="s">
        <v>1799</v>
      </c>
    </row>
    <row r="509" spans="1:37" customFormat="1">
      <c r="A509" t="s">
        <v>23</v>
      </c>
      <c r="B509" t="s">
        <v>24</v>
      </c>
      <c r="C509" t="s">
        <v>1732</v>
      </c>
      <c r="D509" t="s">
        <v>135</v>
      </c>
      <c r="E509" t="s">
        <v>1733</v>
      </c>
      <c r="F509" t="s">
        <v>931</v>
      </c>
      <c r="G509" t="s">
        <v>136</v>
      </c>
      <c r="H509" t="s">
        <v>1734</v>
      </c>
      <c r="I509" t="s">
        <v>156</v>
      </c>
      <c r="J509" t="s">
        <v>26</v>
      </c>
      <c r="K509" t="s">
        <v>157</v>
      </c>
      <c r="L509" t="s">
        <v>143</v>
      </c>
      <c r="M509" t="s">
        <v>144</v>
      </c>
      <c r="N509" t="s">
        <v>1737</v>
      </c>
      <c r="O509">
        <v>1</v>
      </c>
      <c r="P509" t="s">
        <v>160</v>
      </c>
      <c r="R509">
        <v>735</v>
      </c>
      <c r="S509">
        <v>731.2</v>
      </c>
      <c r="T509" t="s">
        <v>145</v>
      </c>
      <c r="U509" t="s">
        <v>1664</v>
      </c>
      <c r="V509" t="s">
        <v>27</v>
      </c>
      <c r="W509" t="s">
        <v>66</v>
      </c>
      <c r="X509" t="s">
        <v>67</v>
      </c>
      <c r="Y509" t="s">
        <v>138</v>
      </c>
      <c r="AA509" t="s">
        <v>494</v>
      </c>
      <c r="AC509" t="s">
        <v>139</v>
      </c>
      <c r="AD509" t="s">
        <v>1800</v>
      </c>
      <c r="AG509" t="s">
        <v>156</v>
      </c>
      <c r="AH509" t="s">
        <v>68</v>
      </c>
      <c r="AI509" t="s">
        <v>493</v>
      </c>
      <c r="AK509" t="s">
        <v>1801</v>
      </c>
    </row>
    <row r="510" spans="1:37" customFormat="1">
      <c r="A510" t="s">
        <v>23</v>
      </c>
      <c r="B510" t="s">
        <v>24</v>
      </c>
      <c r="C510" t="s">
        <v>1732</v>
      </c>
      <c r="D510" t="s">
        <v>135</v>
      </c>
      <c r="E510" t="s">
        <v>1733</v>
      </c>
      <c r="F510" t="s">
        <v>931</v>
      </c>
      <c r="G510" t="s">
        <v>136</v>
      </c>
      <c r="H510" t="s">
        <v>1734</v>
      </c>
      <c r="I510" t="s">
        <v>156</v>
      </c>
      <c r="J510" t="s">
        <v>26</v>
      </c>
      <c r="K510" t="s">
        <v>157</v>
      </c>
      <c r="L510" t="s">
        <v>143</v>
      </c>
      <c r="M510" t="s">
        <v>144</v>
      </c>
      <c r="N510" t="s">
        <v>1738</v>
      </c>
      <c r="O510">
        <v>1</v>
      </c>
      <c r="P510" t="s">
        <v>160</v>
      </c>
      <c r="R510">
        <v>733</v>
      </c>
      <c r="S510">
        <v>731.2</v>
      </c>
      <c r="T510" t="s">
        <v>145</v>
      </c>
      <c r="U510" t="s">
        <v>1664</v>
      </c>
      <c r="V510" t="s">
        <v>27</v>
      </c>
      <c r="W510" t="s">
        <v>66</v>
      </c>
      <c r="X510" t="s">
        <v>67</v>
      </c>
      <c r="Y510" t="s">
        <v>138</v>
      </c>
      <c r="AA510" t="s">
        <v>494</v>
      </c>
      <c r="AC510" t="s">
        <v>139</v>
      </c>
      <c r="AD510" t="s">
        <v>1802</v>
      </c>
      <c r="AG510" t="s">
        <v>156</v>
      </c>
      <c r="AH510" t="s">
        <v>68</v>
      </c>
      <c r="AI510" t="s">
        <v>493</v>
      </c>
      <c r="AK510" t="s">
        <v>1803</v>
      </c>
    </row>
    <row r="511" spans="1:37" customFormat="1">
      <c r="A511" t="s">
        <v>23</v>
      </c>
      <c r="B511" t="s">
        <v>24</v>
      </c>
      <c r="C511" t="s">
        <v>1732</v>
      </c>
      <c r="D511" t="s">
        <v>135</v>
      </c>
      <c r="E511" t="s">
        <v>1733</v>
      </c>
      <c r="F511" t="s">
        <v>931</v>
      </c>
      <c r="G511" t="s">
        <v>136</v>
      </c>
      <c r="H511" t="s">
        <v>1734</v>
      </c>
      <c r="I511" t="s">
        <v>156</v>
      </c>
      <c r="J511" t="s">
        <v>26</v>
      </c>
      <c r="K511" t="s">
        <v>157</v>
      </c>
      <c r="L511" t="s">
        <v>143</v>
      </c>
      <c r="M511" t="s">
        <v>144</v>
      </c>
      <c r="N511" t="s">
        <v>1739</v>
      </c>
      <c r="O511">
        <v>1</v>
      </c>
      <c r="P511" t="s">
        <v>160</v>
      </c>
      <c r="R511">
        <v>735</v>
      </c>
      <c r="S511">
        <v>731.2</v>
      </c>
      <c r="T511" t="s">
        <v>145</v>
      </c>
      <c r="U511" t="s">
        <v>1664</v>
      </c>
      <c r="V511" t="s">
        <v>27</v>
      </c>
      <c r="W511" t="s">
        <v>66</v>
      </c>
      <c r="X511" t="s">
        <v>67</v>
      </c>
      <c r="Y511" t="s">
        <v>138</v>
      </c>
      <c r="AA511" t="s">
        <v>494</v>
      </c>
      <c r="AC511" t="s">
        <v>139</v>
      </c>
      <c r="AD511" t="s">
        <v>1804</v>
      </c>
      <c r="AG511" t="s">
        <v>156</v>
      </c>
      <c r="AH511" t="s">
        <v>68</v>
      </c>
      <c r="AI511" t="s">
        <v>493</v>
      </c>
      <c r="AK511" t="s">
        <v>1805</v>
      </c>
    </row>
    <row r="512" spans="1:37" customFormat="1">
      <c r="A512" t="s">
        <v>23</v>
      </c>
      <c r="B512" t="s">
        <v>24</v>
      </c>
      <c r="C512" t="s">
        <v>1732</v>
      </c>
      <c r="D512" t="s">
        <v>135</v>
      </c>
      <c r="E512" t="s">
        <v>1733</v>
      </c>
      <c r="F512" t="s">
        <v>931</v>
      </c>
      <c r="G512" t="s">
        <v>136</v>
      </c>
      <c r="H512" t="s">
        <v>1734</v>
      </c>
      <c r="I512" t="s">
        <v>156</v>
      </c>
      <c r="J512" t="s">
        <v>26</v>
      </c>
      <c r="K512" t="s">
        <v>157</v>
      </c>
      <c r="L512" t="s">
        <v>143</v>
      </c>
      <c r="M512" t="s">
        <v>144</v>
      </c>
      <c r="N512" t="s">
        <v>1740</v>
      </c>
      <c r="O512">
        <v>1</v>
      </c>
      <c r="P512" t="s">
        <v>160</v>
      </c>
      <c r="R512">
        <v>737</v>
      </c>
      <c r="S512">
        <v>731.2</v>
      </c>
      <c r="T512" t="s">
        <v>145</v>
      </c>
      <c r="U512" t="s">
        <v>1664</v>
      </c>
      <c r="V512" t="s">
        <v>27</v>
      </c>
      <c r="W512" t="s">
        <v>66</v>
      </c>
      <c r="X512" t="s">
        <v>67</v>
      </c>
      <c r="Y512" t="s">
        <v>138</v>
      </c>
      <c r="AA512" t="s">
        <v>494</v>
      </c>
      <c r="AC512" t="s">
        <v>139</v>
      </c>
      <c r="AD512" t="s">
        <v>1806</v>
      </c>
      <c r="AG512" t="s">
        <v>156</v>
      </c>
      <c r="AH512" t="s">
        <v>68</v>
      </c>
      <c r="AI512" t="s">
        <v>493</v>
      </c>
      <c r="AK512" t="s">
        <v>1807</v>
      </c>
    </row>
    <row r="513" spans="1:37" customFormat="1">
      <c r="A513" t="s">
        <v>23</v>
      </c>
      <c r="B513" t="s">
        <v>24</v>
      </c>
      <c r="C513" t="s">
        <v>1732</v>
      </c>
      <c r="D513" t="s">
        <v>135</v>
      </c>
      <c r="E513" t="s">
        <v>1733</v>
      </c>
      <c r="F513" t="s">
        <v>931</v>
      </c>
      <c r="G513" t="s">
        <v>136</v>
      </c>
      <c r="H513" t="s">
        <v>1734</v>
      </c>
      <c r="I513" t="s">
        <v>156</v>
      </c>
      <c r="J513" t="s">
        <v>26</v>
      </c>
      <c r="K513" t="s">
        <v>157</v>
      </c>
      <c r="L513" t="s">
        <v>143</v>
      </c>
      <c r="M513" t="s">
        <v>144</v>
      </c>
      <c r="N513" t="s">
        <v>1741</v>
      </c>
      <c r="O513">
        <v>1</v>
      </c>
      <c r="P513" t="s">
        <v>160</v>
      </c>
      <c r="R513">
        <v>736.5</v>
      </c>
      <c r="S513">
        <v>731.2</v>
      </c>
      <c r="T513" t="s">
        <v>145</v>
      </c>
      <c r="U513" t="s">
        <v>1664</v>
      </c>
      <c r="V513" t="s">
        <v>27</v>
      </c>
      <c r="W513" t="s">
        <v>66</v>
      </c>
      <c r="X513" t="s">
        <v>67</v>
      </c>
      <c r="Y513" t="s">
        <v>138</v>
      </c>
      <c r="AA513" t="s">
        <v>494</v>
      </c>
      <c r="AC513" t="s">
        <v>139</v>
      </c>
      <c r="AD513" t="s">
        <v>1808</v>
      </c>
      <c r="AG513" t="s">
        <v>156</v>
      </c>
      <c r="AH513" t="s">
        <v>68</v>
      </c>
      <c r="AI513" t="s">
        <v>493</v>
      </c>
      <c r="AK513" t="s">
        <v>1809</v>
      </c>
    </row>
    <row r="514" spans="1:37" customFormat="1">
      <c r="A514" t="s">
        <v>23</v>
      </c>
      <c r="B514" t="s">
        <v>24</v>
      </c>
      <c r="C514" t="s">
        <v>1732</v>
      </c>
      <c r="D514" t="s">
        <v>135</v>
      </c>
      <c r="E514" t="s">
        <v>1733</v>
      </c>
      <c r="F514" t="s">
        <v>931</v>
      </c>
      <c r="G514" t="s">
        <v>136</v>
      </c>
      <c r="H514" t="s">
        <v>1734</v>
      </c>
      <c r="I514" t="s">
        <v>156</v>
      </c>
      <c r="J514" t="s">
        <v>26</v>
      </c>
      <c r="K514" t="s">
        <v>157</v>
      </c>
      <c r="L514" t="s">
        <v>143</v>
      </c>
      <c r="M514" t="s">
        <v>144</v>
      </c>
      <c r="N514" t="s">
        <v>1742</v>
      </c>
      <c r="O514">
        <v>1</v>
      </c>
      <c r="P514" t="s">
        <v>160</v>
      </c>
      <c r="R514">
        <v>735</v>
      </c>
      <c r="S514">
        <v>731.2</v>
      </c>
      <c r="T514" t="s">
        <v>145</v>
      </c>
      <c r="U514" t="s">
        <v>1664</v>
      </c>
      <c r="V514" t="s">
        <v>27</v>
      </c>
      <c r="W514" t="s">
        <v>66</v>
      </c>
      <c r="X514" t="s">
        <v>67</v>
      </c>
      <c r="Y514" t="s">
        <v>138</v>
      </c>
      <c r="AA514" t="s">
        <v>494</v>
      </c>
      <c r="AC514" t="s">
        <v>139</v>
      </c>
      <c r="AD514" t="s">
        <v>1810</v>
      </c>
      <c r="AG514" t="s">
        <v>156</v>
      </c>
      <c r="AH514" t="s">
        <v>68</v>
      </c>
      <c r="AI514" t="s">
        <v>493</v>
      </c>
      <c r="AK514" t="s">
        <v>1811</v>
      </c>
    </row>
    <row r="515" spans="1:37" customFormat="1">
      <c r="A515" t="s">
        <v>23</v>
      </c>
      <c r="B515" t="s">
        <v>24</v>
      </c>
      <c r="C515" t="s">
        <v>1732</v>
      </c>
      <c r="D515" t="s">
        <v>135</v>
      </c>
      <c r="E515" t="s">
        <v>1733</v>
      </c>
      <c r="F515" t="s">
        <v>931</v>
      </c>
      <c r="G515" t="s">
        <v>136</v>
      </c>
      <c r="H515" t="s">
        <v>1734</v>
      </c>
      <c r="I515" t="s">
        <v>156</v>
      </c>
      <c r="J515" t="s">
        <v>26</v>
      </c>
      <c r="K515" t="s">
        <v>157</v>
      </c>
      <c r="L515" t="s">
        <v>143</v>
      </c>
      <c r="M515" t="s">
        <v>144</v>
      </c>
      <c r="N515" t="s">
        <v>1743</v>
      </c>
      <c r="O515">
        <v>1</v>
      </c>
      <c r="P515" t="s">
        <v>160</v>
      </c>
      <c r="R515">
        <v>736</v>
      </c>
      <c r="S515">
        <v>731.2</v>
      </c>
      <c r="T515" t="s">
        <v>145</v>
      </c>
      <c r="U515" t="s">
        <v>1664</v>
      </c>
      <c r="V515" t="s">
        <v>27</v>
      </c>
      <c r="W515" t="s">
        <v>66</v>
      </c>
      <c r="X515" t="s">
        <v>67</v>
      </c>
      <c r="Y515" t="s">
        <v>138</v>
      </c>
      <c r="AA515" t="s">
        <v>494</v>
      </c>
      <c r="AC515" t="s">
        <v>139</v>
      </c>
      <c r="AD515" t="s">
        <v>1812</v>
      </c>
      <c r="AG515" t="s">
        <v>156</v>
      </c>
      <c r="AH515" t="s">
        <v>68</v>
      </c>
      <c r="AI515" t="s">
        <v>493</v>
      </c>
      <c r="AK515" t="s">
        <v>1813</v>
      </c>
    </row>
    <row r="516" spans="1:37" customFormat="1">
      <c r="A516" t="s">
        <v>23</v>
      </c>
      <c r="B516" t="s">
        <v>24</v>
      </c>
      <c r="C516" t="s">
        <v>1732</v>
      </c>
      <c r="D516" t="s">
        <v>135</v>
      </c>
      <c r="E516" t="s">
        <v>1733</v>
      </c>
      <c r="F516" t="s">
        <v>931</v>
      </c>
      <c r="G516" t="s">
        <v>136</v>
      </c>
      <c r="H516" t="s">
        <v>1734</v>
      </c>
      <c r="I516" t="s">
        <v>156</v>
      </c>
      <c r="J516" t="s">
        <v>26</v>
      </c>
      <c r="K516" t="s">
        <v>157</v>
      </c>
      <c r="L516" t="s">
        <v>143</v>
      </c>
      <c r="M516" t="s">
        <v>144</v>
      </c>
      <c r="N516" t="s">
        <v>1744</v>
      </c>
      <c r="O516">
        <v>1</v>
      </c>
      <c r="P516" t="s">
        <v>160</v>
      </c>
      <c r="R516">
        <v>738</v>
      </c>
      <c r="S516">
        <v>731.2</v>
      </c>
      <c r="T516" t="s">
        <v>145</v>
      </c>
      <c r="U516" t="s">
        <v>1664</v>
      </c>
      <c r="V516" t="s">
        <v>27</v>
      </c>
      <c r="W516" t="s">
        <v>66</v>
      </c>
      <c r="X516" t="s">
        <v>67</v>
      </c>
      <c r="Y516" t="s">
        <v>138</v>
      </c>
      <c r="AA516" t="s">
        <v>494</v>
      </c>
      <c r="AC516" t="s">
        <v>139</v>
      </c>
      <c r="AD516" t="s">
        <v>1814</v>
      </c>
      <c r="AG516" t="s">
        <v>156</v>
      </c>
      <c r="AH516" t="s">
        <v>68</v>
      </c>
      <c r="AI516" t="s">
        <v>493</v>
      </c>
      <c r="AK516" t="s">
        <v>1815</v>
      </c>
    </row>
    <row r="517" spans="1:37" customFormat="1">
      <c r="A517" t="s">
        <v>23</v>
      </c>
      <c r="B517" t="s">
        <v>24</v>
      </c>
      <c r="C517" t="s">
        <v>1745</v>
      </c>
      <c r="D517" t="s">
        <v>135</v>
      </c>
      <c r="E517" t="s">
        <v>1746</v>
      </c>
      <c r="F517" t="s">
        <v>931</v>
      </c>
      <c r="G517" t="s">
        <v>136</v>
      </c>
      <c r="H517" t="s">
        <v>1734</v>
      </c>
      <c r="I517" t="s">
        <v>156</v>
      </c>
      <c r="J517" t="s">
        <v>25</v>
      </c>
      <c r="K517" t="s">
        <v>157</v>
      </c>
      <c r="L517" t="s">
        <v>143</v>
      </c>
      <c r="M517" t="s">
        <v>144</v>
      </c>
      <c r="N517" t="s">
        <v>1747</v>
      </c>
      <c r="O517">
        <v>7</v>
      </c>
      <c r="P517" t="s">
        <v>159</v>
      </c>
      <c r="R517">
        <v>158</v>
      </c>
      <c r="S517">
        <v>127.96</v>
      </c>
      <c r="T517" t="s">
        <v>145</v>
      </c>
      <c r="U517" t="s">
        <v>988</v>
      </c>
      <c r="V517" t="s">
        <v>27</v>
      </c>
      <c r="W517" t="s">
        <v>66</v>
      </c>
      <c r="X517" t="s">
        <v>67</v>
      </c>
      <c r="Y517" t="s">
        <v>138</v>
      </c>
      <c r="AA517" t="s">
        <v>494</v>
      </c>
      <c r="AC517" t="s">
        <v>139</v>
      </c>
      <c r="AD517" t="s">
        <v>1816</v>
      </c>
      <c r="AG517" t="s">
        <v>156</v>
      </c>
      <c r="AH517" t="s">
        <v>68</v>
      </c>
      <c r="AI517" t="s">
        <v>493</v>
      </c>
    </row>
    <row r="518" spans="1:37" customFormat="1">
      <c r="A518" t="s">
        <v>23</v>
      </c>
      <c r="B518" t="s">
        <v>24</v>
      </c>
      <c r="C518" t="s">
        <v>179</v>
      </c>
      <c r="D518" t="s">
        <v>135</v>
      </c>
      <c r="E518" t="s">
        <v>2827</v>
      </c>
      <c r="F518" t="s">
        <v>931</v>
      </c>
      <c r="G518" t="s">
        <v>136</v>
      </c>
      <c r="H518" t="s">
        <v>146</v>
      </c>
      <c r="I518" t="s">
        <v>156</v>
      </c>
      <c r="J518" t="s">
        <v>26</v>
      </c>
      <c r="K518" t="s">
        <v>157</v>
      </c>
      <c r="L518" t="s">
        <v>162</v>
      </c>
      <c r="M518" t="s">
        <v>144</v>
      </c>
      <c r="N518" t="s">
        <v>2838</v>
      </c>
      <c r="O518">
        <v>1</v>
      </c>
      <c r="P518" t="s">
        <v>160</v>
      </c>
      <c r="R518">
        <v>814</v>
      </c>
      <c r="S518">
        <v>813.2</v>
      </c>
      <c r="T518" t="s">
        <v>493</v>
      </c>
      <c r="U518" t="s">
        <v>493</v>
      </c>
      <c r="V518" t="s">
        <v>27</v>
      </c>
      <c r="W518" t="s">
        <v>66</v>
      </c>
      <c r="X518" t="s">
        <v>67</v>
      </c>
      <c r="Y518" t="s">
        <v>2839</v>
      </c>
      <c r="AA518" t="s">
        <v>494</v>
      </c>
      <c r="AC518" t="s">
        <v>139</v>
      </c>
      <c r="AD518" t="s">
        <v>2840</v>
      </c>
      <c r="AF518" t="s">
        <v>2841</v>
      </c>
      <c r="AG518" t="s">
        <v>156</v>
      </c>
      <c r="AH518" t="s">
        <v>2842</v>
      </c>
      <c r="AI518" t="s">
        <v>493</v>
      </c>
    </row>
    <row r="519" spans="1:37" customFormat="1">
      <c r="A519" t="s">
        <v>23</v>
      </c>
      <c r="B519" t="s">
        <v>24</v>
      </c>
      <c r="C519" t="s">
        <v>179</v>
      </c>
      <c r="D519" t="s">
        <v>135</v>
      </c>
      <c r="E519" t="s">
        <v>2827</v>
      </c>
      <c r="F519" t="s">
        <v>931</v>
      </c>
      <c r="G519" t="s">
        <v>136</v>
      </c>
      <c r="H519" t="s">
        <v>146</v>
      </c>
      <c r="I519" t="s">
        <v>156</v>
      </c>
      <c r="J519" t="s">
        <v>26</v>
      </c>
      <c r="K519" t="s">
        <v>157</v>
      </c>
      <c r="L519" t="s">
        <v>162</v>
      </c>
      <c r="M519" t="s">
        <v>144</v>
      </c>
      <c r="N519" t="s">
        <v>2843</v>
      </c>
      <c r="O519">
        <v>1</v>
      </c>
      <c r="P519" t="s">
        <v>160</v>
      </c>
      <c r="R519">
        <v>814</v>
      </c>
      <c r="S519">
        <v>813.2</v>
      </c>
      <c r="T519" t="s">
        <v>493</v>
      </c>
      <c r="U519" t="s">
        <v>493</v>
      </c>
      <c r="V519" t="s">
        <v>27</v>
      </c>
      <c r="W519" t="s">
        <v>66</v>
      </c>
      <c r="X519" t="s">
        <v>67</v>
      </c>
      <c r="Y519" t="s">
        <v>2839</v>
      </c>
      <c r="AA519" t="s">
        <v>494</v>
      </c>
      <c r="AC519" t="s">
        <v>139</v>
      </c>
      <c r="AD519" t="s">
        <v>2844</v>
      </c>
      <c r="AF519" t="s">
        <v>2841</v>
      </c>
      <c r="AG519" t="s">
        <v>156</v>
      </c>
      <c r="AH519" t="s">
        <v>2842</v>
      </c>
      <c r="AI519" t="s">
        <v>493</v>
      </c>
    </row>
    <row r="520" spans="1:37" customFormat="1">
      <c r="A520" t="s">
        <v>23</v>
      </c>
      <c r="B520" t="s">
        <v>24</v>
      </c>
      <c r="C520" t="s">
        <v>179</v>
      </c>
      <c r="D520" t="s">
        <v>135</v>
      </c>
      <c r="E520" t="s">
        <v>2827</v>
      </c>
      <c r="F520" t="s">
        <v>931</v>
      </c>
      <c r="G520" t="s">
        <v>136</v>
      </c>
      <c r="H520" t="s">
        <v>146</v>
      </c>
      <c r="I520" t="s">
        <v>156</v>
      </c>
      <c r="J520" t="s">
        <v>26</v>
      </c>
      <c r="K520" t="s">
        <v>157</v>
      </c>
      <c r="L520" t="s">
        <v>162</v>
      </c>
      <c r="M520" t="s">
        <v>144</v>
      </c>
      <c r="N520" t="s">
        <v>2845</v>
      </c>
      <c r="O520">
        <v>1</v>
      </c>
      <c r="P520" t="s">
        <v>160</v>
      </c>
      <c r="R520">
        <v>821</v>
      </c>
      <c r="S520">
        <v>813.2</v>
      </c>
      <c r="T520" t="s">
        <v>493</v>
      </c>
      <c r="U520" t="s">
        <v>493</v>
      </c>
      <c r="V520" t="s">
        <v>27</v>
      </c>
      <c r="W520" t="s">
        <v>66</v>
      </c>
      <c r="X520" t="s">
        <v>67</v>
      </c>
      <c r="Y520" t="s">
        <v>2839</v>
      </c>
      <c r="AA520" t="s">
        <v>494</v>
      </c>
      <c r="AC520" t="s">
        <v>139</v>
      </c>
      <c r="AD520" t="s">
        <v>2846</v>
      </c>
      <c r="AF520" t="s">
        <v>2841</v>
      </c>
      <c r="AG520" t="s">
        <v>156</v>
      </c>
      <c r="AH520" t="s">
        <v>2842</v>
      </c>
      <c r="AI520" t="s">
        <v>493</v>
      </c>
    </row>
    <row r="521" spans="1:37" customFormat="1">
      <c r="A521" t="s">
        <v>23</v>
      </c>
      <c r="B521" t="s">
        <v>24</v>
      </c>
      <c r="C521" t="s">
        <v>179</v>
      </c>
      <c r="D521" t="s">
        <v>135</v>
      </c>
      <c r="E521" t="s">
        <v>2827</v>
      </c>
      <c r="F521" t="s">
        <v>931</v>
      </c>
      <c r="G521" t="s">
        <v>136</v>
      </c>
      <c r="H521" t="s">
        <v>146</v>
      </c>
      <c r="I521" t="s">
        <v>156</v>
      </c>
      <c r="J521" t="s">
        <v>26</v>
      </c>
      <c r="K521" t="s">
        <v>157</v>
      </c>
      <c r="L521" t="s">
        <v>162</v>
      </c>
      <c r="M521" t="s">
        <v>144</v>
      </c>
      <c r="N521" t="s">
        <v>2847</v>
      </c>
      <c r="O521">
        <v>1</v>
      </c>
      <c r="P521" t="s">
        <v>160</v>
      </c>
      <c r="R521">
        <v>815</v>
      </c>
      <c r="S521">
        <v>813.2</v>
      </c>
      <c r="T521" t="s">
        <v>493</v>
      </c>
      <c r="U521" t="s">
        <v>493</v>
      </c>
      <c r="V521" t="s">
        <v>27</v>
      </c>
      <c r="W521" t="s">
        <v>66</v>
      </c>
      <c r="X521" t="s">
        <v>67</v>
      </c>
      <c r="Y521" t="s">
        <v>2839</v>
      </c>
      <c r="AA521" t="s">
        <v>494</v>
      </c>
      <c r="AC521" t="s">
        <v>139</v>
      </c>
      <c r="AD521" t="s">
        <v>2848</v>
      </c>
      <c r="AF521" t="s">
        <v>2841</v>
      </c>
      <c r="AG521" t="s">
        <v>156</v>
      </c>
      <c r="AH521" t="s">
        <v>2842</v>
      </c>
      <c r="AI521" t="s">
        <v>493</v>
      </c>
    </row>
    <row r="522" spans="1:37" customFormat="1">
      <c r="A522" t="s">
        <v>23</v>
      </c>
      <c r="B522" t="s">
        <v>24</v>
      </c>
      <c r="C522" t="s">
        <v>179</v>
      </c>
      <c r="D522" t="s">
        <v>135</v>
      </c>
      <c r="E522" t="s">
        <v>2827</v>
      </c>
      <c r="F522" t="s">
        <v>931</v>
      </c>
      <c r="G522" t="s">
        <v>136</v>
      </c>
      <c r="H522" t="s">
        <v>146</v>
      </c>
      <c r="I522" t="s">
        <v>156</v>
      </c>
      <c r="J522" t="s">
        <v>26</v>
      </c>
      <c r="K522" t="s">
        <v>157</v>
      </c>
      <c r="L522" t="s">
        <v>162</v>
      </c>
      <c r="M522" t="s">
        <v>144</v>
      </c>
      <c r="N522" t="s">
        <v>2849</v>
      </c>
      <c r="O522">
        <v>1</v>
      </c>
      <c r="P522" t="s">
        <v>160</v>
      </c>
      <c r="R522">
        <v>816</v>
      </c>
      <c r="S522">
        <v>813.2</v>
      </c>
      <c r="T522" t="s">
        <v>493</v>
      </c>
      <c r="U522" t="s">
        <v>493</v>
      </c>
      <c r="V522" t="s">
        <v>27</v>
      </c>
      <c r="W522" t="s">
        <v>66</v>
      </c>
      <c r="X522" t="s">
        <v>67</v>
      </c>
      <c r="Y522" t="s">
        <v>2839</v>
      </c>
      <c r="AA522" t="s">
        <v>494</v>
      </c>
      <c r="AC522" t="s">
        <v>139</v>
      </c>
      <c r="AD522" t="s">
        <v>2850</v>
      </c>
      <c r="AF522" t="s">
        <v>2841</v>
      </c>
      <c r="AG522" t="s">
        <v>156</v>
      </c>
      <c r="AH522" t="s">
        <v>2842</v>
      </c>
      <c r="AI522" t="s">
        <v>493</v>
      </c>
    </row>
    <row r="523" spans="1:37" customFormat="1">
      <c r="A523" t="s">
        <v>23</v>
      </c>
      <c r="B523" t="s">
        <v>24</v>
      </c>
      <c r="C523" t="s">
        <v>179</v>
      </c>
      <c r="D523" t="s">
        <v>135</v>
      </c>
      <c r="E523" t="s">
        <v>2827</v>
      </c>
      <c r="F523" t="s">
        <v>931</v>
      </c>
      <c r="G523" t="s">
        <v>136</v>
      </c>
      <c r="H523" t="s">
        <v>146</v>
      </c>
      <c r="I523" t="s">
        <v>156</v>
      </c>
      <c r="J523" t="s">
        <v>26</v>
      </c>
      <c r="K523" t="s">
        <v>157</v>
      </c>
      <c r="L523" t="s">
        <v>162</v>
      </c>
      <c r="M523" t="s">
        <v>144</v>
      </c>
      <c r="N523" t="s">
        <v>2851</v>
      </c>
      <c r="O523">
        <v>1</v>
      </c>
      <c r="P523" t="s">
        <v>160</v>
      </c>
      <c r="R523">
        <v>819</v>
      </c>
      <c r="S523">
        <v>813.2</v>
      </c>
      <c r="T523" t="s">
        <v>493</v>
      </c>
      <c r="U523" t="s">
        <v>493</v>
      </c>
      <c r="V523" t="s">
        <v>27</v>
      </c>
      <c r="W523" t="s">
        <v>66</v>
      </c>
      <c r="X523" t="s">
        <v>67</v>
      </c>
      <c r="Y523" t="s">
        <v>2839</v>
      </c>
      <c r="AA523" t="s">
        <v>494</v>
      </c>
      <c r="AC523" t="s">
        <v>139</v>
      </c>
      <c r="AD523" t="s">
        <v>2852</v>
      </c>
      <c r="AF523" t="s">
        <v>2841</v>
      </c>
      <c r="AG523" t="s">
        <v>156</v>
      </c>
      <c r="AH523" t="s">
        <v>2842</v>
      </c>
      <c r="AI523" t="s">
        <v>493</v>
      </c>
    </row>
    <row r="524" spans="1:37" customFormat="1">
      <c r="A524" t="s">
        <v>23</v>
      </c>
      <c r="B524" t="s">
        <v>24</v>
      </c>
      <c r="C524" t="s">
        <v>179</v>
      </c>
      <c r="D524" t="s">
        <v>135</v>
      </c>
      <c r="E524" t="s">
        <v>2827</v>
      </c>
      <c r="F524" t="s">
        <v>931</v>
      </c>
      <c r="G524" t="s">
        <v>136</v>
      </c>
      <c r="H524" t="s">
        <v>146</v>
      </c>
      <c r="I524" t="s">
        <v>156</v>
      </c>
      <c r="J524" t="s">
        <v>26</v>
      </c>
      <c r="K524" t="s">
        <v>157</v>
      </c>
      <c r="L524" t="s">
        <v>162</v>
      </c>
      <c r="M524" t="s">
        <v>144</v>
      </c>
      <c r="N524" t="s">
        <v>2853</v>
      </c>
      <c r="O524">
        <v>1</v>
      </c>
      <c r="P524" t="s">
        <v>160</v>
      </c>
      <c r="R524">
        <v>817</v>
      </c>
      <c r="S524">
        <v>813.2</v>
      </c>
      <c r="T524" t="s">
        <v>493</v>
      </c>
      <c r="U524" t="s">
        <v>493</v>
      </c>
      <c r="V524" t="s">
        <v>27</v>
      </c>
      <c r="W524" t="s">
        <v>66</v>
      </c>
      <c r="X524" t="s">
        <v>67</v>
      </c>
      <c r="Y524" t="s">
        <v>2839</v>
      </c>
      <c r="AA524" t="s">
        <v>494</v>
      </c>
      <c r="AC524" t="s">
        <v>139</v>
      </c>
      <c r="AD524" t="s">
        <v>2854</v>
      </c>
      <c r="AF524" t="s">
        <v>2841</v>
      </c>
      <c r="AG524" t="s">
        <v>156</v>
      </c>
      <c r="AH524" t="s">
        <v>2842</v>
      </c>
      <c r="AI524" t="s">
        <v>493</v>
      </c>
    </row>
    <row r="525" spans="1:37" customFormat="1">
      <c r="A525" t="s">
        <v>23</v>
      </c>
      <c r="B525" t="s">
        <v>24</v>
      </c>
      <c r="C525" t="s">
        <v>179</v>
      </c>
      <c r="D525" t="s">
        <v>135</v>
      </c>
      <c r="E525" t="s">
        <v>2827</v>
      </c>
      <c r="F525" t="s">
        <v>931</v>
      </c>
      <c r="G525" t="s">
        <v>136</v>
      </c>
      <c r="H525" t="s">
        <v>146</v>
      </c>
      <c r="I525" t="s">
        <v>156</v>
      </c>
      <c r="J525" t="s">
        <v>26</v>
      </c>
      <c r="K525" t="s">
        <v>157</v>
      </c>
      <c r="L525" t="s">
        <v>162</v>
      </c>
      <c r="M525" t="s">
        <v>144</v>
      </c>
      <c r="N525" t="s">
        <v>2855</v>
      </c>
      <c r="O525">
        <v>1</v>
      </c>
      <c r="P525" t="s">
        <v>160</v>
      </c>
      <c r="R525">
        <v>821</v>
      </c>
      <c r="S525">
        <v>813.2</v>
      </c>
      <c r="T525" t="s">
        <v>493</v>
      </c>
      <c r="U525" t="s">
        <v>493</v>
      </c>
      <c r="V525" t="s">
        <v>27</v>
      </c>
      <c r="W525" t="s">
        <v>66</v>
      </c>
      <c r="X525" t="s">
        <v>67</v>
      </c>
      <c r="Y525" t="s">
        <v>2839</v>
      </c>
      <c r="AA525" t="s">
        <v>494</v>
      </c>
      <c r="AC525" t="s">
        <v>139</v>
      </c>
      <c r="AD525" t="s">
        <v>2856</v>
      </c>
      <c r="AF525" t="s">
        <v>2841</v>
      </c>
      <c r="AG525" t="s">
        <v>156</v>
      </c>
      <c r="AH525" t="s">
        <v>2842</v>
      </c>
      <c r="AI525" t="s">
        <v>493</v>
      </c>
    </row>
    <row r="526" spans="1:37" customFormat="1">
      <c r="A526" t="s">
        <v>23</v>
      </c>
      <c r="B526" t="s">
        <v>24</v>
      </c>
      <c r="C526" t="s">
        <v>179</v>
      </c>
      <c r="D526" t="s">
        <v>135</v>
      </c>
      <c r="E526" t="s">
        <v>2827</v>
      </c>
      <c r="F526" t="s">
        <v>931</v>
      </c>
      <c r="G526" t="s">
        <v>136</v>
      </c>
      <c r="H526" t="s">
        <v>146</v>
      </c>
      <c r="I526" t="s">
        <v>156</v>
      </c>
      <c r="J526" t="s">
        <v>26</v>
      </c>
      <c r="K526" t="s">
        <v>157</v>
      </c>
      <c r="L526" t="s">
        <v>162</v>
      </c>
      <c r="M526" t="s">
        <v>144</v>
      </c>
      <c r="N526" t="s">
        <v>2857</v>
      </c>
      <c r="O526">
        <v>1</v>
      </c>
      <c r="P526" t="s">
        <v>160</v>
      </c>
      <c r="R526">
        <v>819</v>
      </c>
      <c r="S526">
        <v>813.2</v>
      </c>
      <c r="T526" t="s">
        <v>493</v>
      </c>
      <c r="U526" t="s">
        <v>493</v>
      </c>
      <c r="V526" t="s">
        <v>27</v>
      </c>
      <c r="W526" t="s">
        <v>66</v>
      </c>
      <c r="X526" t="s">
        <v>67</v>
      </c>
      <c r="Y526" t="s">
        <v>2839</v>
      </c>
      <c r="AA526" t="s">
        <v>494</v>
      </c>
      <c r="AC526" t="s">
        <v>139</v>
      </c>
      <c r="AD526" t="s">
        <v>2858</v>
      </c>
      <c r="AF526" t="s">
        <v>2841</v>
      </c>
      <c r="AG526" t="s">
        <v>156</v>
      </c>
      <c r="AH526" t="s">
        <v>2842</v>
      </c>
      <c r="AI526" t="s">
        <v>493</v>
      </c>
    </row>
    <row r="527" spans="1:37" customFormat="1">
      <c r="A527" t="s">
        <v>23</v>
      </c>
      <c r="B527" t="s">
        <v>24</v>
      </c>
      <c r="C527" t="s">
        <v>179</v>
      </c>
      <c r="D527" t="s">
        <v>135</v>
      </c>
      <c r="E527" t="s">
        <v>2827</v>
      </c>
      <c r="F527" t="s">
        <v>931</v>
      </c>
      <c r="G527" t="s">
        <v>136</v>
      </c>
      <c r="H527" t="s">
        <v>146</v>
      </c>
      <c r="I527" t="s">
        <v>156</v>
      </c>
      <c r="J527" t="s">
        <v>26</v>
      </c>
      <c r="K527" t="s">
        <v>157</v>
      </c>
      <c r="L527" t="s">
        <v>162</v>
      </c>
      <c r="M527" t="s">
        <v>144</v>
      </c>
      <c r="N527" t="s">
        <v>2859</v>
      </c>
      <c r="O527">
        <v>1</v>
      </c>
      <c r="P527" t="s">
        <v>160</v>
      </c>
      <c r="R527">
        <v>819</v>
      </c>
      <c r="S527">
        <v>813.2</v>
      </c>
      <c r="T527" t="s">
        <v>493</v>
      </c>
      <c r="U527" t="s">
        <v>493</v>
      </c>
      <c r="V527" t="s">
        <v>27</v>
      </c>
      <c r="W527" t="s">
        <v>66</v>
      </c>
      <c r="X527" t="s">
        <v>67</v>
      </c>
      <c r="Y527" t="s">
        <v>2839</v>
      </c>
      <c r="AA527" t="s">
        <v>494</v>
      </c>
      <c r="AC527" t="s">
        <v>139</v>
      </c>
      <c r="AD527" t="s">
        <v>2860</v>
      </c>
      <c r="AF527" t="s">
        <v>2841</v>
      </c>
      <c r="AG527" t="s">
        <v>156</v>
      </c>
      <c r="AH527" t="s">
        <v>2842</v>
      </c>
      <c r="AI527" t="s">
        <v>493</v>
      </c>
    </row>
    <row r="528" spans="1:37" customFormat="1">
      <c r="A528" t="s">
        <v>23</v>
      </c>
      <c r="B528" t="s">
        <v>24</v>
      </c>
      <c r="C528" t="s">
        <v>179</v>
      </c>
      <c r="D528" t="s">
        <v>135</v>
      </c>
      <c r="E528" t="s">
        <v>2827</v>
      </c>
      <c r="F528" t="s">
        <v>931</v>
      </c>
      <c r="G528" t="s">
        <v>136</v>
      </c>
      <c r="H528" t="s">
        <v>146</v>
      </c>
      <c r="I528" t="s">
        <v>156</v>
      </c>
      <c r="J528" t="s">
        <v>26</v>
      </c>
      <c r="K528" t="s">
        <v>157</v>
      </c>
      <c r="L528" t="s">
        <v>162</v>
      </c>
      <c r="M528" t="s">
        <v>144</v>
      </c>
      <c r="N528" t="s">
        <v>2861</v>
      </c>
      <c r="O528">
        <v>1</v>
      </c>
      <c r="P528" t="s">
        <v>160</v>
      </c>
      <c r="R528">
        <v>819</v>
      </c>
      <c r="S528">
        <v>813.2</v>
      </c>
      <c r="T528" t="s">
        <v>493</v>
      </c>
      <c r="U528" t="s">
        <v>493</v>
      </c>
      <c r="V528" t="s">
        <v>27</v>
      </c>
      <c r="W528" t="s">
        <v>66</v>
      </c>
      <c r="X528" t="s">
        <v>67</v>
      </c>
      <c r="Y528" t="s">
        <v>2839</v>
      </c>
      <c r="AA528" t="s">
        <v>494</v>
      </c>
      <c r="AC528" t="s">
        <v>139</v>
      </c>
      <c r="AD528" t="s">
        <v>2862</v>
      </c>
      <c r="AF528" t="s">
        <v>2841</v>
      </c>
      <c r="AG528" t="s">
        <v>156</v>
      </c>
      <c r="AH528" t="s">
        <v>2842</v>
      </c>
      <c r="AI528" t="s">
        <v>493</v>
      </c>
    </row>
    <row r="529" spans="1:35" customFormat="1">
      <c r="A529" t="s">
        <v>23</v>
      </c>
      <c r="B529" t="s">
        <v>24</v>
      </c>
      <c r="C529" t="s">
        <v>179</v>
      </c>
      <c r="D529" t="s">
        <v>135</v>
      </c>
      <c r="E529" t="s">
        <v>2827</v>
      </c>
      <c r="F529" t="s">
        <v>931</v>
      </c>
      <c r="G529" t="s">
        <v>136</v>
      </c>
      <c r="H529" t="s">
        <v>146</v>
      </c>
      <c r="I529" t="s">
        <v>156</v>
      </c>
      <c r="J529" t="s">
        <v>26</v>
      </c>
      <c r="K529" t="s">
        <v>157</v>
      </c>
      <c r="L529" t="s">
        <v>162</v>
      </c>
      <c r="M529" t="s">
        <v>144</v>
      </c>
      <c r="N529" t="s">
        <v>2863</v>
      </c>
      <c r="O529">
        <v>1</v>
      </c>
      <c r="P529" t="s">
        <v>160</v>
      </c>
      <c r="R529">
        <v>819</v>
      </c>
      <c r="S529">
        <v>813.2</v>
      </c>
      <c r="T529" t="s">
        <v>493</v>
      </c>
      <c r="U529" t="s">
        <v>493</v>
      </c>
      <c r="V529" t="s">
        <v>27</v>
      </c>
      <c r="W529" t="s">
        <v>66</v>
      </c>
      <c r="X529" t="s">
        <v>67</v>
      </c>
      <c r="Y529" t="s">
        <v>2839</v>
      </c>
      <c r="AA529" t="s">
        <v>494</v>
      </c>
      <c r="AC529" t="s">
        <v>139</v>
      </c>
      <c r="AD529" t="s">
        <v>2864</v>
      </c>
      <c r="AF529" t="s">
        <v>2841</v>
      </c>
      <c r="AG529" t="s">
        <v>156</v>
      </c>
      <c r="AH529" t="s">
        <v>2842</v>
      </c>
      <c r="AI529" t="s">
        <v>493</v>
      </c>
    </row>
    <row r="530" spans="1:35" customFormat="1">
      <c r="A530" t="s">
        <v>23</v>
      </c>
      <c r="B530" t="s">
        <v>24</v>
      </c>
      <c r="C530" t="s">
        <v>179</v>
      </c>
      <c r="D530" t="s">
        <v>135</v>
      </c>
      <c r="E530" t="s">
        <v>2827</v>
      </c>
      <c r="F530" t="s">
        <v>931</v>
      </c>
      <c r="G530" t="s">
        <v>136</v>
      </c>
      <c r="H530" t="s">
        <v>146</v>
      </c>
      <c r="I530" t="s">
        <v>156</v>
      </c>
      <c r="J530" t="s">
        <v>26</v>
      </c>
      <c r="K530" t="s">
        <v>157</v>
      </c>
      <c r="L530" t="s">
        <v>162</v>
      </c>
      <c r="M530" t="s">
        <v>144</v>
      </c>
      <c r="N530" t="s">
        <v>2865</v>
      </c>
      <c r="O530">
        <v>1</v>
      </c>
      <c r="P530" t="s">
        <v>160</v>
      </c>
      <c r="R530">
        <v>817</v>
      </c>
      <c r="S530">
        <v>813.2</v>
      </c>
      <c r="T530" t="s">
        <v>493</v>
      </c>
      <c r="U530" t="s">
        <v>493</v>
      </c>
      <c r="V530" t="s">
        <v>27</v>
      </c>
      <c r="W530" t="s">
        <v>66</v>
      </c>
      <c r="X530" t="s">
        <v>67</v>
      </c>
      <c r="Y530" t="s">
        <v>2839</v>
      </c>
      <c r="AA530" t="s">
        <v>494</v>
      </c>
      <c r="AC530" t="s">
        <v>139</v>
      </c>
      <c r="AD530" t="s">
        <v>2866</v>
      </c>
      <c r="AF530" t="s">
        <v>2841</v>
      </c>
      <c r="AG530" t="s">
        <v>156</v>
      </c>
      <c r="AH530" t="s">
        <v>2842</v>
      </c>
      <c r="AI530" t="s">
        <v>493</v>
      </c>
    </row>
    <row r="531" spans="1:35" customFormat="1">
      <c r="A531" t="s">
        <v>23</v>
      </c>
      <c r="B531" t="s">
        <v>24</v>
      </c>
      <c r="C531" t="s">
        <v>179</v>
      </c>
      <c r="D531" t="s">
        <v>135</v>
      </c>
      <c r="E531" t="s">
        <v>2827</v>
      </c>
      <c r="F531" t="s">
        <v>931</v>
      </c>
      <c r="G531" t="s">
        <v>136</v>
      </c>
      <c r="H531" t="s">
        <v>146</v>
      </c>
      <c r="I531" t="s">
        <v>156</v>
      </c>
      <c r="J531" t="s">
        <v>26</v>
      </c>
      <c r="K531" t="s">
        <v>157</v>
      </c>
      <c r="L531" t="s">
        <v>162</v>
      </c>
      <c r="M531" t="s">
        <v>144</v>
      </c>
      <c r="N531" t="s">
        <v>2867</v>
      </c>
      <c r="O531">
        <v>1</v>
      </c>
      <c r="P531" t="s">
        <v>160</v>
      </c>
      <c r="R531">
        <v>819.5</v>
      </c>
      <c r="S531">
        <v>813.2</v>
      </c>
      <c r="T531" t="s">
        <v>493</v>
      </c>
      <c r="U531" t="s">
        <v>493</v>
      </c>
      <c r="V531" t="s">
        <v>27</v>
      </c>
      <c r="W531" t="s">
        <v>66</v>
      </c>
      <c r="X531" t="s">
        <v>67</v>
      </c>
      <c r="Y531" t="s">
        <v>2839</v>
      </c>
      <c r="AA531" t="s">
        <v>494</v>
      </c>
      <c r="AC531" t="s">
        <v>139</v>
      </c>
      <c r="AD531" t="s">
        <v>2868</v>
      </c>
      <c r="AF531" t="s">
        <v>2841</v>
      </c>
      <c r="AG531" t="s">
        <v>156</v>
      </c>
      <c r="AH531" t="s">
        <v>2842</v>
      </c>
      <c r="AI531" t="s">
        <v>493</v>
      </c>
    </row>
    <row r="532" spans="1:35" customFormat="1">
      <c r="A532" t="s">
        <v>23</v>
      </c>
      <c r="B532" t="s">
        <v>24</v>
      </c>
      <c r="C532" t="s">
        <v>179</v>
      </c>
      <c r="D532" t="s">
        <v>135</v>
      </c>
      <c r="E532" t="s">
        <v>2827</v>
      </c>
      <c r="F532" t="s">
        <v>931</v>
      </c>
      <c r="G532" t="s">
        <v>136</v>
      </c>
      <c r="H532" t="s">
        <v>146</v>
      </c>
      <c r="I532" t="s">
        <v>156</v>
      </c>
      <c r="J532" t="s">
        <v>26</v>
      </c>
      <c r="K532" t="s">
        <v>157</v>
      </c>
      <c r="L532" t="s">
        <v>162</v>
      </c>
      <c r="M532" t="s">
        <v>144</v>
      </c>
      <c r="N532" t="s">
        <v>2869</v>
      </c>
      <c r="O532">
        <v>1</v>
      </c>
      <c r="P532" t="s">
        <v>160</v>
      </c>
      <c r="R532">
        <v>816</v>
      </c>
      <c r="S532">
        <v>813.2</v>
      </c>
      <c r="T532" t="s">
        <v>493</v>
      </c>
      <c r="U532" t="s">
        <v>493</v>
      </c>
      <c r="V532" t="s">
        <v>27</v>
      </c>
      <c r="W532" t="s">
        <v>66</v>
      </c>
      <c r="X532" t="s">
        <v>67</v>
      </c>
      <c r="Y532" t="s">
        <v>2839</v>
      </c>
      <c r="AA532" t="s">
        <v>494</v>
      </c>
      <c r="AC532" t="s">
        <v>139</v>
      </c>
      <c r="AD532" t="s">
        <v>2870</v>
      </c>
      <c r="AF532" t="s">
        <v>2841</v>
      </c>
      <c r="AG532" t="s">
        <v>156</v>
      </c>
      <c r="AH532" t="s">
        <v>2842</v>
      </c>
      <c r="AI532" t="s">
        <v>493</v>
      </c>
    </row>
    <row r="533" spans="1:35" customFormat="1">
      <c r="A533" t="s">
        <v>23</v>
      </c>
      <c r="B533" t="s">
        <v>24</v>
      </c>
      <c r="C533" t="s">
        <v>179</v>
      </c>
      <c r="D533" t="s">
        <v>135</v>
      </c>
      <c r="E533" t="s">
        <v>2827</v>
      </c>
      <c r="F533" t="s">
        <v>931</v>
      </c>
      <c r="G533" t="s">
        <v>136</v>
      </c>
      <c r="H533" t="s">
        <v>146</v>
      </c>
      <c r="I533" t="s">
        <v>156</v>
      </c>
      <c r="J533" t="s">
        <v>26</v>
      </c>
      <c r="K533" t="s">
        <v>157</v>
      </c>
      <c r="L533" t="s">
        <v>162</v>
      </c>
      <c r="M533" t="s">
        <v>144</v>
      </c>
      <c r="N533" t="s">
        <v>2871</v>
      </c>
      <c r="O533">
        <v>1</v>
      </c>
      <c r="P533" t="s">
        <v>160</v>
      </c>
      <c r="R533">
        <v>819</v>
      </c>
      <c r="S533">
        <v>813.2</v>
      </c>
      <c r="T533" t="s">
        <v>493</v>
      </c>
      <c r="U533" t="s">
        <v>493</v>
      </c>
      <c r="V533" t="s">
        <v>27</v>
      </c>
      <c r="W533" t="s">
        <v>66</v>
      </c>
      <c r="X533" t="s">
        <v>67</v>
      </c>
      <c r="Y533" t="s">
        <v>2839</v>
      </c>
      <c r="AA533" t="s">
        <v>494</v>
      </c>
      <c r="AC533" t="s">
        <v>139</v>
      </c>
      <c r="AD533" t="s">
        <v>2872</v>
      </c>
      <c r="AF533" t="s">
        <v>2841</v>
      </c>
      <c r="AG533" t="s">
        <v>156</v>
      </c>
      <c r="AH533" t="s">
        <v>2842</v>
      </c>
      <c r="AI533" t="s">
        <v>493</v>
      </c>
    </row>
    <row r="534" spans="1:35" customFormat="1">
      <c r="A534" t="s">
        <v>23</v>
      </c>
      <c r="B534" t="s">
        <v>24</v>
      </c>
      <c r="C534" t="s">
        <v>179</v>
      </c>
      <c r="D534" t="s">
        <v>135</v>
      </c>
      <c r="E534" t="s">
        <v>2827</v>
      </c>
      <c r="F534" t="s">
        <v>931</v>
      </c>
      <c r="G534" t="s">
        <v>136</v>
      </c>
      <c r="H534" t="s">
        <v>146</v>
      </c>
      <c r="I534" t="s">
        <v>156</v>
      </c>
      <c r="J534" t="s">
        <v>26</v>
      </c>
      <c r="K534" t="s">
        <v>157</v>
      </c>
      <c r="L534" t="s">
        <v>162</v>
      </c>
      <c r="M534" t="s">
        <v>144</v>
      </c>
      <c r="N534" t="s">
        <v>2873</v>
      </c>
      <c r="O534">
        <v>1</v>
      </c>
      <c r="P534" t="s">
        <v>160</v>
      </c>
      <c r="R534">
        <v>817.5</v>
      </c>
      <c r="S534">
        <v>813.2</v>
      </c>
      <c r="T534" t="s">
        <v>493</v>
      </c>
      <c r="U534" t="s">
        <v>493</v>
      </c>
      <c r="V534" t="s">
        <v>27</v>
      </c>
      <c r="W534" t="s">
        <v>66</v>
      </c>
      <c r="X534" t="s">
        <v>67</v>
      </c>
      <c r="Y534" t="s">
        <v>2839</v>
      </c>
      <c r="AA534" t="s">
        <v>494</v>
      </c>
      <c r="AC534" t="s">
        <v>139</v>
      </c>
      <c r="AD534" t="s">
        <v>2874</v>
      </c>
      <c r="AF534" t="s">
        <v>2841</v>
      </c>
      <c r="AG534" t="s">
        <v>156</v>
      </c>
      <c r="AH534" t="s">
        <v>2842</v>
      </c>
      <c r="AI534" t="s">
        <v>493</v>
      </c>
    </row>
    <row r="535" spans="1:35" customFormat="1">
      <c r="A535" t="s">
        <v>23</v>
      </c>
      <c r="B535" t="s">
        <v>24</v>
      </c>
      <c r="C535" t="s">
        <v>179</v>
      </c>
      <c r="D535" t="s">
        <v>135</v>
      </c>
      <c r="E535" t="s">
        <v>2827</v>
      </c>
      <c r="F535" t="s">
        <v>931</v>
      </c>
      <c r="G535" t="s">
        <v>136</v>
      </c>
      <c r="H535" t="s">
        <v>146</v>
      </c>
      <c r="I535" t="s">
        <v>156</v>
      </c>
      <c r="J535" t="s">
        <v>26</v>
      </c>
      <c r="K535" t="s">
        <v>157</v>
      </c>
      <c r="L535" t="s">
        <v>162</v>
      </c>
      <c r="M535" t="s">
        <v>144</v>
      </c>
      <c r="N535" t="s">
        <v>2875</v>
      </c>
      <c r="O535">
        <v>1</v>
      </c>
      <c r="P535" t="s">
        <v>160</v>
      </c>
      <c r="R535">
        <v>820</v>
      </c>
      <c r="S535">
        <v>813.2</v>
      </c>
      <c r="T535" t="s">
        <v>493</v>
      </c>
      <c r="U535" t="s">
        <v>493</v>
      </c>
      <c r="V535" t="s">
        <v>27</v>
      </c>
      <c r="W535" t="s">
        <v>66</v>
      </c>
      <c r="X535" t="s">
        <v>67</v>
      </c>
      <c r="Y535" t="s">
        <v>2839</v>
      </c>
      <c r="AA535" t="s">
        <v>494</v>
      </c>
      <c r="AC535" t="s">
        <v>139</v>
      </c>
      <c r="AD535" t="s">
        <v>2876</v>
      </c>
      <c r="AF535" t="s">
        <v>2841</v>
      </c>
      <c r="AG535" t="s">
        <v>156</v>
      </c>
      <c r="AH535" t="s">
        <v>2842</v>
      </c>
      <c r="AI535" t="s">
        <v>493</v>
      </c>
    </row>
    <row r="536" spans="1:35" customFormat="1">
      <c r="A536" t="s">
        <v>23</v>
      </c>
      <c r="B536" t="s">
        <v>24</v>
      </c>
      <c r="C536" t="s">
        <v>179</v>
      </c>
      <c r="D536" t="s">
        <v>135</v>
      </c>
      <c r="E536" t="s">
        <v>2827</v>
      </c>
      <c r="F536" t="s">
        <v>931</v>
      </c>
      <c r="G536" t="s">
        <v>136</v>
      </c>
      <c r="H536" t="s">
        <v>146</v>
      </c>
      <c r="I536" t="s">
        <v>156</v>
      </c>
      <c r="J536" t="s">
        <v>26</v>
      </c>
      <c r="K536" t="s">
        <v>157</v>
      </c>
      <c r="L536" t="s">
        <v>162</v>
      </c>
      <c r="M536" t="s">
        <v>144</v>
      </c>
      <c r="N536" t="s">
        <v>2877</v>
      </c>
      <c r="O536">
        <v>1</v>
      </c>
      <c r="P536" t="s">
        <v>160</v>
      </c>
      <c r="R536">
        <v>818.5</v>
      </c>
      <c r="S536">
        <v>813.2</v>
      </c>
      <c r="T536" t="s">
        <v>493</v>
      </c>
      <c r="U536" t="s">
        <v>493</v>
      </c>
      <c r="V536" t="s">
        <v>27</v>
      </c>
      <c r="W536" t="s">
        <v>66</v>
      </c>
      <c r="X536" t="s">
        <v>67</v>
      </c>
      <c r="Y536" t="s">
        <v>2839</v>
      </c>
      <c r="AA536" t="s">
        <v>494</v>
      </c>
      <c r="AC536" t="s">
        <v>139</v>
      </c>
      <c r="AD536" t="s">
        <v>2878</v>
      </c>
      <c r="AF536" t="s">
        <v>2841</v>
      </c>
      <c r="AG536" t="s">
        <v>156</v>
      </c>
      <c r="AH536" t="s">
        <v>2842</v>
      </c>
      <c r="AI536" t="s">
        <v>493</v>
      </c>
    </row>
    <row r="537" spans="1:35" customFormat="1">
      <c r="A537" t="s">
        <v>23</v>
      </c>
      <c r="B537" t="s">
        <v>24</v>
      </c>
      <c r="C537" t="s">
        <v>179</v>
      </c>
      <c r="D537" t="s">
        <v>135</v>
      </c>
      <c r="E537" t="s">
        <v>2827</v>
      </c>
      <c r="F537" t="s">
        <v>931</v>
      </c>
      <c r="G537" t="s">
        <v>136</v>
      </c>
      <c r="H537" t="s">
        <v>146</v>
      </c>
      <c r="I537" t="s">
        <v>156</v>
      </c>
      <c r="J537" t="s">
        <v>26</v>
      </c>
      <c r="K537" t="s">
        <v>157</v>
      </c>
      <c r="L537" t="s">
        <v>162</v>
      </c>
      <c r="M537" t="s">
        <v>144</v>
      </c>
      <c r="N537" t="s">
        <v>2879</v>
      </c>
      <c r="O537">
        <v>1</v>
      </c>
      <c r="P537" t="s">
        <v>160</v>
      </c>
      <c r="R537">
        <v>819</v>
      </c>
      <c r="S537">
        <v>813.2</v>
      </c>
      <c r="T537" t="s">
        <v>493</v>
      </c>
      <c r="U537" t="s">
        <v>493</v>
      </c>
      <c r="V537" t="s">
        <v>27</v>
      </c>
      <c r="W537" t="s">
        <v>66</v>
      </c>
      <c r="X537" t="s">
        <v>67</v>
      </c>
      <c r="Y537" t="s">
        <v>2839</v>
      </c>
      <c r="AA537" t="s">
        <v>494</v>
      </c>
      <c r="AC537" t="s">
        <v>139</v>
      </c>
      <c r="AD537" t="s">
        <v>2880</v>
      </c>
      <c r="AF537" t="s">
        <v>2841</v>
      </c>
      <c r="AG537" t="s">
        <v>156</v>
      </c>
      <c r="AH537" t="s">
        <v>2842</v>
      </c>
      <c r="AI537" t="s">
        <v>493</v>
      </c>
    </row>
    <row r="538" spans="1:35" customFormat="1">
      <c r="A538" t="s">
        <v>23</v>
      </c>
      <c r="B538" t="s">
        <v>24</v>
      </c>
      <c r="C538" t="s">
        <v>179</v>
      </c>
      <c r="D538" t="s">
        <v>135</v>
      </c>
      <c r="E538" t="s">
        <v>2827</v>
      </c>
      <c r="F538" t="s">
        <v>931</v>
      </c>
      <c r="G538" t="s">
        <v>136</v>
      </c>
      <c r="H538" t="s">
        <v>146</v>
      </c>
      <c r="I538" t="s">
        <v>156</v>
      </c>
      <c r="J538" t="s">
        <v>26</v>
      </c>
      <c r="K538" t="s">
        <v>157</v>
      </c>
      <c r="L538" t="s">
        <v>162</v>
      </c>
      <c r="M538" t="s">
        <v>144</v>
      </c>
      <c r="N538" t="s">
        <v>2881</v>
      </c>
      <c r="O538">
        <v>1</v>
      </c>
      <c r="P538" t="s">
        <v>160</v>
      </c>
      <c r="R538">
        <v>821</v>
      </c>
      <c r="S538">
        <v>813.2</v>
      </c>
      <c r="T538" t="s">
        <v>493</v>
      </c>
      <c r="U538" t="s">
        <v>493</v>
      </c>
      <c r="V538" t="s">
        <v>27</v>
      </c>
      <c r="W538" t="s">
        <v>66</v>
      </c>
      <c r="X538" t="s">
        <v>67</v>
      </c>
      <c r="Y538" t="s">
        <v>2839</v>
      </c>
      <c r="AA538" t="s">
        <v>494</v>
      </c>
      <c r="AC538" t="s">
        <v>139</v>
      </c>
      <c r="AD538" t="s">
        <v>2882</v>
      </c>
      <c r="AF538" t="s">
        <v>2841</v>
      </c>
      <c r="AG538" t="s">
        <v>156</v>
      </c>
      <c r="AH538" t="s">
        <v>2842</v>
      </c>
      <c r="AI538" t="s">
        <v>493</v>
      </c>
    </row>
    <row r="539" spans="1:35" customFormat="1">
      <c r="A539" t="s">
        <v>23</v>
      </c>
      <c r="B539" t="s">
        <v>24</v>
      </c>
      <c r="C539" t="s">
        <v>179</v>
      </c>
      <c r="D539" t="s">
        <v>135</v>
      </c>
      <c r="E539" t="s">
        <v>2827</v>
      </c>
      <c r="F539" t="s">
        <v>931</v>
      </c>
      <c r="G539" t="s">
        <v>136</v>
      </c>
      <c r="H539" t="s">
        <v>146</v>
      </c>
      <c r="I539" t="s">
        <v>156</v>
      </c>
      <c r="J539" t="s">
        <v>26</v>
      </c>
      <c r="K539" t="s">
        <v>157</v>
      </c>
      <c r="L539" t="s">
        <v>162</v>
      </c>
      <c r="M539" t="s">
        <v>144</v>
      </c>
      <c r="N539" t="s">
        <v>2883</v>
      </c>
      <c r="O539">
        <v>1</v>
      </c>
      <c r="P539" t="s">
        <v>160</v>
      </c>
      <c r="R539">
        <v>821</v>
      </c>
      <c r="S539">
        <v>813.2</v>
      </c>
      <c r="T539" t="s">
        <v>493</v>
      </c>
      <c r="U539" t="s">
        <v>493</v>
      </c>
      <c r="V539" t="s">
        <v>27</v>
      </c>
      <c r="W539" t="s">
        <v>66</v>
      </c>
      <c r="X539" t="s">
        <v>67</v>
      </c>
      <c r="Y539" t="s">
        <v>2839</v>
      </c>
      <c r="AA539" t="s">
        <v>494</v>
      </c>
      <c r="AC539" t="s">
        <v>139</v>
      </c>
      <c r="AD539" t="s">
        <v>2884</v>
      </c>
      <c r="AF539" t="s">
        <v>2841</v>
      </c>
      <c r="AG539" t="s">
        <v>156</v>
      </c>
      <c r="AH539" t="s">
        <v>2842</v>
      </c>
      <c r="AI539" t="s">
        <v>493</v>
      </c>
    </row>
    <row r="540" spans="1:35" customFormat="1">
      <c r="A540" t="s">
        <v>23</v>
      </c>
      <c r="B540" t="s">
        <v>24</v>
      </c>
      <c r="C540" t="s">
        <v>179</v>
      </c>
      <c r="D540" t="s">
        <v>135</v>
      </c>
      <c r="E540" t="s">
        <v>2827</v>
      </c>
      <c r="F540" t="s">
        <v>931</v>
      </c>
      <c r="G540" t="s">
        <v>136</v>
      </c>
      <c r="H540" t="s">
        <v>146</v>
      </c>
      <c r="I540" t="s">
        <v>156</v>
      </c>
      <c r="J540" t="s">
        <v>26</v>
      </c>
      <c r="K540" t="s">
        <v>157</v>
      </c>
      <c r="L540" t="s">
        <v>162</v>
      </c>
      <c r="M540" t="s">
        <v>144</v>
      </c>
      <c r="N540" t="s">
        <v>2885</v>
      </c>
      <c r="O540">
        <v>1</v>
      </c>
      <c r="P540" t="s">
        <v>160</v>
      </c>
      <c r="R540">
        <v>821</v>
      </c>
      <c r="S540">
        <v>813.2</v>
      </c>
      <c r="T540" t="s">
        <v>493</v>
      </c>
      <c r="U540" t="s">
        <v>493</v>
      </c>
      <c r="V540" t="s">
        <v>27</v>
      </c>
      <c r="W540" t="s">
        <v>66</v>
      </c>
      <c r="X540" t="s">
        <v>67</v>
      </c>
      <c r="Y540" t="s">
        <v>2839</v>
      </c>
      <c r="AA540" t="s">
        <v>494</v>
      </c>
      <c r="AC540" t="s">
        <v>139</v>
      </c>
      <c r="AD540" t="s">
        <v>2886</v>
      </c>
      <c r="AF540" t="s">
        <v>2841</v>
      </c>
      <c r="AG540" t="s">
        <v>156</v>
      </c>
      <c r="AH540" t="s">
        <v>2842</v>
      </c>
      <c r="AI540" t="s">
        <v>493</v>
      </c>
    </row>
    <row r="541" spans="1:35" customFormat="1">
      <c r="A541" t="s">
        <v>23</v>
      </c>
      <c r="B541" t="s">
        <v>24</v>
      </c>
      <c r="C541" t="s">
        <v>179</v>
      </c>
      <c r="D541" t="s">
        <v>135</v>
      </c>
      <c r="E541" t="s">
        <v>2827</v>
      </c>
      <c r="F541" t="s">
        <v>931</v>
      </c>
      <c r="G541" t="s">
        <v>136</v>
      </c>
      <c r="H541" t="s">
        <v>146</v>
      </c>
      <c r="I541" t="s">
        <v>156</v>
      </c>
      <c r="J541" t="s">
        <v>26</v>
      </c>
      <c r="K541" t="s">
        <v>157</v>
      </c>
      <c r="L541" t="s">
        <v>162</v>
      </c>
      <c r="M541" t="s">
        <v>144</v>
      </c>
      <c r="N541" t="s">
        <v>2887</v>
      </c>
      <c r="O541">
        <v>1</v>
      </c>
      <c r="P541" t="s">
        <v>160</v>
      </c>
      <c r="R541">
        <v>821</v>
      </c>
      <c r="S541">
        <v>813.2</v>
      </c>
      <c r="T541" t="s">
        <v>493</v>
      </c>
      <c r="U541" t="s">
        <v>493</v>
      </c>
      <c r="V541" t="s">
        <v>27</v>
      </c>
      <c r="W541" t="s">
        <v>66</v>
      </c>
      <c r="X541" t="s">
        <v>67</v>
      </c>
      <c r="Y541" t="s">
        <v>2839</v>
      </c>
      <c r="AA541" t="s">
        <v>494</v>
      </c>
      <c r="AC541" t="s">
        <v>139</v>
      </c>
      <c r="AD541" t="s">
        <v>2888</v>
      </c>
      <c r="AF541" t="s">
        <v>2841</v>
      </c>
      <c r="AG541" t="s">
        <v>156</v>
      </c>
      <c r="AH541" t="s">
        <v>2842</v>
      </c>
      <c r="AI541" t="s">
        <v>493</v>
      </c>
    </row>
    <row r="542" spans="1:35" customFormat="1">
      <c r="A542" t="s">
        <v>23</v>
      </c>
      <c r="B542" t="s">
        <v>24</v>
      </c>
      <c r="C542" t="s">
        <v>179</v>
      </c>
      <c r="D542" t="s">
        <v>135</v>
      </c>
      <c r="E542" t="s">
        <v>2827</v>
      </c>
      <c r="F542" t="s">
        <v>931</v>
      </c>
      <c r="G542" t="s">
        <v>136</v>
      </c>
      <c r="H542" t="s">
        <v>146</v>
      </c>
      <c r="I542" t="s">
        <v>156</v>
      </c>
      <c r="J542" t="s">
        <v>26</v>
      </c>
      <c r="K542" t="s">
        <v>157</v>
      </c>
      <c r="L542" t="s">
        <v>162</v>
      </c>
      <c r="M542" t="s">
        <v>144</v>
      </c>
      <c r="N542" t="s">
        <v>2889</v>
      </c>
      <c r="O542">
        <v>1</v>
      </c>
      <c r="P542" t="s">
        <v>160</v>
      </c>
      <c r="R542">
        <v>821</v>
      </c>
      <c r="S542">
        <v>813.2</v>
      </c>
      <c r="T542" t="s">
        <v>493</v>
      </c>
      <c r="U542" t="s">
        <v>493</v>
      </c>
      <c r="V542" t="s">
        <v>27</v>
      </c>
      <c r="W542" t="s">
        <v>66</v>
      </c>
      <c r="X542" t="s">
        <v>67</v>
      </c>
      <c r="Y542" t="s">
        <v>2839</v>
      </c>
      <c r="AA542" t="s">
        <v>494</v>
      </c>
      <c r="AC542" t="s">
        <v>139</v>
      </c>
      <c r="AD542" t="s">
        <v>2890</v>
      </c>
      <c r="AF542" t="s">
        <v>2841</v>
      </c>
      <c r="AG542" t="s">
        <v>156</v>
      </c>
      <c r="AH542" t="s">
        <v>2842</v>
      </c>
      <c r="AI542" t="s">
        <v>493</v>
      </c>
    </row>
    <row r="543" spans="1:35" customFormat="1">
      <c r="A543" t="s">
        <v>23</v>
      </c>
      <c r="B543" t="s">
        <v>24</v>
      </c>
      <c r="C543" t="s">
        <v>179</v>
      </c>
      <c r="D543" t="s">
        <v>135</v>
      </c>
      <c r="E543" t="s">
        <v>2827</v>
      </c>
      <c r="F543" t="s">
        <v>931</v>
      </c>
      <c r="G543" t="s">
        <v>136</v>
      </c>
      <c r="H543" t="s">
        <v>146</v>
      </c>
      <c r="I543" t="s">
        <v>156</v>
      </c>
      <c r="J543" t="s">
        <v>26</v>
      </c>
      <c r="K543" t="s">
        <v>157</v>
      </c>
      <c r="L543" t="s">
        <v>162</v>
      </c>
      <c r="M543" t="s">
        <v>144</v>
      </c>
      <c r="N543" t="s">
        <v>2891</v>
      </c>
      <c r="O543">
        <v>1</v>
      </c>
      <c r="P543" t="s">
        <v>160</v>
      </c>
      <c r="R543">
        <v>820</v>
      </c>
      <c r="S543">
        <v>813.2</v>
      </c>
      <c r="T543" t="s">
        <v>493</v>
      </c>
      <c r="U543" t="s">
        <v>493</v>
      </c>
      <c r="V543" t="s">
        <v>27</v>
      </c>
      <c r="W543" t="s">
        <v>66</v>
      </c>
      <c r="X543" t="s">
        <v>67</v>
      </c>
      <c r="Y543" t="s">
        <v>2839</v>
      </c>
      <c r="AA543" t="s">
        <v>494</v>
      </c>
      <c r="AC543" t="s">
        <v>139</v>
      </c>
      <c r="AD543" t="s">
        <v>2892</v>
      </c>
      <c r="AF543" t="s">
        <v>2841</v>
      </c>
      <c r="AG543" t="s">
        <v>156</v>
      </c>
      <c r="AH543" t="s">
        <v>2842</v>
      </c>
      <c r="AI543" t="s">
        <v>493</v>
      </c>
    </row>
    <row r="544" spans="1:35" customFormat="1">
      <c r="A544" t="s">
        <v>23</v>
      </c>
      <c r="B544" t="s">
        <v>24</v>
      </c>
      <c r="C544" t="s">
        <v>179</v>
      </c>
      <c r="D544" t="s">
        <v>135</v>
      </c>
      <c r="E544" t="s">
        <v>2827</v>
      </c>
      <c r="F544" t="s">
        <v>931</v>
      </c>
      <c r="G544" t="s">
        <v>136</v>
      </c>
      <c r="H544" t="s">
        <v>146</v>
      </c>
      <c r="I544" t="s">
        <v>156</v>
      </c>
      <c r="J544" t="s">
        <v>26</v>
      </c>
      <c r="K544" t="s">
        <v>157</v>
      </c>
      <c r="L544" t="s">
        <v>162</v>
      </c>
      <c r="M544" t="s">
        <v>144</v>
      </c>
      <c r="N544" t="s">
        <v>2893</v>
      </c>
      <c r="O544">
        <v>1</v>
      </c>
      <c r="P544" t="s">
        <v>160</v>
      </c>
      <c r="R544">
        <v>821</v>
      </c>
      <c r="S544">
        <v>813.2</v>
      </c>
      <c r="T544" t="s">
        <v>493</v>
      </c>
      <c r="U544" t="s">
        <v>493</v>
      </c>
      <c r="V544" t="s">
        <v>27</v>
      </c>
      <c r="W544" t="s">
        <v>66</v>
      </c>
      <c r="X544" t="s">
        <v>67</v>
      </c>
      <c r="Y544" t="s">
        <v>2839</v>
      </c>
      <c r="AA544" t="s">
        <v>494</v>
      </c>
      <c r="AC544" t="s">
        <v>139</v>
      </c>
      <c r="AD544" t="s">
        <v>2894</v>
      </c>
      <c r="AF544" t="s">
        <v>2841</v>
      </c>
      <c r="AG544" t="s">
        <v>156</v>
      </c>
      <c r="AH544" t="s">
        <v>2842</v>
      </c>
      <c r="AI544" t="s">
        <v>493</v>
      </c>
    </row>
    <row r="545" spans="1:35" customFormat="1">
      <c r="A545" t="s">
        <v>23</v>
      </c>
      <c r="B545" t="s">
        <v>24</v>
      </c>
      <c r="C545" t="s">
        <v>179</v>
      </c>
      <c r="D545" t="s">
        <v>135</v>
      </c>
      <c r="E545" t="s">
        <v>2827</v>
      </c>
      <c r="F545" t="s">
        <v>931</v>
      </c>
      <c r="G545" t="s">
        <v>136</v>
      </c>
      <c r="H545" t="s">
        <v>146</v>
      </c>
      <c r="I545" t="s">
        <v>156</v>
      </c>
      <c r="J545" t="s">
        <v>26</v>
      </c>
      <c r="K545" t="s">
        <v>157</v>
      </c>
      <c r="L545" t="s">
        <v>162</v>
      </c>
      <c r="M545" t="s">
        <v>144</v>
      </c>
      <c r="N545" t="s">
        <v>2895</v>
      </c>
      <c r="O545">
        <v>1</v>
      </c>
      <c r="P545" t="s">
        <v>160</v>
      </c>
      <c r="R545">
        <v>817</v>
      </c>
      <c r="S545">
        <v>813.2</v>
      </c>
      <c r="T545" t="s">
        <v>493</v>
      </c>
      <c r="U545" t="s">
        <v>493</v>
      </c>
      <c r="V545" t="s">
        <v>27</v>
      </c>
      <c r="W545" t="s">
        <v>66</v>
      </c>
      <c r="X545" t="s">
        <v>67</v>
      </c>
      <c r="Y545" t="s">
        <v>2839</v>
      </c>
      <c r="AA545" t="s">
        <v>494</v>
      </c>
      <c r="AC545" t="s">
        <v>139</v>
      </c>
      <c r="AD545" t="s">
        <v>2896</v>
      </c>
      <c r="AF545" t="s">
        <v>2841</v>
      </c>
      <c r="AG545" t="s">
        <v>156</v>
      </c>
      <c r="AH545" t="s">
        <v>2842</v>
      </c>
      <c r="AI545" t="s">
        <v>493</v>
      </c>
    </row>
    <row r="546" spans="1:35" customFormat="1">
      <c r="A546" t="s">
        <v>23</v>
      </c>
      <c r="B546" t="s">
        <v>24</v>
      </c>
      <c r="C546" t="s">
        <v>179</v>
      </c>
      <c r="D546" t="s">
        <v>135</v>
      </c>
      <c r="E546" t="s">
        <v>2827</v>
      </c>
      <c r="F546" t="s">
        <v>931</v>
      </c>
      <c r="G546" t="s">
        <v>136</v>
      </c>
      <c r="H546" t="s">
        <v>146</v>
      </c>
      <c r="I546" t="s">
        <v>156</v>
      </c>
      <c r="J546" t="s">
        <v>26</v>
      </c>
      <c r="K546" t="s">
        <v>157</v>
      </c>
      <c r="L546" t="s">
        <v>162</v>
      </c>
      <c r="M546" t="s">
        <v>144</v>
      </c>
      <c r="N546" t="s">
        <v>2897</v>
      </c>
      <c r="O546">
        <v>1</v>
      </c>
      <c r="P546" t="s">
        <v>160</v>
      </c>
      <c r="R546">
        <v>819</v>
      </c>
      <c r="S546">
        <v>813.2</v>
      </c>
      <c r="T546" t="s">
        <v>493</v>
      </c>
      <c r="U546" t="s">
        <v>493</v>
      </c>
      <c r="V546" t="s">
        <v>27</v>
      </c>
      <c r="W546" t="s">
        <v>66</v>
      </c>
      <c r="X546" t="s">
        <v>67</v>
      </c>
      <c r="Y546" t="s">
        <v>2839</v>
      </c>
      <c r="AA546" t="s">
        <v>494</v>
      </c>
      <c r="AC546" t="s">
        <v>139</v>
      </c>
      <c r="AD546" t="s">
        <v>2898</v>
      </c>
      <c r="AF546" t="s">
        <v>2841</v>
      </c>
      <c r="AG546" t="s">
        <v>156</v>
      </c>
      <c r="AH546" t="s">
        <v>2842</v>
      </c>
      <c r="AI546" t="s">
        <v>493</v>
      </c>
    </row>
    <row r="547" spans="1:35" customFormat="1">
      <c r="A547" t="s">
        <v>23</v>
      </c>
      <c r="B547" t="s">
        <v>24</v>
      </c>
      <c r="C547" t="s">
        <v>179</v>
      </c>
      <c r="D547" t="s">
        <v>135</v>
      </c>
      <c r="E547" t="s">
        <v>2827</v>
      </c>
      <c r="F547" t="s">
        <v>931</v>
      </c>
      <c r="G547" t="s">
        <v>136</v>
      </c>
      <c r="H547" t="s">
        <v>146</v>
      </c>
      <c r="I547" t="s">
        <v>156</v>
      </c>
      <c r="J547" t="s">
        <v>26</v>
      </c>
      <c r="K547" t="s">
        <v>157</v>
      </c>
      <c r="L547" t="s">
        <v>162</v>
      </c>
      <c r="M547" t="s">
        <v>144</v>
      </c>
      <c r="N547" t="s">
        <v>2899</v>
      </c>
      <c r="O547">
        <v>1</v>
      </c>
      <c r="P547" t="s">
        <v>160</v>
      </c>
      <c r="R547">
        <v>815</v>
      </c>
      <c r="S547">
        <v>813.2</v>
      </c>
      <c r="T547" t="s">
        <v>493</v>
      </c>
      <c r="U547" t="s">
        <v>493</v>
      </c>
      <c r="V547" t="s">
        <v>27</v>
      </c>
      <c r="W547" t="s">
        <v>66</v>
      </c>
      <c r="X547" t="s">
        <v>67</v>
      </c>
      <c r="Y547" t="s">
        <v>2839</v>
      </c>
      <c r="AA547" t="s">
        <v>494</v>
      </c>
      <c r="AC547" t="s">
        <v>139</v>
      </c>
      <c r="AD547" t="s">
        <v>2900</v>
      </c>
      <c r="AF547" t="s">
        <v>2841</v>
      </c>
      <c r="AG547" t="s">
        <v>156</v>
      </c>
      <c r="AH547" t="s">
        <v>2842</v>
      </c>
      <c r="AI547" t="s">
        <v>493</v>
      </c>
    </row>
    <row r="548" spans="1:35" customFormat="1">
      <c r="A548" t="s">
        <v>23</v>
      </c>
      <c r="B548" t="s">
        <v>24</v>
      </c>
      <c r="C548" t="s">
        <v>179</v>
      </c>
      <c r="D548" t="s">
        <v>135</v>
      </c>
      <c r="E548" t="s">
        <v>2827</v>
      </c>
      <c r="F548" t="s">
        <v>931</v>
      </c>
      <c r="G548" t="s">
        <v>136</v>
      </c>
      <c r="H548" t="s">
        <v>146</v>
      </c>
      <c r="I548" t="s">
        <v>156</v>
      </c>
      <c r="J548" t="s">
        <v>26</v>
      </c>
      <c r="K548" t="s">
        <v>157</v>
      </c>
      <c r="L548" t="s">
        <v>162</v>
      </c>
      <c r="M548" t="s">
        <v>144</v>
      </c>
      <c r="N548" t="s">
        <v>2901</v>
      </c>
      <c r="O548">
        <v>1</v>
      </c>
      <c r="P548" t="s">
        <v>160</v>
      </c>
      <c r="R548">
        <v>819</v>
      </c>
      <c r="S548">
        <v>813.2</v>
      </c>
      <c r="T548" t="s">
        <v>493</v>
      </c>
      <c r="U548" t="s">
        <v>493</v>
      </c>
      <c r="V548" t="s">
        <v>27</v>
      </c>
      <c r="W548" t="s">
        <v>66</v>
      </c>
      <c r="X548" t="s">
        <v>67</v>
      </c>
      <c r="Y548" t="s">
        <v>2839</v>
      </c>
      <c r="AA548" t="s">
        <v>494</v>
      </c>
      <c r="AC548" t="s">
        <v>139</v>
      </c>
      <c r="AD548" t="s">
        <v>2902</v>
      </c>
      <c r="AF548" t="s">
        <v>2841</v>
      </c>
      <c r="AG548" t="s">
        <v>156</v>
      </c>
      <c r="AH548" t="s">
        <v>2842</v>
      </c>
      <c r="AI548" t="s">
        <v>493</v>
      </c>
    </row>
    <row r="549" spans="1:35" customFormat="1">
      <c r="A549" t="s">
        <v>23</v>
      </c>
      <c r="B549" t="s">
        <v>24</v>
      </c>
      <c r="C549" t="s">
        <v>179</v>
      </c>
      <c r="D549" t="s">
        <v>135</v>
      </c>
      <c r="E549" t="s">
        <v>2827</v>
      </c>
      <c r="F549" t="s">
        <v>931</v>
      </c>
      <c r="G549" t="s">
        <v>136</v>
      </c>
      <c r="H549" t="s">
        <v>146</v>
      </c>
      <c r="I549" t="s">
        <v>156</v>
      </c>
      <c r="J549" t="s">
        <v>26</v>
      </c>
      <c r="K549" t="s">
        <v>157</v>
      </c>
      <c r="L549" t="s">
        <v>162</v>
      </c>
      <c r="M549" t="s">
        <v>144</v>
      </c>
      <c r="N549" t="s">
        <v>2903</v>
      </c>
      <c r="O549">
        <v>1</v>
      </c>
      <c r="P549" t="s">
        <v>160</v>
      </c>
      <c r="R549">
        <v>818</v>
      </c>
      <c r="S549">
        <v>813.2</v>
      </c>
      <c r="T549" t="s">
        <v>493</v>
      </c>
      <c r="U549" t="s">
        <v>493</v>
      </c>
      <c r="V549" t="s">
        <v>27</v>
      </c>
      <c r="W549" t="s">
        <v>66</v>
      </c>
      <c r="X549" t="s">
        <v>67</v>
      </c>
      <c r="Y549" t="s">
        <v>2839</v>
      </c>
      <c r="AA549" t="s">
        <v>494</v>
      </c>
      <c r="AC549" t="s">
        <v>139</v>
      </c>
      <c r="AD549" t="s">
        <v>2904</v>
      </c>
      <c r="AF549" t="s">
        <v>2841</v>
      </c>
      <c r="AG549" t="s">
        <v>156</v>
      </c>
      <c r="AH549" t="s">
        <v>2842</v>
      </c>
      <c r="AI549" t="s">
        <v>493</v>
      </c>
    </row>
    <row r="550" spans="1:35" customFormat="1">
      <c r="A550" t="s">
        <v>23</v>
      </c>
      <c r="B550" t="s">
        <v>24</v>
      </c>
      <c r="C550" t="s">
        <v>179</v>
      </c>
      <c r="D550" t="s">
        <v>135</v>
      </c>
      <c r="E550" t="s">
        <v>2827</v>
      </c>
      <c r="F550" t="s">
        <v>931</v>
      </c>
      <c r="G550" t="s">
        <v>136</v>
      </c>
      <c r="H550" t="s">
        <v>146</v>
      </c>
      <c r="I550" t="s">
        <v>156</v>
      </c>
      <c r="J550" t="s">
        <v>26</v>
      </c>
      <c r="K550" t="s">
        <v>157</v>
      </c>
      <c r="L550" t="s">
        <v>162</v>
      </c>
      <c r="M550" t="s">
        <v>144</v>
      </c>
      <c r="N550" t="s">
        <v>2905</v>
      </c>
      <c r="O550">
        <v>1</v>
      </c>
      <c r="P550" t="s">
        <v>160</v>
      </c>
      <c r="R550">
        <v>819</v>
      </c>
      <c r="S550">
        <v>813.2</v>
      </c>
      <c r="T550" t="s">
        <v>493</v>
      </c>
      <c r="U550" t="s">
        <v>493</v>
      </c>
      <c r="V550" t="s">
        <v>27</v>
      </c>
      <c r="W550" t="s">
        <v>66</v>
      </c>
      <c r="X550" t="s">
        <v>67</v>
      </c>
      <c r="Y550" t="s">
        <v>2839</v>
      </c>
      <c r="AA550" t="s">
        <v>494</v>
      </c>
      <c r="AC550" t="s">
        <v>139</v>
      </c>
      <c r="AD550" t="s">
        <v>2906</v>
      </c>
      <c r="AF550" t="s">
        <v>2841</v>
      </c>
      <c r="AG550" t="s">
        <v>156</v>
      </c>
      <c r="AH550" t="s">
        <v>2842</v>
      </c>
      <c r="AI550" t="s">
        <v>493</v>
      </c>
    </row>
    <row r="551" spans="1:35" customFormat="1">
      <c r="A551" t="s">
        <v>23</v>
      </c>
      <c r="B551" t="s">
        <v>24</v>
      </c>
      <c r="C551" t="s">
        <v>179</v>
      </c>
      <c r="D551" t="s">
        <v>135</v>
      </c>
      <c r="E551" t="s">
        <v>2827</v>
      </c>
      <c r="F551" t="s">
        <v>931</v>
      </c>
      <c r="G551" t="s">
        <v>136</v>
      </c>
      <c r="H551" t="s">
        <v>146</v>
      </c>
      <c r="I551" t="s">
        <v>156</v>
      </c>
      <c r="J551" t="s">
        <v>26</v>
      </c>
      <c r="K551" t="s">
        <v>157</v>
      </c>
      <c r="L551" t="s">
        <v>162</v>
      </c>
      <c r="M551" t="s">
        <v>144</v>
      </c>
      <c r="N551" t="s">
        <v>2907</v>
      </c>
      <c r="O551">
        <v>1</v>
      </c>
      <c r="P551" t="s">
        <v>160</v>
      </c>
      <c r="R551">
        <v>817</v>
      </c>
      <c r="S551">
        <v>813.2</v>
      </c>
      <c r="T551" t="s">
        <v>493</v>
      </c>
      <c r="U551" t="s">
        <v>493</v>
      </c>
      <c r="V551" t="s">
        <v>27</v>
      </c>
      <c r="W551" t="s">
        <v>66</v>
      </c>
      <c r="X551" t="s">
        <v>67</v>
      </c>
      <c r="Y551" t="s">
        <v>2839</v>
      </c>
      <c r="AA551" t="s">
        <v>494</v>
      </c>
      <c r="AC551" t="s">
        <v>139</v>
      </c>
      <c r="AD551" t="s">
        <v>2908</v>
      </c>
      <c r="AF551" t="s">
        <v>2841</v>
      </c>
      <c r="AG551" t="s">
        <v>156</v>
      </c>
      <c r="AH551" t="s">
        <v>2842</v>
      </c>
      <c r="AI551" t="s">
        <v>493</v>
      </c>
    </row>
    <row r="552" spans="1:35" customFormat="1">
      <c r="A552" t="s">
        <v>23</v>
      </c>
      <c r="B552" t="s">
        <v>24</v>
      </c>
      <c r="C552" t="s">
        <v>179</v>
      </c>
      <c r="D552" t="s">
        <v>135</v>
      </c>
      <c r="E552" t="s">
        <v>2827</v>
      </c>
      <c r="F552" t="s">
        <v>931</v>
      </c>
      <c r="G552" t="s">
        <v>136</v>
      </c>
      <c r="H552" t="s">
        <v>146</v>
      </c>
      <c r="I552" t="s">
        <v>156</v>
      </c>
      <c r="J552" t="s">
        <v>26</v>
      </c>
      <c r="K552" t="s">
        <v>157</v>
      </c>
      <c r="L552" t="s">
        <v>162</v>
      </c>
      <c r="M552" t="s">
        <v>144</v>
      </c>
      <c r="N552" t="s">
        <v>2909</v>
      </c>
      <c r="O552">
        <v>1</v>
      </c>
      <c r="P552" t="s">
        <v>160</v>
      </c>
      <c r="R552">
        <v>817</v>
      </c>
      <c r="S552">
        <v>813.2</v>
      </c>
      <c r="T552" t="s">
        <v>493</v>
      </c>
      <c r="U552" t="s">
        <v>493</v>
      </c>
      <c r="V552" t="s">
        <v>27</v>
      </c>
      <c r="W552" t="s">
        <v>66</v>
      </c>
      <c r="X552" t="s">
        <v>67</v>
      </c>
      <c r="Y552" t="s">
        <v>2839</v>
      </c>
      <c r="AA552" t="s">
        <v>494</v>
      </c>
      <c r="AC552" t="s">
        <v>139</v>
      </c>
      <c r="AD552" t="s">
        <v>2910</v>
      </c>
      <c r="AF552" t="s">
        <v>2841</v>
      </c>
      <c r="AG552" t="s">
        <v>156</v>
      </c>
      <c r="AH552" t="s">
        <v>2842</v>
      </c>
      <c r="AI552" t="s">
        <v>493</v>
      </c>
    </row>
    <row r="553" spans="1:35" customFormat="1">
      <c r="A553" t="s">
        <v>23</v>
      </c>
      <c r="B553" t="s">
        <v>24</v>
      </c>
      <c r="C553" t="s">
        <v>179</v>
      </c>
      <c r="D553" t="s">
        <v>135</v>
      </c>
      <c r="E553" t="s">
        <v>2827</v>
      </c>
      <c r="F553" t="s">
        <v>931</v>
      </c>
      <c r="G553" t="s">
        <v>136</v>
      </c>
      <c r="H553" t="s">
        <v>146</v>
      </c>
      <c r="I553" t="s">
        <v>156</v>
      </c>
      <c r="J553" t="s">
        <v>26</v>
      </c>
      <c r="K553" t="s">
        <v>157</v>
      </c>
      <c r="L553" t="s">
        <v>162</v>
      </c>
      <c r="M553" t="s">
        <v>144</v>
      </c>
      <c r="N553" t="s">
        <v>2911</v>
      </c>
      <c r="O553">
        <v>1</v>
      </c>
      <c r="P553" t="s">
        <v>160</v>
      </c>
      <c r="R553">
        <v>821</v>
      </c>
      <c r="S553">
        <v>813.2</v>
      </c>
      <c r="T553" t="s">
        <v>493</v>
      </c>
      <c r="U553" t="s">
        <v>493</v>
      </c>
      <c r="V553" t="s">
        <v>27</v>
      </c>
      <c r="W553" t="s">
        <v>66</v>
      </c>
      <c r="X553" t="s">
        <v>67</v>
      </c>
      <c r="Y553" t="s">
        <v>2839</v>
      </c>
      <c r="AA553" t="s">
        <v>494</v>
      </c>
      <c r="AC553" t="s">
        <v>139</v>
      </c>
      <c r="AD553" t="s">
        <v>2912</v>
      </c>
      <c r="AF553" t="s">
        <v>2841</v>
      </c>
      <c r="AG553" t="s">
        <v>156</v>
      </c>
      <c r="AH553" t="s">
        <v>2842</v>
      </c>
      <c r="AI553" t="s">
        <v>493</v>
      </c>
    </row>
    <row r="554" spans="1:35" customFormat="1">
      <c r="A554" t="s">
        <v>23</v>
      </c>
      <c r="B554" t="s">
        <v>24</v>
      </c>
      <c r="C554" t="s">
        <v>179</v>
      </c>
      <c r="D554" t="s">
        <v>135</v>
      </c>
      <c r="E554" t="s">
        <v>2827</v>
      </c>
      <c r="F554" t="s">
        <v>931</v>
      </c>
      <c r="G554" t="s">
        <v>136</v>
      </c>
      <c r="H554" t="s">
        <v>146</v>
      </c>
      <c r="I554" t="s">
        <v>156</v>
      </c>
      <c r="J554" t="s">
        <v>26</v>
      </c>
      <c r="K554" t="s">
        <v>157</v>
      </c>
      <c r="L554" t="s">
        <v>162</v>
      </c>
      <c r="M554" t="s">
        <v>144</v>
      </c>
      <c r="N554" t="s">
        <v>2913</v>
      </c>
      <c r="O554">
        <v>1</v>
      </c>
      <c r="P554" t="s">
        <v>160</v>
      </c>
      <c r="R554">
        <v>821</v>
      </c>
      <c r="S554">
        <v>813.2</v>
      </c>
      <c r="T554" t="s">
        <v>493</v>
      </c>
      <c r="U554" t="s">
        <v>493</v>
      </c>
      <c r="V554" t="s">
        <v>27</v>
      </c>
      <c r="W554" t="s">
        <v>66</v>
      </c>
      <c r="X554" t="s">
        <v>67</v>
      </c>
      <c r="Y554" t="s">
        <v>2839</v>
      </c>
      <c r="AA554" t="s">
        <v>494</v>
      </c>
      <c r="AC554" t="s">
        <v>139</v>
      </c>
      <c r="AD554" t="s">
        <v>2914</v>
      </c>
      <c r="AF554" t="s">
        <v>2841</v>
      </c>
      <c r="AG554" t="s">
        <v>156</v>
      </c>
      <c r="AH554" t="s">
        <v>2842</v>
      </c>
      <c r="AI554" t="s">
        <v>493</v>
      </c>
    </row>
    <row r="555" spans="1:35" customFormat="1">
      <c r="A555" t="s">
        <v>23</v>
      </c>
      <c r="B555" t="s">
        <v>24</v>
      </c>
      <c r="C555" t="s">
        <v>179</v>
      </c>
      <c r="D555" t="s">
        <v>135</v>
      </c>
      <c r="E555" t="s">
        <v>2827</v>
      </c>
      <c r="F555" t="s">
        <v>931</v>
      </c>
      <c r="G555" t="s">
        <v>136</v>
      </c>
      <c r="H555" t="s">
        <v>146</v>
      </c>
      <c r="I555" t="s">
        <v>156</v>
      </c>
      <c r="J555" t="s">
        <v>26</v>
      </c>
      <c r="K555" t="s">
        <v>157</v>
      </c>
      <c r="L555" t="s">
        <v>162</v>
      </c>
      <c r="M555" t="s">
        <v>144</v>
      </c>
      <c r="N555" t="s">
        <v>2915</v>
      </c>
      <c r="O555">
        <v>1</v>
      </c>
      <c r="P555" t="s">
        <v>160</v>
      </c>
      <c r="R555">
        <v>819</v>
      </c>
      <c r="S555">
        <v>813.2</v>
      </c>
      <c r="T555" t="s">
        <v>493</v>
      </c>
      <c r="U555" t="s">
        <v>493</v>
      </c>
      <c r="V555" t="s">
        <v>27</v>
      </c>
      <c r="W555" t="s">
        <v>66</v>
      </c>
      <c r="X555" t="s">
        <v>67</v>
      </c>
      <c r="Y555" t="s">
        <v>2839</v>
      </c>
      <c r="AA555" t="s">
        <v>494</v>
      </c>
      <c r="AC555" t="s">
        <v>139</v>
      </c>
      <c r="AD555" t="s">
        <v>2916</v>
      </c>
      <c r="AF555" t="s">
        <v>2841</v>
      </c>
      <c r="AG555" t="s">
        <v>156</v>
      </c>
      <c r="AH555" t="s">
        <v>2842</v>
      </c>
      <c r="AI555" t="s">
        <v>493</v>
      </c>
    </row>
    <row r="556" spans="1:35" customFormat="1">
      <c r="A556" t="s">
        <v>23</v>
      </c>
      <c r="B556" t="s">
        <v>24</v>
      </c>
      <c r="C556" t="s">
        <v>179</v>
      </c>
      <c r="D556" t="s">
        <v>135</v>
      </c>
      <c r="E556" t="s">
        <v>2827</v>
      </c>
      <c r="F556" t="s">
        <v>931</v>
      </c>
      <c r="G556" t="s">
        <v>136</v>
      </c>
      <c r="H556" t="s">
        <v>146</v>
      </c>
      <c r="I556" t="s">
        <v>156</v>
      </c>
      <c r="J556" t="s">
        <v>26</v>
      </c>
      <c r="K556" t="s">
        <v>157</v>
      </c>
      <c r="L556" t="s">
        <v>162</v>
      </c>
      <c r="M556" t="s">
        <v>144</v>
      </c>
      <c r="N556" t="s">
        <v>2917</v>
      </c>
      <c r="O556">
        <v>1</v>
      </c>
      <c r="P556" t="s">
        <v>160</v>
      </c>
      <c r="R556">
        <v>821</v>
      </c>
      <c r="S556">
        <v>813.2</v>
      </c>
      <c r="T556" t="s">
        <v>493</v>
      </c>
      <c r="U556" t="s">
        <v>493</v>
      </c>
      <c r="V556" t="s">
        <v>27</v>
      </c>
      <c r="W556" t="s">
        <v>66</v>
      </c>
      <c r="X556" t="s">
        <v>67</v>
      </c>
      <c r="Y556" t="s">
        <v>2839</v>
      </c>
      <c r="AA556" t="s">
        <v>494</v>
      </c>
      <c r="AC556" t="s">
        <v>139</v>
      </c>
      <c r="AD556" t="s">
        <v>2918</v>
      </c>
      <c r="AF556" t="s">
        <v>2841</v>
      </c>
      <c r="AG556" t="s">
        <v>156</v>
      </c>
      <c r="AH556" t="s">
        <v>2842</v>
      </c>
      <c r="AI556" t="s">
        <v>493</v>
      </c>
    </row>
    <row r="557" spans="1:35" customFormat="1">
      <c r="A557" t="s">
        <v>23</v>
      </c>
      <c r="B557" t="s">
        <v>24</v>
      </c>
      <c r="C557" t="s">
        <v>179</v>
      </c>
      <c r="D557" t="s">
        <v>135</v>
      </c>
      <c r="E557" t="s">
        <v>2827</v>
      </c>
      <c r="F557" t="s">
        <v>931</v>
      </c>
      <c r="G557" t="s">
        <v>136</v>
      </c>
      <c r="H557" t="s">
        <v>146</v>
      </c>
      <c r="I557" t="s">
        <v>156</v>
      </c>
      <c r="J557" t="s">
        <v>26</v>
      </c>
      <c r="K557" t="s">
        <v>157</v>
      </c>
      <c r="L557" t="s">
        <v>162</v>
      </c>
      <c r="M557" t="s">
        <v>144</v>
      </c>
      <c r="N557" t="s">
        <v>2919</v>
      </c>
      <c r="O557">
        <v>1</v>
      </c>
      <c r="P557" t="s">
        <v>160</v>
      </c>
      <c r="R557">
        <v>815</v>
      </c>
      <c r="S557">
        <v>813.2</v>
      </c>
      <c r="T557" t="s">
        <v>493</v>
      </c>
      <c r="U557" t="s">
        <v>493</v>
      </c>
      <c r="V557" t="s">
        <v>27</v>
      </c>
      <c r="W557" t="s">
        <v>66</v>
      </c>
      <c r="X557" t="s">
        <v>67</v>
      </c>
      <c r="Y557" t="s">
        <v>2839</v>
      </c>
      <c r="AA557" t="s">
        <v>494</v>
      </c>
      <c r="AC557" t="s">
        <v>139</v>
      </c>
      <c r="AD557" t="s">
        <v>2920</v>
      </c>
      <c r="AF557" t="s">
        <v>2841</v>
      </c>
      <c r="AG557" t="s">
        <v>156</v>
      </c>
      <c r="AH557" t="s">
        <v>2842</v>
      </c>
      <c r="AI557" t="s">
        <v>493</v>
      </c>
    </row>
    <row r="558" spans="1:35" customFormat="1">
      <c r="A558" t="s">
        <v>23</v>
      </c>
      <c r="B558" t="s">
        <v>24</v>
      </c>
      <c r="C558" t="s">
        <v>179</v>
      </c>
      <c r="D558" t="s">
        <v>135</v>
      </c>
      <c r="E558" t="s">
        <v>2827</v>
      </c>
      <c r="F558" t="s">
        <v>931</v>
      </c>
      <c r="G558" t="s">
        <v>136</v>
      </c>
      <c r="H558" t="s">
        <v>146</v>
      </c>
      <c r="I558" t="s">
        <v>156</v>
      </c>
      <c r="J558" t="s">
        <v>26</v>
      </c>
      <c r="K558" t="s">
        <v>157</v>
      </c>
      <c r="L558" t="s">
        <v>162</v>
      </c>
      <c r="M558" t="s">
        <v>144</v>
      </c>
      <c r="N558" t="s">
        <v>2921</v>
      </c>
      <c r="O558">
        <v>1</v>
      </c>
      <c r="P558" t="s">
        <v>160</v>
      </c>
      <c r="R558">
        <v>821</v>
      </c>
      <c r="S558">
        <v>813.2</v>
      </c>
      <c r="T558" t="s">
        <v>493</v>
      </c>
      <c r="U558" t="s">
        <v>493</v>
      </c>
      <c r="V558" t="s">
        <v>27</v>
      </c>
      <c r="W558" t="s">
        <v>66</v>
      </c>
      <c r="X558" t="s">
        <v>67</v>
      </c>
      <c r="Y558" t="s">
        <v>2839</v>
      </c>
      <c r="AA558" t="s">
        <v>494</v>
      </c>
      <c r="AC558" t="s">
        <v>139</v>
      </c>
      <c r="AD558" t="s">
        <v>2922</v>
      </c>
      <c r="AF558" t="s">
        <v>2841</v>
      </c>
      <c r="AG558" t="s">
        <v>156</v>
      </c>
      <c r="AH558" t="s">
        <v>2842</v>
      </c>
      <c r="AI558" t="s">
        <v>493</v>
      </c>
    </row>
    <row r="559" spans="1:35" customFormat="1">
      <c r="A559" t="s">
        <v>23</v>
      </c>
      <c r="B559" t="s">
        <v>24</v>
      </c>
      <c r="C559" t="s">
        <v>179</v>
      </c>
      <c r="D559" t="s">
        <v>135</v>
      </c>
      <c r="E559" t="s">
        <v>2827</v>
      </c>
      <c r="F559" t="s">
        <v>931</v>
      </c>
      <c r="G559" t="s">
        <v>136</v>
      </c>
      <c r="H559" t="s">
        <v>146</v>
      </c>
      <c r="I559" t="s">
        <v>156</v>
      </c>
      <c r="J559" t="s">
        <v>26</v>
      </c>
      <c r="K559" t="s">
        <v>157</v>
      </c>
      <c r="L559" t="s">
        <v>162</v>
      </c>
      <c r="M559" t="s">
        <v>144</v>
      </c>
      <c r="N559" t="s">
        <v>2923</v>
      </c>
      <c r="O559">
        <v>1</v>
      </c>
      <c r="P559" t="s">
        <v>160</v>
      </c>
      <c r="R559">
        <v>819</v>
      </c>
      <c r="S559">
        <v>813.2</v>
      </c>
      <c r="T559" t="s">
        <v>493</v>
      </c>
      <c r="U559" t="s">
        <v>493</v>
      </c>
      <c r="V559" t="s">
        <v>27</v>
      </c>
      <c r="W559" t="s">
        <v>66</v>
      </c>
      <c r="X559" t="s">
        <v>67</v>
      </c>
      <c r="Y559" t="s">
        <v>2839</v>
      </c>
      <c r="AA559" t="s">
        <v>494</v>
      </c>
      <c r="AC559" t="s">
        <v>139</v>
      </c>
      <c r="AD559" t="s">
        <v>2924</v>
      </c>
      <c r="AF559" t="s">
        <v>2841</v>
      </c>
      <c r="AG559" t="s">
        <v>156</v>
      </c>
      <c r="AH559" t="s">
        <v>2842</v>
      </c>
      <c r="AI559" t="s">
        <v>493</v>
      </c>
    </row>
    <row r="560" spans="1:35" customFormat="1">
      <c r="A560" t="s">
        <v>23</v>
      </c>
      <c r="B560" t="s">
        <v>24</v>
      </c>
      <c r="C560" t="s">
        <v>179</v>
      </c>
      <c r="D560" t="s">
        <v>135</v>
      </c>
      <c r="E560" t="s">
        <v>2827</v>
      </c>
      <c r="F560" t="s">
        <v>931</v>
      </c>
      <c r="G560" t="s">
        <v>136</v>
      </c>
      <c r="H560" t="s">
        <v>146</v>
      </c>
      <c r="I560" t="s">
        <v>156</v>
      </c>
      <c r="J560" t="s">
        <v>26</v>
      </c>
      <c r="K560" t="s">
        <v>157</v>
      </c>
      <c r="L560" t="s">
        <v>162</v>
      </c>
      <c r="M560" t="s">
        <v>144</v>
      </c>
      <c r="N560" t="s">
        <v>2925</v>
      </c>
      <c r="O560">
        <v>1</v>
      </c>
      <c r="P560" t="s">
        <v>160</v>
      </c>
      <c r="R560">
        <v>821</v>
      </c>
      <c r="S560">
        <v>813.2</v>
      </c>
      <c r="T560" t="s">
        <v>493</v>
      </c>
      <c r="U560" t="s">
        <v>493</v>
      </c>
      <c r="V560" t="s">
        <v>27</v>
      </c>
      <c r="W560" t="s">
        <v>66</v>
      </c>
      <c r="X560" t="s">
        <v>67</v>
      </c>
      <c r="Y560" t="s">
        <v>2839</v>
      </c>
      <c r="AA560" t="s">
        <v>494</v>
      </c>
      <c r="AC560" t="s">
        <v>139</v>
      </c>
      <c r="AD560" t="s">
        <v>2926</v>
      </c>
      <c r="AF560" t="s">
        <v>2841</v>
      </c>
      <c r="AG560" t="s">
        <v>156</v>
      </c>
      <c r="AH560" t="s">
        <v>2842</v>
      </c>
      <c r="AI560" t="s">
        <v>493</v>
      </c>
    </row>
    <row r="561" spans="1:37" customFormat="1">
      <c r="A561" t="s">
        <v>23</v>
      </c>
      <c r="B561" t="s">
        <v>24</v>
      </c>
      <c r="C561" t="s">
        <v>177</v>
      </c>
      <c r="D561" t="s">
        <v>135</v>
      </c>
      <c r="E561" t="s">
        <v>1819</v>
      </c>
      <c r="F561" t="s">
        <v>931</v>
      </c>
      <c r="G561" t="s">
        <v>136</v>
      </c>
      <c r="H561" t="s">
        <v>146</v>
      </c>
      <c r="I561" t="s">
        <v>156</v>
      </c>
      <c r="J561" t="s">
        <v>25</v>
      </c>
      <c r="K561" t="s">
        <v>157</v>
      </c>
      <c r="L561" t="s">
        <v>143</v>
      </c>
      <c r="M561" t="s">
        <v>144</v>
      </c>
      <c r="N561" t="s">
        <v>1820</v>
      </c>
      <c r="O561">
        <v>11</v>
      </c>
      <c r="P561" t="s">
        <v>159</v>
      </c>
      <c r="R561">
        <v>254</v>
      </c>
      <c r="S561">
        <v>223.63</v>
      </c>
      <c r="T561" t="s">
        <v>145</v>
      </c>
      <c r="U561" t="s">
        <v>988</v>
      </c>
      <c r="V561" t="s">
        <v>27</v>
      </c>
      <c r="W561" t="s">
        <v>66</v>
      </c>
      <c r="X561" t="s">
        <v>67</v>
      </c>
      <c r="Y561" t="s">
        <v>138</v>
      </c>
      <c r="AA561" t="s">
        <v>494</v>
      </c>
      <c r="AC561" t="s">
        <v>139</v>
      </c>
      <c r="AD561" t="s">
        <v>1821</v>
      </c>
      <c r="AG561" t="s">
        <v>156</v>
      </c>
      <c r="AH561" t="s">
        <v>68</v>
      </c>
      <c r="AI561" t="s">
        <v>493</v>
      </c>
    </row>
    <row r="562" spans="1:37" customFormat="1">
      <c r="A562" t="s">
        <v>23</v>
      </c>
      <c r="B562" t="s">
        <v>24</v>
      </c>
      <c r="C562" t="s">
        <v>934</v>
      </c>
      <c r="D562" t="s">
        <v>135</v>
      </c>
      <c r="E562" t="s">
        <v>1822</v>
      </c>
      <c r="F562" t="s">
        <v>931</v>
      </c>
      <c r="G562" t="s">
        <v>136</v>
      </c>
      <c r="H562" t="s">
        <v>1823</v>
      </c>
      <c r="I562" t="s">
        <v>71</v>
      </c>
      <c r="J562" t="s">
        <v>72</v>
      </c>
      <c r="K562" t="s">
        <v>65</v>
      </c>
      <c r="L562" t="s">
        <v>143</v>
      </c>
      <c r="M562" t="s">
        <v>144</v>
      </c>
      <c r="N562" t="s">
        <v>1824</v>
      </c>
      <c r="O562">
        <v>1150</v>
      </c>
      <c r="P562" t="s">
        <v>35</v>
      </c>
      <c r="R562">
        <v>1153</v>
      </c>
      <c r="S562">
        <v>1150</v>
      </c>
      <c r="T562" t="s">
        <v>1817</v>
      </c>
      <c r="U562" t="s">
        <v>1818</v>
      </c>
      <c r="V562" t="s">
        <v>27</v>
      </c>
      <c r="W562" t="s">
        <v>2230</v>
      </c>
      <c r="X562" t="s">
        <v>67</v>
      </c>
      <c r="Y562" t="s">
        <v>138</v>
      </c>
      <c r="AA562" t="s">
        <v>494</v>
      </c>
      <c r="AC562" t="s">
        <v>139</v>
      </c>
      <c r="AD562" t="s">
        <v>1825</v>
      </c>
      <c r="AG562" t="s">
        <v>71</v>
      </c>
      <c r="AH562" t="s">
        <v>68</v>
      </c>
      <c r="AI562" t="s">
        <v>493</v>
      </c>
    </row>
    <row r="563" spans="1:37" customFormat="1">
      <c r="A563" t="s">
        <v>23</v>
      </c>
      <c r="B563" t="s">
        <v>24</v>
      </c>
      <c r="C563" t="s">
        <v>934</v>
      </c>
      <c r="D563" t="s">
        <v>135</v>
      </c>
      <c r="E563" t="s">
        <v>1822</v>
      </c>
      <c r="F563" t="s">
        <v>931</v>
      </c>
      <c r="G563" t="s">
        <v>136</v>
      </c>
      <c r="H563" t="s">
        <v>1823</v>
      </c>
      <c r="I563" t="s">
        <v>71</v>
      </c>
      <c r="J563" t="s">
        <v>72</v>
      </c>
      <c r="K563" t="s">
        <v>65</v>
      </c>
      <c r="L563" t="s">
        <v>143</v>
      </c>
      <c r="M563" t="s">
        <v>144</v>
      </c>
      <c r="N563" t="s">
        <v>1826</v>
      </c>
      <c r="O563">
        <v>1143</v>
      </c>
      <c r="P563" t="s">
        <v>35</v>
      </c>
      <c r="R563">
        <v>1146</v>
      </c>
      <c r="S563">
        <v>1143</v>
      </c>
      <c r="T563" t="s">
        <v>1817</v>
      </c>
      <c r="U563" t="s">
        <v>1818</v>
      </c>
      <c r="V563" t="s">
        <v>27</v>
      </c>
      <c r="W563" t="s">
        <v>2230</v>
      </c>
      <c r="X563" t="s">
        <v>67</v>
      </c>
      <c r="Y563" t="s">
        <v>138</v>
      </c>
      <c r="AA563" t="s">
        <v>494</v>
      </c>
      <c r="AC563" t="s">
        <v>139</v>
      </c>
      <c r="AD563" t="s">
        <v>1827</v>
      </c>
      <c r="AG563" t="s">
        <v>71</v>
      </c>
      <c r="AH563" t="s">
        <v>68</v>
      </c>
      <c r="AI563" t="s">
        <v>493</v>
      </c>
    </row>
    <row r="564" spans="1:37" customFormat="1">
      <c r="A564" t="s">
        <v>23</v>
      </c>
      <c r="B564" t="s">
        <v>24</v>
      </c>
      <c r="C564" t="s">
        <v>179</v>
      </c>
      <c r="D564" t="s">
        <v>135</v>
      </c>
      <c r="E564" t="s">
        <v>1828</v>
      </c>
      <c r="F564" t="s">
        <v>931</v>
      </c>
      <c r="G564" t="s">
        <v>136</v>
      </c>
      <c r="H564" t="s">
        <v>146</v>
      </c>
      <c r="I564" t="s">
        <v>156</v>
      </c>
      <c r="J564" t="s">
        <v>26</v>
      </c>
      <c r="K564" t="s">
        <v>157</v>
      </c>
      <c r="L564" t="s">
        <v>143</v>
      </c>
      <c r="M564" t="s">
        <v>144</v>
      </c>
      <c r="N564" t="s">
        <v>1829</v>
      </c>
      <c r="O564">
        <v>1</v>
      </c>
      <c r="P564" t="s">
        <v>160</v>
      </c>
      <c r="R564">
        <v>793</v>
      </c>
      <c r="S564">
        <v>792</v>
      </c>
      <c r="T564" t="s">
        <v>145</v>
      </c>
      <c r="U564" t="s">
        <v>173</v>
      </c>
      <c r="V564" t="s">
        <v>27</v>
      </c>
      <c r="W564" t="s">
        <v>66</v>
      </c>
      <c r="X564" t="s">
        <v>67</v>
      </c>
      <c r="Y564" t="s">
        <v>138</v>
      </c>
      <c r="AA564" t="s">
        <v>494</v>
      </c>
      <c r="AC564" t="s">
        <v>139</v>
      </c>
      <c r="AD564" t="s">
        <v>1830</v>
      </c>
      <c r="AG564" t="s">
        <v>156</v>
      </c>
      <c r="AH564" t="s">
        <v>68</v>
      </c>
      <c r="AI564" t="s">
        <v>493</v>
      </c>
      <c r="AK564" t="s">
        <v>1831</v>
      </c>
    </row>
    <row r="565" spans="1:37" customFormat="1">
      <c r="A565" t="s">
        <v>23</v>
      </c>
      <c r="B565" t="s">
        <v>24</v>
      </c>
      <c r="C565" t="s">
        <v>179</v>
      </c>
      <c r="D565" t="s">
        <v>135</v>
      </c>
      <c r="E565" t="s">
        <v>1828</v>
      </c>
      <c r="F565" t="s">
        <v>931</v>
      </c>
      <c r="G565" t="s">
        <v>136</v>
      </c>
      <c r="H565" t="s">
        <v>146</v>
      </c>
      <c r="I565" t="s">
        <v>156</v>
      </c>
      <c r="J565" t="s">
        <v>26</v>
      </c>
      <c r="K565" t="s">
        <v>157</v>
      </c>
      <c r="L565" t="s">
        <v>143</v>
      </c>
      <c r="M565" t="s">
        <v>144</v>
      </c>
      <c r="N565" t="s">
        <v>1832</v>
      </c>
      <c r="O565">
        <v>1</v>
      </c>
      <c r="P565" t="s">
        <v>160</v>
      </c>
      <c r="R565">
        <v>793</v>
      </c>
      <c r="S565">
        <v>792</v>
      </c>
      <c r="T565" t="s">
        <v>145</v>
      </c>
      <c r="U565" t="s">
        <v>173</v>
      </c>
      <c r="V565" t="s">
        <v>27</v>
      </c>
      <c r="W565" t="s">
        <v>66</v>
      </c>
      <c r="X565" t="s">
        <v>67</v>
      </c>
      <c r="Y565" t="s">
        <v>138</v>
      </c>
      <c r="AA565" t="s">
        <v>494</v>
      </c>
      <c r="AC565" t="s">
        <v>139</v>
      </c>
      <c r="AD565" t="s">
        <v>1833</v>
      </c>
      <c r="AG565" t="s">
        <v>156</v>
      </c>
      <c r="AH565" t="s">
        <v>68</v>
      </c>
      <c r="AI565" t="s">
        <v>493</v>
      </c>
      <c r="AK565" t="s">
        <v>1834</v>
      </c>
    </row>
    <row r="566" spans="1:37" customFormat="1">
      <c r="A566" t="s">
        <v>23</v>
      </c>
      <c r="B566" t="s">
        <v>24</v>
      </c>
      <c r="C566" t="s">
        <v>934</v>
      </c>
      <c r="D566" t="s">
        <v>135</v>
      </c>
      <c r="E566" t="s">
        <v>1822</v>
      </c>
      <c r="F566" t="s">
        <v>931</v>
      </c>
      <c r="G566" t="s">
        <v>136</v>
      </c>
      <c r="H566" t="s">
        <v>1823</v>
      </c>
      <c r="I566" t="s">
        <v>71</v>
      </c>
      <c r="J566" t="s">
        <v>72</v>
      </c>
      <c r="K566" t="s">
        <v>65</v>
      </c>
      <c r="L566" t="s">
        <v>143</v>
      </c>
      <c r="M566" t="s">
        <v>144</v>
      </c>
      <c r="N566" t="s">
        <v>1835</v>
      </c>
      <c r="O566">
        <v>1150</v>
      </c>
      <c r="P566" t="s">
        <v>35</v>
      </c>
      <c r="R566">
        <v>1153</v>
      </c>
      <c r="S566">
        <v>1150</v>
      </c>
      <c r="T566" t="s">
        <v>1817</v>
      </c>
      <c r="U566" t="s">
        <v>1818</v>
      </c>
      <c r="V566" t="s">
        <v>27</v>
      </c>
      <c r="W566" t="s">
        <v>2230</v>
      </c>
      <c r="X566" t="s">
        <v>67</v>
      </c>
      <c r="Y566" t="s">
        <v>138</v>
      </c>
      <c r="AA566" t="s">
        <v>494</v>
      </c>
      <c r="AC566" t="s">
        <v>139</v>
      </c>
      <c r="AD566" t="s">
        <v>1836</v>
      </c>
      <c r="AG566" t="s">
        <v>71</v>
      </c>
      <c r="AH566" t="s">
        <v>68</v>
      </c>
      <c r="AI566" t="s">
        <v>493</v>
      </c>
    </row>
    <row r="567" spans="1:37" customFormat="1">
      <c r="A567" t="s">
        <v>23</v>
      </c>
      <c r="B567" t="s">
        <v>24</v>
      </c>
      <c r="C567" t="s">
        <v>179</v>
      </c>
      <c r="D567" t="s">
        <v>135</v>
      </c>
      <c r="E567" t="s">
        <v>1828</v>
      </c>
      <c r="F567" t="s">
        <v>931</v>
      </c>
      <c r="G567" t="s">
        <v>136</v>
      </c>
      <c r="H567" t="s">
        <v>146</v>
      </c>
      <c r="I567" t="s">
        <v>156</v>
      </c>
      <c r="J567" t="s">
        <v>26</v>
      </c>
      <c r="K567" t="s">
        <v>157</v>
      </c>
      <c r="L567" t="s">
        <v>143</v>
      </c>
      <c r="M567" t="s">
        <v>144</v>
      </c>
      <c r="N567" t="s">
        <v>1837</v>
      </c>
      <c r="O567">
        <v>1</v>
      </c>
      <c r="P567" t="s">
        <v>160</v>
      </c>
      <c r="R567">
        <v>796</v>
      </c>
      <c r="S567">
        <v>792</v>
      </c>
      <c r="T567" t="s">
        <v>145</v>
      </c>
      <c r="U567" t="s">
        <v>173</v>
      </c>
      <c r="V567" t="s">
        <v>27</v>
      </c>
      <c r="W567" t="s">
        <v>66</v>
      </c>
      <c r="X567" t="s">
        <v>67</v>
      </c>
      <c r="Y567" t="s">
        <v>138</v>
      </c>
      <c r="AA567" t="s">
        <v>494</v>
      </c>
      <c r="AC567" t="s">
        <v>139</v>
      </c>
      <c r="AD567" t="s">
        <v>1838</v>
      </c>
      <c r="AG567" t="s">
        <v>156</v>
      </c>
      <c r="AH567" t="s">
        <v>68</v>
      </c>
      <c r="AI567" t="s">
        <v>493</v>
      </c>
      <c r="AK567" t="s">
        <v>1839</v>
      </c>
    </row>
    <row r="568" spans="1:37" customFormat="1">
      <c r="A568" t="s">
        <v>23</v>
      </c>
      <c r="B568" t="s">
        <v>24</v>
      </c>
      <c r="C568" t="s">
        <v>179</v>
      </c>
      <c r="D568" t="s">
        <v>135</v>
      </c>
      <c r="E568" t="s">
        <v>1828</v>
      </c>
      <c r="F568" t="s">
        <v>931</v>
      </c>
      <c r="G568" t="s">
        <v>136</v>
      </c>
      <c r="H568" t="s">
        <v>146</v>
      </c>
      <c r="I568" t="s">
        <v>156</v>
      </c>
      <c r="J568" t="s">
        <v>26</v>
      </c>
      <c r="K568" t="s">
        <v>157</v>
      </c>
      <c r="L568" t="s">
        <v>143</v>
      </c>
      <c r="M568" t="s">
        <v>144</v>
      </c>
      <c r="N568" t="s">
        <v>1840</v>
      </c>
      <c r="O568">
        <v>1</v>
      </c>
      <c r="P568" t="s">
        <v>160</v>
      </c>
      <c r="R568">
        <v>798</v>
      </c>
      <c r="S568">
        <v>792</v>
      </c>
      <c r="T568" t="s">
        <v>145</v>
      </c>
      <c r="U568" t="s">
        <v>173</v>
      </c>
      <c r="V568" t="s">
        <v>27</v>
      </c>
      <c r="W568" t="s">
        <v>66</v>
      </c>
      <c r="X568" t="s">
        <v>67</v>
      </c>
      <c r="Y568" t="s">
        <v>138</v>
      </c>
      <c r="AA568" t="s">
        <v>494</v>
      </c>
      <c r="AC568" t="s">
        <v>139</v>
      </c>
      <c r="AD568" t="s">
        <v>1841</v>
      </c>
      <c r="AG568" t="s">
        <v>156</v>
      </c>
      <c r="AH568" t="s">
        <v>68</v>
      </c>
      <c r="AI568" t="s">
        <v>493</v>
      </c>
      <c r="AK568" t="s">
        <v>1842</v>
      </c>
    </row>
    <row r="569" spans="1:37" customFormat="1">
      <c r="A569" t="s">
        <v>23</v>
      </c>
      <c r="B569" t="s">
        <v>24</v>
      </c>
      <c r="C569" t="s">
        <v>179</v>
      </c>
      <c r="D569" t="s">
        <v>135</v>
      </c>
      <c r="E569" t="s">
        <v>1828</v>
      </c>
      <c r="F569" t="s">
        <v>931</v>
      </c>
      <c r="G569" t="s">
        <v>136</v>
      </c>
      <c r="H569" t="s">
        <v>146</v>
      </c>
      <c r="I569" t="s">
        <v>156</v>
      </c>
      <c r="J569" t="s">
        <v>26</v>
      </c>
      <c r="K569" t="s">
        <v>157</v>
      </c>
      <c r="L569" t="s">
        <v>143</v>
      </c>
      <c r="M569" t="s">
        <v>144</v>
      </c>
      <c r="N569" t="s">
        <v>1843</v>
      </c>
      <c r="O569">
        <v>1</v>
      </c>
      <c r="P569" t="s">
        <v>160</v>
      </c>
      <c r="R569">
        <v>796</v>
      </c>
      <c r="S569">
        <v>792</v>
      </c>
      <c r="T569" t="s">
        <v>145</v>
      </c>
      <c r="U569" t="s">
        <v>173</v>
      </c>
      <c r="V569" t="s">
        <v>27</v>
      </c>
      <c r="W569" t="s">
        <v>66</v>
      </c>
      <c r="X569" t="s">
        <v>67</v>
      </c>
      <c r="Y569" t="s">
        <v>138</v>
      </c>
      <c r="AA569" t="s">
        <v>494</v>
      </c>
      <c r="AC569" t="s">
        <v>139</v>
      </c>
      <c r="AD569" t="s">
        <v>1844</v>
      </c>
      <c r="AG569" t="s">
        <v>156</v>
      </c>
      <c r="AH569" t="s">
        <v>68</v>
      </c>
      <c r="AI569" t="s">
        <v>493</v>
      </c>
      <c r="AK569" t="s">
        <v>1845</v>
      </c>
    </row>
    <row r="570" spans="1:37" customFormat="1">
      <c r="A570" t="s">
        <v>23</v>
      </c>
      <c r="B570" t="s">
        <v>24</v>
      </c>
      <c r="C570" t="s">
        <v>934</v>
      </c>
      <c r="D570" t="s">
        <v>135</v>
      </c>
      <c r="E570" t="s">
        <v>1822</v>
      </c>
      <c r="F570" t="s">
        <v>931</v>
      </c>
      <c r="G570" t="s">
        <v>136</v>
      </c>
      <c r="H570" t="s">
        <v>1823</v>
      </c>
      <c r="I570" t="s">
        <v>71</v>
      </c>
      <c r="J570" t="s">
        <v>72</v>
      </c>
      <c r="K570" t="s">
        <v>65</v>
      </c>
      <c r="L570" t="s">
        <v>143</v>
      </c>
      <c r="M570" t="s">
        <v>144</v>
      </c>
      <c r="N570" t="s">
        <v>1846</v>
      </c>
      <c r="O570">
        <v>1141</v>
      </c>
      <c r="P570" t="s">
        <v>35</v>
      </c>
      <c r="R570">
        <v>1144</v>
      </c>
      <c r="S570">
        <v>1141</v>
      </c>
      <c r="T570" t="s">
        <v>1817</v>
      </c>
      <c r="U570" t="s">
        <v>1818</v>
      </c>
      <c r="V570" t="s">
        <v>27</v>
      </c>
      <c r="W570" t="s">
        <v>2230</v>
      </c>
      <c r="X570" t="s">
        <v>67</v>
      </c>
      <c r="Y570" t="s">
        <v>138</v>
      </c>
      <c r="AA570" t="s">
        <v>494</v>
      </c>
      <c r="AC570" t="s">
        <v>139</v>
      </c>
      <c r="AD570" t="s">
        <v>1847</v>
      </c>
      <c r="AG570" t="s">
        <v>71</v>
      </c>
      <c r="AH570" t="s">
        <v>68</v>
      </c>
      <c r="AI570" t="s">
        <v>493</v>
      </c>
    </row>
    <row r="571" spans="1:37" customFormat="1">
      <c r="A571" t="s">
        <v>23</v>
      </c>
      <c r="B571" t="s">
        <v>24</v>
      </c>
      <c r="C571" t="s">
        <v>179</v>
      </c>
      <c r="D571" t="s">
        <v>135</v>
      </c>
      <c r="E571" t="s">
        <v>1828</v>
      </c>
      <c r="F571" t="s">
        <v>931</v>
      </c>
      <c r="G571" t="s">
        <v>136</v>
      </c>
      <c r="H571" t="s">
        <v>146</v>
      </c>
      <c r="I571" t="s">
        <v>156</v>
      </c>
      <c r="J571" t="s">
        <v>26</v>
      </c>
      <c r="K571" t="s">
        <v>157</v>
      </c>
      <c r="L571" t="s">
        <v>143</v>
      </c>
      <c r="M571" t="s">
        <v>144</v>
      </c>
      <c r="N571" t="s">
        <v>1848</v>
      </c>
      <c r="O571">
        <v>1</v>
      </c>
      <c r="P571" t="s">
        <v>160</v>
      </c>
      <c r="R571">
        <v>799</v>
      </c>
      <c r="S571">
        <v>792</v>
      </c>
      <c r="T571" t="s">
        <v>145</v>
      </c>
      <c r="U571" t="s">
        <v>173</v>
      </c>
      <c r="V571" t="s">
        <v>27</v>
      </c>
      <c r="W571" t="s">
        <v>66</v>
      </c>
      <c r="X571" t="s">
        <v>67</v>
      </c>
      <c r="Y571" t="s">
        <v>138</v>
      </c>
      <c r="AA571" t="s">
        <v>494</v>
      </c>
      <c r="AC571" t="s">
        <v>139</v>
      </c>
      <c r="AD571" t="s">
        <v>1849</v>
      </c>
      <c r="AG571" t="s">
        <v>156</v>
      </c>
      <c r="AH571" t="s">
        <v>68</v>
      </c>
      <c r="AI571" t="s">
        <v>493</v>
      </c>
      <c r="AK571" t="s">
        <v>1850</v>
      </c>
    </row>
    <row r="572" spans="1:37" customFormat="1">
      <c r="A572" t="s">
        <v>23</v>
      </c>
      <c r="B572" t="s">
        <v>24</v>
      </c>
      <c r="C572" t="s">
        <v>179</v>
      </c>
      <c r="D572" t="s">
        <v>135</v>
      </c>
      <c r="E572" t="s">
        <v>1828</v>
      </c>
      <c r="F572" t="s">
        <v>931</v>
      </c>
      <c r="G572" t="s">
        <v>136</v>
      </c>
      <c r="H572" t="s">
        <v>146</v>
      </c>
      <c r="I572" t="s">
        <v>156</v>
      </c>
      <c r="J572" t="s">
        <v>26</v>
      </c>
      <c r="K572" t="s">
        <v>157</v>
      </c>
      <c r="L572" t="s">
        <v>143</v>
      </c>
      <c r="M572" t="s">
        <v>144</v>
      </c>
      <c r="N572" t="s">
        <v>1851</v>
      </c>
      <c r="O572">
        <v>1</v>
      </c>
      <c r="P572" t="s">
        <v>160</v>
      </c>
      <c r="R572">
        <v>798</v>
      </c>
      <c r="S572">
        <v>792</v>
      </c>
      <c r="T572" t="s">
        <v>145</v>
      </c>
      <c r="U572" t="s">
        <v>173</v>
      </c>
      <c r="V572" t="s">
        <v>27</v>
      </c>
      <c r="W572" t="s">
        <v>66</v>
      </c>
      <c r="X572" t="s">
        <v>67</v>
      </c>
      <c r="Y572" t="s">
        <v>138</v>
      </c>
      <c r="AA572" t="s">
        <v>494</v>
      </c>
      <c r="AC572" t="s">
        <v>139</v>
      </c>
      <c r="AD572" t="s">
        <v>1852</v>
      </c>
      <c r="AG572" t="s">
        <v>156</v>
      </c>
      <c r="AH572" t="s">
        <v>68</v>
      </c>
      <c r="AI572" t="s">
        <v>493</v>
      </c>
      <c r="AK572" t="s">
        <v>1853</v>
      </c>
    </row>
    <row r="573" spans="1:37" customFormat="1">
      <c r="A573" t="s">
        <v>23</v>
      </c>
      <c r="B573" t="s">
        <v>24</v>
      </c>
      <c r="C573" t="s">
        <v>934</v>
      </c>
      <c r="D573" t="s">
        <v>135</v>
      </c>
      <c r="E573" t="s">
        <v>1822</v>
      </c>
      <c r="F573" t="s">
        <v>931</v>
      </c>
      <c r="G573" t="s">
        <v>136</v>
      </c>
      <c r="H573" t="s">
        <v>1823</v>
      </c>
      <c r="I573" t="s">
        <v>71</v>
      </c>
      <c r="J573" t="s">
        <v>72</v>
      </c>
      <c r="K573" t="s">
        <v>65</v>
      </c>
      <c r="L573" t="s">
        <v>143</v>
      </c>
      <c r="M573" t="s">
        <v>144</v>
      </c>
      <c r="N573" t="s">
        <v>1854</v>
      </c>
      <c r="O573">
        <v>1141</v>
      </c>
      <c r="P573" t="s">
        <v>35</v>
      </c>
      <c r="R573">
        <v>1144</v>
      </c>
      <c r="S573">
        <v>1141</v>
      </c>
      <c r="T573" t="s">
        <v>1817</v>
      </c>
      <c r="U573" t="s">
        <v>1818</v>
      </c>
      <c r="V573" t="s">
        <v>27</v>
      </c>
      <c r="W573" t="s">
        <v>2230</v>
      </c>
      <c r="X573" t="s">
        <v>67</v>
      </c>
      <c r="Y573" t="s">
        <v>138</v>
      </c>
      <c r="AA573" t="s">
        <v>494</v>
      </c>
      <c r="AC573" t="s">
        <v>139</v>
      </c>
      <c r="AD573" t="s">
        <v>1855</v>
      </c>
      <c r="AG573" t="s">
        <v>71</v>
      </c>
      <c r="AH573" t="s">
        <v>68</v>
      </c>
      <c r="AI573" t="s">
        <v>493</v>
      </c>
    </row>
    <row r="574" spans="1:37" customFormat="1">
      <c r="A574" t="s">
        <v>23</v>
      </c>
      <c r="B574" t="s">
        <v>24</v>
      </c>
      <c r="C574" t="s">
        <v>929</v>
      </c>
      <c r="D574" t="s">
        <v>135</v>
      </c>
      <c r="E574" t="s">
        <v>930</v>
      </c>
      <c r="F574" t="s">
        <v>931</v>
      </c>
      <c r="G574" t="s">
        <v>136</v>
      </c>
      <c r="H574" t="s">
        <v>493</v>
      </c>
      <c r="I574" t="s">
        <v>932</v>
      </c>
      <c r="J574" t="s">
        <v>933</v>
      </c>
      <c r="K574" t="s">
        <v>65</v>
      </c>
      <c r="L574" t="s">
        <v>1450</v>
      </c>
      <c r="M574" t="s">
        <v>137</v>
      </c>
      <c r="N574" t="s">
        <v>1856</v>
      </c>
      <c r="O574">
        <v>1185</v>
      </c>
      <c r="P574" t="s">
        <v>35</v>
      </c>
      <c r="R574">
        <v>1188</v>
      </c>
      <c r="S574">
        <v>1185</v>
      </c>
      <c r="T574" t="s">
        <v>493</v>
      </c>
      <c r="U574" t="s">
        <v>493</v>
      </c>
      <c r="V574" t="s">
        <v>27</v>
      </c>
      <c r="W574" t="s">
        <v>66</v>
      </c>
      <c r="X574" t="s">
        <v>67</v>
      </c>
      <c r="Y574" t="s">
        <v>138</v>
      </c>
      <c r="AA574" t="s">
        <v>494</v>
      </c>
      <c r="AC574" t="s">
        <v>139</v>
      </c>
      <c r="AD574" t="s">
        <v>1857</v>
      </c>
      <c r="AG574" t="s">
        <v>493</v>
      </c>
      <c r="AH574" t="s">
        <v>68</v>
      </c>
      <c r="AI574" t="s">
        <v>493</v>
      </c>
    </row>
    <row r="575" spans="1:37" customFormat="1">
      <c r="A575" t="s">
        <v>23</v>
      </c>
      <c r="B575" t="s">
        <v>24</v>
      </c>
      <c r="C575" t="s">
        <v>929</v>
      </c>
      <c r="D575" t="s">
        <v>135</v>
      </c>
      <c r="E575" t="s">
        <v>930</v>
      </c>
      <c r="F575" t="s">
        <v>931</v>
      </c>
      <c r="G575" t="s">
        <v>136</v>
      </c>
      <c r="H575" t="s">
        <v>493</v>
      </c>
      <c r="I575" t="s">
        <v>932</v>
      </c>
      <c r="J575" t="s">
        <v>933</v>
      </c>
      <c r="K575" t="s">
        <v>65</v>
      </c>
      <c r="L575" t="s">
        <v>1450</v>
      </c>
      <c r="M575" t="s">
        <v>137</v>
      </c>
      <c r="N575" t="s">
        <v>1858</v>
      </c>
      <c r="O575">
        <v>1179</v>
      </c>
      <c r="P575" t="s">
        <v>35</v>
      </c>
      <c r="R575">
        <v>1182</v>
      </c>
      <c r="S575">
        <v>1179</v>
      </c>
      <c r="T575" t="s">
        <v>493</v>
      </c>
      <c r="U575" t="s">
        <v>493</v>
      </c>
      <c r="V575" t="s">
        <v>27</v>
      </c>
      <c r="W575" t="s">
        <v>66</v>
      </c>
      <c r="X575" t="s">
        <v>67</v>
      </c>
      <c r="Y575" t="s">
        <v>138</v>
      </c>
      <c r="AA575" t="s">
        <v>494</v>
      </c>
      <c r="AC575" t="s">
        <v>139</v>
      </c>
      <c r="AD575" t="s">
        <v>1859</v>
      </c>
      <c r="AG575" t="s">
        <v>493</v>
      </c>
      <c r="AH575" t="s">
        <v>68</v>
      </c>
      <c r="AI575" t="s">
        <v>493</v>
      </c>
    </row>
    <row r="576" spans="1:37" customFormat="1">
      <c r="A576" t="s">
        <v>23</v>
      </c>
      <c r="B576" t="s">
        <v>24</v>
      </c>
      <c r="C576" t="s">
        <v>929</v>
      </c>
      <c r="D576" t="s">
        <v>135</v>
      </c>
      <c r="E576" t="s">
        <v>930</v>
      </c>
      <c r="F576" t="s">
        <v>931</v>
      </c>
      <c r="G576" t="s">
        <v>136</v>
      </c>
      <c r="H576" t="s">
        <v>493</v>
      </c>
      <c r="I576" t="s">
        <v>932</v>
      </c>
      <c r="J576" t="s">
        <v>933</v>
      </c>
      <c r="K576" t="s">
        <v>65</v>
      </c>
      <c r="L576" t="s">
        <v>1450</v>
      </c>
      <c r="M576" t="s">
        <v>137</v>
      </c>
      <c r="N576" t="s">
        <v>1860</v>
      </c>
      <c r="O576">
        <v>1197</v>
      </c>
      <c r="P576" t="s">
        <v>35</v>
      </c>
      <c r="R576">
        <v>1200</v>
      </c>
      <c r="S576">
        <v>1197</v>
      </c>
      <c r="T576" t="s">
        <v>493</v>
      </c>
      <c r="U576" t="s">
        <v>493</v>
      </c>
      <c r="V576" t="s">
        <v>27</v>
      </c>
      <c r="W576" t="s">
        <v>66</v>
      </c>
      <c r="X576" t="s">
        <v>67</v>
      </c>
      <c r="Y576" t="s">
        <v>138</v>
      </c>
      <c r="AA576" t="s">
        <v>494</v>
      </c>
      <c r="AC576" t="s">
        <v>139</v>
      </c>
      <c r="AD576" t="s">
        <v>1861</v>
      </c>
      <c r="AG576" t="s">
        <v>493</v>
      </c>
      <c r="AH576" t="s">
        <v>68</v>
      </c>
      <c r="AI576" t="s">
        <v>493</v>
      </c>
    </row>
    <row r="577" spans="1:35" customFormat="1">
      <c r="A577" t="s">
        <v>23</v>
      </c>
      <c r="B577" t="s">
        <v>24</v>
      </c>
      <c r="C577" t="s">
        <v>929</v>
      </c>
      <c r="D577" t="s">
        <v>135</v>
      </c>
      <c r="E577" t="s">
        <v>930</v>
      </c>
      <c r="F577" t="s">
        <v>931</v>
      </c>
      <c r="G577" t="s">
        <v>136</v>
      </c>
      <c r="H577" t="s">
        <v>493</v>
      </c>
      <c r="I577" t="s">
        <v>932</v>
      </c>
      <c r="J577" t="s">
        <v>933</v>
      </c>
      <c r="K577" t="s">
        <v>65</v>
      </c>
      <c r="L577" t="s">
        <v>1094</v>
      </c>
      <c r="M577" t="s">
        <v>137</v>
      </c>
      <c r="N577" t="s">
        <v>1862</v>
      </c>
      <c r="O577">
        <v>1198</v>
      </c>
      <c r="P577" t="s">
        <v>35</v>
      </c>
      <c r="R577">
        <v>1201</v>
      </c>
      <c r="S577">
        <v>1198</v>
      </c>
      <c r="T577" t="s">
        <v>493</v>
      </c>
      <c r="U577" t="s">
        <v>493</v>
      </c>
      <c r="V577" t="s">
        <v>27</v>
      </c>
      <c r="W577" t="s">
        <v>66</v>
      </c>
      <c r="X577" t="s">
        <v>67</v>
      </c>
      <c r="Y577" t="s">
        <v>138</v>
      </c>
      <c r="AA577" t="s">
        <v>494</v>
      </c>
      <c r="AC577" t="s">
        <v>139</v>
      </c>
      <c r="AD577" t="s">
        <v>1863</v>
      </c>
      <c r="AG577" t="s">
        <v>493</v>
      </c>
      <c r="AH577" t="s">
        <v>68</v>
      </c>
      <c r="AI577" t="s">
        <v>493</v>
      </c>
    </row>
    <row r="578" spans="1:35" customFormat="1">
      <c r="A578" t="s">
        <v>23</v>
      </c>
      <c r="B578" t="s">
        <v>24</v>
      </c>
      <c r="C578" t="s">
        <v>929</v>
      </c>
      <c r="D578" t="s">
        <v>135</v>
      </c>
      <c r="E578" t="s">
        <v>930</v>
      </c>
      <c r="F578" t="s">
        <v>931</v>
      </c>
      <c r="G578" t="s">
        <v>136</v>
      </c>
      <c r="H578" t="s">
        <v>493</v>
      </c>
      <c r="I578" t="s">
        <v>932</v>
      </c>
      <c r="J578" t="s">
        <v>933</v>
      </c>
      <c r="K578" t="s">
        <v>65</v>
      </c>
      <c r="L578" t="s">
        <v>1450</v>
      </c>
      <c r="M578" t="s">
        <v>137</v>
      </c>
      <c r="N578" t="s">
        <v>1864</v>
      </c>
      <c r="O578">
        <v>1191</v>
      </c>
      <c r="P578" t="s">
        <v>35</v>
      </c>
      <c r="R578">
        <v>1194</v>
      </c>
      <c r="S578">
        <v>1191</v>
      </c>
      <c r="T578" t="s">
        <v>493</v>
      </c>
      <c r="U578" t="s">
        <v>493</v>
      </c>
      <c r="V578" t="s">
        <v>27</v>
      </c>
      <c r="W578" t="s">
        <v>66</v>
      </c>
      <c r="X578" t="s">
        <v>67</v>
      </c>
      <c r="Y578" t="s">
        <v>138</v>
      </c>
      <c r="AA578" t="s">
        <v>494</v>
      </c>
      <c r="AC578" t="s">
        <v>139</v>
      </c>
      <c r="AD578" t="s">
        <v>1865</v>
      </c>
      <c r="AG578" t="s">
        <v>493</v>
      </c>
      <c r="AH578" t="s">
        <v>68</v>
      </c>
      <c r="AI578" t="s">
        <v>493</v>
      </c>
    </row>
    <row r="579" spans="1:35" customFormat="1">
      <c r="A579" t="s">
        <v>23</v>
      </c>
      <c r="B579" t="s">
        <v>24</v>
      </c>
      <c r="C579" t="s">
        <v>929</v>
      </c>
      <c r="D579" t="s">
        <v>135</v>
      </c>
      <c r="E579" t="s">
        <v>930</v>
      </c>
      <c r="F579" t="s">
        <v>931</v>
      </c>
      <c r="G579" t="s">
        <v>136</v>
      </c>
      <c r="H579" t="s">
        <v>493</v>
      </c>
      <c r="I579" t="s">
        <v>932</v>
      </c>
      <c r="J579" t="s">
        <v>933</v>
      </c>
      <c r="K579" t="s">
        <v>65</v>
      </c>
      <c r="L579" t="s">
        <v>1450</v>
      </c>
      <c r="M579" t="s">
        <v>137</v>
      </c>
      <c r="N579" t="s">
        <v>1866</v>
      </c>
      <c r="O579">
        <v>1190</v>
      </c>
      <c r="P579" t="s">
        <v>35</v>
      </c>
      <c r="R579">
        <v>1193</v>
      </c>
      <c r="S579">
        <v>1190</v>
      </c>
      <c r="T579" t="s">
        <v>493</v>
      </c>
      <c r="U579" t="s">
        <v>493</v>
      </c>
      <c r="V579" t="s">
        <v>27</v>
      </c>
      <c r="W579" t="s">
        <v>66</v>
      </c>
      <c r="X579" t="s">
        <v>67</v>
      </c>
      <c r="Y579" t="s">
        <v>138</v>
      </c>
      <c r="AA579" t="s">
        <v>494</v>
      </c>
      <c r="AC579" t="s">
        <v>139</v>
      </c>
      <c r="AD579" t="s">
        <v>1867</v>
      </c>
      <c r="AG579" t="s">
        <v>493</v>
      </c>
      <c r="AH579" t="s">
        <v>68</v>
      </c>
      <c r="AI579" t="s">
        <v>493</v>
      </c>
    </row>
    <row r="580" spans="1:35" customFormat="1">
      <c r="A580" t="s">
        <v>23</v>
      </c>
      <c r="B580" t="s">
        <v>24</v>
      </c>
      <c r="C580" t="s">
        <v>929</v>
      </c>
      <c r="D580" t="s">
        <v>135</v>
      </c>
      <c r="E580" t="s">
        <v>930</v>
      </c>
      <c r="F580" t="s">
        <v>931</v>
      </c>
      <c r="G580" t="s">
        <v>136</v>
      </c>
      <c r="H580" t="s">
        <v>493</v>
      </c>
      <c r="I580" t="s">
        <v>932</v>
      </c>
      <c r="J580" t="s">
        <v>933</v>
      </c>
      <c r="K580" t="s">
        <v>65</v>
      </c>
      <c r="L580" t="s">
        <v>1450</v>
      </c>
      <c r="M580" t="s">
        <v>137</v>
      </c>
      <c r="N580" t="s">
        <v>1868</v>
      </c>
      <c r="O580">
        <v>1189</v>
      </c>
      <c r="P580" t="s">
        <v>35</v>
      </c>
      <c r="R580">
        <v>1192</v>
      </c>
      <c r="S580">
        <v>1189</v>
      </c>
      <c r="T580" t="s">
        <v>493</v>
      </c>
      <c r="U580" t="s">
        <v>493</v>
      </c>
      <c r="V580" t="s">
        <v>27</v>
      </c>
      <c r="W580" t="s">
        <v>66</v>
      </c>
      <c r="X580" t="s">
        <v>67</v>
      </c>
      <c r="Y580" t="s">
        <v>138</v>
      </c>
      <c r="AA580" t="s">
        <v>494</v>
      </c>
      <c r="AC580" t="s">
        <v>139</v>
      </c>
      <c r="AD580" t="s">
        <v>1869</v>
      </c>
      <c r="AG580" t="s">
        <v>493</v>
      </c>
      <c r="AH580" t="s">
        <v>68</v>
      </c>
      <c r="AI580" t="s">
        <v>493</v>
      </c>
    </row>
    <row r="581" spans="1:35" customFormat="1">
      <c r="A581" t="s">
        <v>23</v>
      </c>
      <c r="B581" t="s">
        <v>24</v>
      </c>
      <c r="C581" t="s">
        <v>929</v>
      </c>
      <c r="D581" t="s">
        <v>135</v>
      </c>
      <c r="E581" t="s">
        <v>930</v>
      </c>
      <c r="F581" t="s">
        <v>931</v>
      </c>
      <c r="G581" t="s">
        <v>136</v>
      </c>
      <c r="H581" t="s">
        <v>493</v>
      </c>
      <c r="I581" t="s">
        <v>932</v>
      </c>
      <c r="J581" t="s">
        <v>933</v>
      </c>
      <c r="K581" t="s">
        <v>65</v>
      </c>
      <c r="L581" t="s">
        <v>1450</v>
      </c>
      <c r="M581" t="s">
        <v>137</v>
      </c>
      <c r="N581" t="s">
        <v>1870</v>
      </c>
      <c r="O581">
        <v>1190</v>
      </c>
      <c r="P581" t="s">
        <v>35</v>
      </c>
      <c r="R581">
        <v>1193</v>
      </c>
      <c r="S581">
        <v>1190</v>
      </c>
      <c r="T581" t="s">
        <v>493</v>
      </c>
      <c r="U581" t="s">
        <v>493</v>
      </c>
      <c r="V581" t="s">
        <v>27</v>
      </c>
      <c r="W581" t="s">
        <v>66</v>
      </c>
      <c r="X581" t="s">
        <v>67</v>
      </c>
      <c r="Y581" t="s">
        <v>138</v>
      </c>
      <c r="AA581" t="s">
        <v>494</v>
      </c>
      <c r="AC581" t="s">
        <v>139</v>
      </c>
      <c r="AD581" t="s">
        <v>1871</v>
      </c>
      <c r="AG581" t="s">
        <v>493</v>
      </c>
      <c r="AH581" t="s">
        <v>68</v>
      </c>
      <c r="AI581" t="s">
        <v>493</v>
      </c>
    </row>
    <row r="582" spans="1:35" customFormat="1">
      <c r="A582" t="s">
        <v>23</v>
      </c>
      <c r="B582" t="s">
        <v>24</v>
      </c>
      <c r="C582" t="s">
        <v>929</v>
      </c>
      <c r="D582" t="s">
        <v>135</v>
      </c>
      <c r="E582" t="s">
        <v>930</v>
      </c>
      <c r="F582" t="s">
        <v>931</v>
      </c>
      <c r="G582" t="s">
        <v>136</v>
      </c>
      <c r="H582" t="s">
        <v>493</v>
      </c>
      <c r="I582" t="s">
        <v>932</v>
      </c>
      <c r="J582" t="s">
        <v>933</v>
      </c>
      <c r="K582" t="s">
        <v>65</v>
      </c>
      <c r="L582" t="s">
        <v>1450</v>
      </c>
      <c r="M582" t="s">
        <v>137</v>
      </c>
      <c r="N582" t="s">
        <v>1872</v>
      </c>
      <c r="O582">
        <v>1190</v>
      </c>
      <c r="P582" t="s">
        <v>35</v>
      </c>
      <c r="R582">
        <v>1193</v>
      </c>
      <c r="S582">
        <v>1190</v>
      </c>
      <c r="T582" t="s">
        <v>493</v>
      </c>
      <c r="U582" t="s">
        <v>493</v>
      </c>
      <c r="V582" t="s">
        <v>27</v>
      </c>
      <c r="W582" t="s">
        <v>66</v>
      </c>
      <c r="X582" t="s">
        <v>67</v>
      </c>
      <c r="Y582" t="s">
        <v>138</v>
      </c>
      <c r="AA582" t="s">
        <v>494</v>
      </c>
      <c r="AC582" t="s">
        <v>139</v>
      </c>
      <c r="AD582" t="s">
        <v>1873</v>
      </c>
      <c r="AG582" t="s">
        <v>493</v>
      </c>
      <c r="AH582" t="s">
        <v>68</v>
      </c>
      <c r="AI582" t="s">
        <v>493</v>
      </c>
    </row>
    <row r="583" spans="1:35" customFormat="1">
      <c r="A583" t="s">
        <v>23</v>
      </c>
      <c r="B583" t="s">
        <v>24</v>
      </c>
      <c r="C583" t="s">
        <v>929</v>
      </c>
      <c r="D583" t="s">
        <v>135</v>
      </c>
      <c r="E583" t="s">
        <v>930</v>
      </c>
      <c r="F583" t="s">
        <v>931</v>
      </c>
      <c r="G583" t="s">
        <v>136</v>
      </c>
      <c r="H583" t="s">
        <v>493</v>
      </c>
      <c r="I583" t="s">
        <v>932</v>
      </c>
      <c r="J583" t="s">
        <v>933</v>
      </c>
      <c r="K583" t="s">
        <v>65</v>
      </c>
      <c r="L583" t="s">
        <v>1450</v>
      </c>
      <c r="M583" t="s">
        <v>137</v>
      </c>
      <c r="N583" t="s">
        <v>1874</v>
      </c>
      <c r="O583">
        <v>1189</v>
      </c>
      <c r="P583" t="s">
        <v>35</v>
      </c>
      <c r="R583">
        <v>1192</v>
      </c>
      <c r="S583">
        <v>1189</v>
      </c>
      <c r="T583" t="s">
        <v>493</v>
      </c>
      <c r="U583" t="s">
        <v>493</v>
      </c>
      <c r="V583" t="s">
        <v>27</v>
      </c>
      <c r="W583" t="s">
        <v>66</v>
      </c>
      <c r="X583" t="s">
        <v>67</v>
      </c>
      <c r="Y583" t="s">
        <v>138</v>
      </c>
      <c r="AA583" t="s">
        <v>494</v>
      </c>
      <c r="AC583" t="s">
        <v>139</v>
      </c>
      <c r="AD583" t="s">
        <v>1875</v>
      </c>
      <c r="AG583" t="s">
        <v>493</v>
      </c>
      <c r="AH583" t="s">
        <v>68</v>
      </c>
      <c r="AI583" t="s">
        <v>493</v>
      </c>
    </row>
    <row r="584" spans="1:35" customFormat="1">
      <c r="A584" t="s">
        <v>23</v>
      </c>
      <c r="B584" t="s">
        <v>24</v>
      </c>
      <c r="C584" t="s">
        <v>929</v>
      </c>
      <c r="D584" t="s">
        <v>135</v>
      </c>
      <c r="E584" t="s">
        <v>930</v>
      </c>
      <c r="F584" t="s">
        <v>931</v>
      </c>
      <c r="G584" t="s">
        <v>136</v>
      </c>
      <c r="H584" t="s">
        <v>493</v>
      </c>
      <c r="I584" t="s">
        <v>932</v>
      </c>
      <c r="J584" t="s">
        <v>933</v>
      </c>
      <c r="K584" t="s">
        <v>65</v>
      </c>
      <c r="L584" t="s">
        <v>1450</v>
      </c>
      <c r="M584" t="s">
        <v>137</v>
      </c>
      <c r="N584" t="s">
        <v>1876</v>
      </c>
      <c r="O584">
        <v>1189</v>
      </c>
      <c r="P584" t="s">
        <v>35</v>
      </c>
      <c r="R584">
        <v>1192</v>
      </c>
      <c r="S584">
        <v>1189</v>
      </c>
      <c r="T584" t="s">
        <v>493</v>
      </c>
      <c r="U584" t="s">
        <v>493</v>
      </c>
      <c r="V584" t="s">
        <v>27</v>
      </c>
      <c r="W584" t="s">
        <v>66</v>
      </c>
      <c r="X584" t="s">
        <v>67</v>
      </c>
      <c r="Y584" t="s">
        <v>138</v>
      </c>
      <c r="AA584" t="s">
        <v>494</v>
      </c>
      <c r="AC584" t="s">
        <v>139</v>
      </c>
      <c r="AD584" t="s">
        <v>1877</v>
      </c>
      <c r="AG584" t="s">
        <v>493</v>
      </c>
      <c r="AH584" t="s">
        <v>68</v>
      </c>
      <c r="AI584" t="s">
        <v>493</v>
      </c>
    </row>
    <row r="585" spans="1:35" customFormat="1">
      <c r="A585" t="s">
        <v>23</v>
      </c>
      <c r="B585" t="s">
        <v>24</v>
      </c>
      <c r="C585" t="s">
        <v>929</v>
      </c>
      <c r="D585" t="s">
        <v>135</v>
      </c>
      <c r="E585" t="s">
        <v>930</v>
      </c>
      <c r="F585" t="s">
        <v>931</v>
      </c>
      <c r="G585" t="s">
        <v>136</v>
      </c>
      <c r="H585" t="s">
        <v>493</v>
      </c>
      <c r="I585" t="s">
        <v>932</v>
      </c>
      <c r="J585" t="s">
        <v>933</v>
      </c>
      <c r="K585" t="s">
        <v>65</v>
      </c>
      <c r="L585" t="s">
        <v>1450</v>
      </c>
      <c r="M585" t="s">
        <v>137</v>
      </c>
      <c r="N585" t="s">
        <v>1878</v>
      </c>
      <c r="O585">
        <v>1189</v>
      </c>
      <c r="P585" t="s">
        <v>35</v>
      </c>
      <c r="R585">
        <v>1192</v>
      </c>
      <c r="S585">
        <v>1189</v>
      </c>
      <c r="T585" t="s">
        <v>493</v>
      </c>
      <c r="U585" t="s">
        <v>493</v>
      </c>
      <c r="V585" t="s">
        <v>27</v>
      </c>
      <c r="W585" t="s">
        <v>66</v>
      </c>
      <c r="X585" t="s">
        <v>67</v>
      </c>
      <c r="Y585" t="s">
        <v>138</v>
      </c>
      <c r="AA585" t="s">
        <v>494</v>
      </c>
      <c r="AC585" t="s">
        <v>139</v>
      </c>
      <c r="AD585" t="s">
        <v>1879</v>
      </c>
      <c r="AG585" t="s">
        <v>493</v>
      </c>
      <c r="AH585" t="s">
        <v>68</v>
      </c>
      <c r="AI585" t="s">
        <v>493</v>
      </c>
    </row>
    <row r="586" spans="1:35" customFormat="1">
      <c r="A586" t="s">
        <v>23</v>
      </c>
      <c r="B586" t="s">
        <v>24</v>
      </c>
      <c r="C586" t="s">
        <v>929</v>
      </c>
      <c r="D586" t="s">
        <v>135</v>
      </c>
      <c r="E586" t="s">
        <v>930</v>
      </c>
      <c r="F586" t="s">
        <v>931</v>
      </c>
      <c r="G586" t="s">
        <v>136</v>
      </c>
      <c r="H586" t="s">
        <v>493</v>
      </c>
      <c r="I586" t="s">
        <v>932</v>
      </c>
      <c r="J586" t="s">
        <v>933</v>
      </c>
      <c r="K586" t="s">
        <v>65</v>
      </c>
      <c r="L586" t="s">
        <v>1094</v>
      </c>
      <c r="M586" t="s">
        <v>137</v>
      </c>
      <c r="N586" t="s">
        <v>1880</v>
      </c>
      <c r="O586">
        <v>1189</v>
      </c>
      <c r="P586" t="s">
        <v>35</v>
      </c>
      <c r="R586">
        <v>1192</v>
      </c>
      <c r="S586">
        <v>1189</v>
      </c>
      <c r="T586" t="s">
        <v>493</v>
      </c>
      <c r="U586" t="s">
        <v>493</v>
      </c>
      <c r="V586" t="s">
        <v>27</v>
      </c>
      <c r="W586" t="s">
        <v>66</v>
      </c>
      <c r="X586" t="s">
        <v>67</v>
      </c>
      <c r="Y586" t="s">
        <v>138</v>
      </c>
      <c r="AA586" t="s">
        <v>494</v>
      </c>
      <c r="AC586" t="s">
        <v>139</v>
      </c>
      <c r="AD586" t="s">
        <v>1881</v>
      </c>
      <c r="AG586" t="s">
        <v>493</v>
      </c>
      <c r="AH586" t="s">
        <v>68</v>
      </c>
      <c r="AI586" t="s">
        <v>493</v>
      </c>
    </row>
    <row r="587" spans="1:35" customFormat="1">
      <c r="A587" t="s">
        <v>23</v>
      </c>
      <c r="B587" t="s">
        <v>24</v>
      </c>
      <c r="C587" t="s">
        <v>929</v>
      </c>
      <c r="D587" t="s">
        <v>135</v>
      </c>
      <c r="E587" t="s">
        <v>930</v>
      </c>
      <c r="F587" t="s">
        <v>931</v>
      </c>
      <c r="G587" t="s">
        <v>136</v>
      </c>
      <c r="H587" t="s">
        <v>493</v>
      </c>
      <c r="I587" t="s">
        <v>932</v>
      </c>
      <c r="J587" t="s">
        <v>933</v>
      </c>
      <c r="K587" t="s">
        <v>65</v>
      </c>
      <c r="L587" t="s">
        <v>1450</v>
      </c>
      <c r="M587" t="s">
        <v>137</v>
      </c>
      <c r="N587" t="s">
        <v>1882</v>
      </c>
      <c r="O587">
        <v>1189</v>
      </c>
      <c r="P587" t="s">
        <v>35</v>
      </c>
      <c r="R587">
        <v>1192</v>
      </c>
      <c r="S587">
        <v>1189</v>
      </c>
      <c r="T587" t="s">
        <v>493</v>
      </c>
      <c r="U587" t="s">
        <v>493</v>
      </c>
      <c r="V587" t="s">
        <v>27</v>
      </c>
      <c r="W587" t="s">
        <v>66</v>
      </c>
      <c r="X587" t="s">
        <v>67</v>
      </c>
      <c r="Y587" t="s">
        <v>138</v>
      </c>
      <c r="AA587" t="s">
        <v>494</v>
      </c>
      <c r="AC587" t="s">
        <v>139</v>
      </c>
      <c r="AD587" t="s">
        <v>1883</v>
      </c>
      <c r="AG587" t="s">
        <v>493</v>
      </c>
      <c r="AH587" t="s">
        <v>68</v>
      </c>
      <c r="AI587" t="s">
        <v>493</v>
      </c>
    </row>
    <row r="588" spans="1:35" customFormat="1">
      <c r="A588" t="s">
        <v>23</v>
      </c>
      <c r="B588" t="s">
        <v>24</v>
      </c>
      <c r="C588" t="s">
        <v>929</v>
      </c>
      <c r="D588" t="s">
        <v>135</v>
      </c>
      <c r="E588" t="s">
        <v>930</v>
      </c>
      <c r="F588" t="s">
        <v>931</v>
      </c>
      <c r="G588" t="s">
        <v>136</v>
      </c>
      <c r="H588" t="s">
        <v>493</v>
      </c>
      <c r="I588" t="s">
        <v>932</v>
      </c>
      <c r="J588" t="s">
        <v>933</v>
      </c>
      <c r="K588" t="s">
        <v>65</v>
      </c>
      <c r="L588" t="s">
        <v>1450</v>
      </c>
      <c r="M588" t="s">
        <v>137</v>
      </c>
      <c r="N588" t="s">
        <v>1884</v>
      </c>
      <c r="O588">
        <v>1190</v>
      </c>
      <c r="P588" t="s">
        <v>35</v>
      </c>
      <c r="R588">
        <v>1193</v>
      </c>
      <c r="S588">
        <v>1190</v>
      </c>
      <c r="T588" t="s">
        <v>493</v>
      </c>
      <c r="U588" t="s">
        <v>493</v>
      </c>
      <c r="V588" t="s">
        <v>27</v>
      </c>
      <c r="W588" t="s">
        <v>66</v>
      </c>
      <c r="X588" t="s">
        <v>67</v>
      </c>
      <c r="Y588" t="s">
        <v>138</v>
      </c>
      <c r="AA588" t="s">
        <v>494</v>
      </c>
      <c r="AC588" t="s">
        <v>139</v>
      </c>
      <c r="AD588" t="s">
        <v>1885</v>
      </c>
      <c r="AG588" t="s">
        <v>493</v>
      </c>
      <c r="AH588" t="s">
        <v>68</v>
      </c>
      <c r="AI588" t="s">
        <v>493</v>
      </c>
    </row>
    <row r="589" spans="1:35" customFormat="1">
      <c r="A589" t="s">
        <v>23</v>
      </c>
      <c r="B589" t="s">
        <v>24</v>
      </c>
      <c r="C589" t="s">
        <v>929</v>
      </c>
      <c r="D589" t="s">
        <v>135</v>
      </c>
      <c r="E589" t="s">
        <v>930</v>
      </c>
      <c r="F589" t="s">
        <v>931</v>
      </c>
      <c r="G589" t="s">
        <v>136</v>
      </c>
      <c r="H589" t="s">
        <v>493</v>
      </c>
      <c r="I589" t="s">
        <v>932</v>
      </c>
      <c r="J589" t="s">
        <v>933</v>
      </c>
      <c r="K589" t="s">
        <v>65</v>
      </c>
      <c r="L589" t="s">
        <v>1450</v>
      </c>
      <c r="M589" t="s">
        <v>137</v>
      </c>
      <c r="N589" t="s">
        <v>1886</v>
      </c>
      <c r="O589">
        <v>1189</v>
      </c>
      <c r="P589" t="s">
        <v>35</v>
      </c>
      <c r="R589">
        <v>1192</v>
      </c>
      <c r="S589">
        <v>1189</v>
      </c>
      <c r="T589" t="s">
        <v>493</v>
      </c>
      <c r="U589" t="s">
        <v>493</v>
      </c>
      <c r="V589" t="s">
        <v>27</v>
      </c>
      <c r="W589" t="s">
        <v>66</v>
      </c>
      <c r="X589" t="s">
        <v>67</v>
      </c>
      <c r="Y589" t="s">
        <v>138</v>
      </c>
      <c r="AA589" t="s">
        <v>494</v>
      </c>
      <c r="AC589" t="s">
        <v>139</v>
      </c>
      <c r="AD589" t="s">
        <v>1887</v>
      </c>
      <c r="AG589" t="s">
        <v>493</v>
      </c>
      <c r="AH589" t="s">
        <v>68</v>
      </c>
      <c r="AI589" t="s">
        <v>493</v>
      </c>
    </row>
    <row r="590" spans="1:35" customFormat="1">
      <c r="A590" t="s">
        <v>23</v>
      </c>
      <c r="B590" t="s">
        <v>24</v>
      </c>
      <c r="C590" t="s">
        <v>929</v>
      </c>
      <c r="D590" t="s">
        <v>135</v>
      </c>
      <c r="E590" t="s">
        <v>930</v>
      </c>
      <c r="F590" t="s">
        <v>931</v>
      </c>
      <c r="G590" t="s">
        <v>136</v>
      </c>
      <c r="H590" t="s">
        <v>493</v>
      </c>
      <c r="I590" t="s">
        <v>932</v>
      </c>
      <c r="J590" t="s">
        <v>933</v>
      </c>
      <c r="K590" t="s">
        <v>65</v>
      </c>
      <c r="L590" t="s">
        <v>1450</v>
      </c>
      <c r="M590" t="s">
        <v>137</v>
      </c>
      <c r="N590" t="s">
        <v>1888</v>
      </c>
      <c r="O590">
        <v>1189</v>
      </c>
      <c r="P590" t="s">
        <v>35</v>
      </c>
      <c r="R590">
        <v>1192</v>
      </c>
      <c r="S590">
        <v>1189</v>
      </c>
      <c r="T590" t="s">
        <v>493</v>
      </c>
      <c r="U590" t="s">
        <v>493</v>
      </c>
      <c r="V590" t="s">
        <v>27</v>
      </c>
      <c r="W590" t="s">
        <v>66</v>
      </c>
      <c r="X590" t="s">
        <v>67</v>
      </c>
      <c r="Y590" t="s">
        <v>138</v>
      </c>
      <c r="AA590" t="s">
        <v>494</v>
      </c>
      <c r="AC590" t="s">
        <v>139</v>
      </c>
      <c r="AD590" t="s">
        <v>1889</v>
      </c>
      <c r="AG590" t="s">
        <v>493</v>
      </c>
      <c r="AH590" t="s">
        <v>68</v>
      </c>
      <c r="AI590" t="s">
        <v>493</v>
      </c>
    </row>
    <row r="591" spans="1:35" customFormat="1">
      <c r="A591" t="s">
        <v>23</v>
      </c>
      <c r="B591" t="s">
        <v>24</v>
      </c>
      <c r="C591" t="s">
        <v>929</v>
      </c>
      <c r="D591" t="s">
        <v>135</v>
      </c>
      <c r="E591" t="s">
        <v>930</v>
      </c>
      <c r="F591" t="s">
        <v>931</v>
      </c>
      <c r="G591" t="s">
        <v>136</v>
      </c>
      <c r="H591" t="s">
        <v>493</v>
      </c>
      <c r="I591" t="s">
        <v>932</v>
      </c>
      <c r="J591" t="s">
        <v>933</v>
      </c>
      <c r="K591" t="s">
        <v>65</v>
      </c>
      <c r="L591" t="s">
        <v>1450</v>
      </c>
      <c r="M591" t="s">
        <v>137</v>
      </c>
      <c r="N591" t="s">
        <v>1890</v>
      </c>
      <c r="O591">
        <v>1190</v>
      </c>
      <c r="P591" t="s">
        <v>35</v>
      </c>
      <c r="R591">
        <v>1193</v>
      </c>
      <c r="S591">
        <v>1190</v>
      </c>
      <c r="T591" t="s">
        <v>493</v>
      </c>
      <c r="U591" t="s">
        <v>493</v>
      </c>
      <c r="V591" t="s">
        <v>27</v>
      </c>
      <c r="W591" t="s">
        <v>66</v>
      </c>
      <c r="X591" t="s">
        <v>67</v>
      </c>
      <c r="Y591" t="s">
        <v>138</v>
      </c>
      <c r="AA591" t="s">
        <v>494</v>
      </c>
      <c r="AC591" t="s">
        <v>139</v>
      </c>
      <c r="AD591" t="s">
        <v>1891</v>
      </c>
      <c r="AG591" t="s">
        <v>493</v>
      </c>
      <c r="AH591" t="s">
        <v>68</v>
      </c>
      <c r="AI591" t="s">
        <v>493</v>
      </c>
    </row>
    <row r="592" spans="1:35" customFormat="1">
      <c r="A592" t="s">
        <v>23</v>
      </c>
      <c r="B592" t="s">
        <v>24</v>
      </c>
      <c r="C592" t="s">
        <v>929</v>
      </c>
      <c r="D592" t="s">
        <v>135</v>
      </c>
      <c r="E592" t="s">
        <v>930</v>
      </c>
      <c r="F592" t="s">
        <v>931</v>
      </c>
      <c r="G592" t="s">
        <v>136</v>
      </c>
      <c r="H592" t="s">
        <v>493</v>
      </c>
      <c r="I592" t="s">
        <v>932</v>
      </c>
      <c r="J592" t="s">
        <v>933</v>
      </c>
      <c r="K592" t="s">
        <v>65</v>
      </c>
      <c r="L592" t="s">
        <v>1450</v>
      </c>
      <c r="M592" t="s">
        <v>137</v>
      </c>
      <c r="N592" t="s">
        <v>1892</v>
      </c>
      <c r="O592">
        <v>1189</v>
      </c>
      <c r="P592" t="s">
        <v>35</v>
      </c>
      <c r="R592">
        <v>1192</v>
      </c>
      <c r="S592">
        <v>1189</v>
      </c>
      <c r="T592" t="s">
        <v>493</v>
      </c>
      <c r="U592" t="s">
        <v>493</v>
      </c>
      <c r="V592" t="s">
        <v>27</v>
      </c>
      <c r="W592" t="s">
        <v>66</v>
      </c>
      <c r="X592" t="s">
        <v>67</v>
      </c>
      <c r="Y592" t="s">
        <v>138</v>
      </c>
      <c r="AA592" t="s">
        <v>494</v>
      </c>
      <c r="AC592" t="s">
        <v>139</v>
      </c>
      <c r="AD592" t="s">
        <v>1893</v>
      </c>
      <c r="AG592" t="s">
        <v>493</v>
      </c>
      <c r="AH592" t="s">
        <v>68</v>
      </c>
      <c r="AI592" t="s">
        <v>493</v>
      </c>
    </row>
    <row r="593" spans="1:37" customFormat="1">
      <c r="A593" t="s">
        <v>23</v>
      </c>
      <c r="B593" t="s">
        <v>24</v>
      </c>
      <c r="C593" t="s">
        <v>179</v>
      </c>
      <c r="D593" t="s">
        <v>135</v>
      </c>
      <c r="E593" t="s">
        <v>1828</v>
      </c>
      <c r="F593" t="s">
        <v>931</v>
      </c>
      <c r="G593" t="s">
        <v>136</v>
      </c>
      <c r="H593" t="s">
        <v>146</v>
      </c>
      <c r="I593" t="s">
        <v>156</v>
      </c>
      <c r="J593" t="s">
        <v>26</v>
      </c>
      <c r="K593" t="s">
        <v>157</v>
      </c>
      <c r="L593" t="s">
        <v>143</v>
      </c>
      <c r="M593" t="s">
        <v>144</v>
      </c>
      <c r="N593" t="s">
        <v>1894</v>
      </c>
      <c r="O593">
        <v>1</v>
      </c>
      <c r="P593" t="s">
        <v>160</v>
      </c>
      <c r="R593">
        <v>797</v>
      </c>
      <c r="S593">
        <v>792</v>
      </c>
      <c r="T593" t="s">
        <v>145</v>
      </c>
      <c r="U593" t="s">
        <v>173</v>
      </c>
      <c r="V593" t="s">
        <v>27</v>
      </c>
      <c r="W593" t="s">
        <v>66</v>
      </c>
      <c r="X593" t="s">
        <v>67</v>
      </c>
      <c r="Y593" t="s">
        <v>138</v>
      </c>
      <c r="AA593" t="s">
        <v>494</v>
      </c>
      <c r="AC593" t="s">
        <v>139</v>
      </c>
      <c r="AD593" t="s">
        <v>1895</v>
      </c>
      <c r="AG593" t="s">
        <v>156</v>
      </c>
      <c r="AH593" t="s">
        <v>68</v>
      </c>
      <c r="AI593" t="s">
        <v>493</v>
      </c>
      <c r="AK593" t="s">
        <v>1896</v>
      </c>
    </row>
    <row r="594" spans="1:37" customFormat="1">
      <c r="A594" t="s">
        <v>23</v>
      </c>
      <c r="B594" t="s">
        <v>24</v>
      </c>
      <c r="C594" t="s">
        <v>179</v>
      </c>
      <c r="D594" t="s">
        <v>135</v>
      </c>
      <c r="E594" t="s">
        <v>1828</v>
      </c>
      <c r="F594" t="s">
        <v>931</v>
      </c>
      <c r="G594" t="s">
        <v>136</v>
      </c>
      <c r="H594" t="s">
        <v>146</v>
      </c>
      <c r="I594" t="s">
        <v>156</v>
      </c>
      <c r="J594" t="s">
        <v>26</v>
      </c>
      <c r="K594" t="s">
        <v>157</v>
      </c>
      <c r="L594" t="s">
        <v>143</v>
      </c>
      <c r="M594" t="s">
        <v>144</v>
      </c>
      <c r="N594" t="s">
        <v>1897</v>
      </c>
      <c r="O594">
        <v>1</v>
      </c>
      <c r="P594" t="s">
        <v>160</v>
      </c>
      <c r="R594">
        <v>798</v>
      </c>
      <c r="S594">
        <v>792</v>
      </c>
      <c r="T594" t="s">
        <v>145</v>
      </c>
      <c r="U594" t="s">
        <v>173</v>
      </c>
      <c r="V594" t="s">
        <v>27</v>
      </c>
      <c r="W594" t="s">
        <v>66</v>
      </c>
      <c r="X594" t="s">
        <v>67</v>
      </c>
      <c r="Y594" t="s">
        <v>138</v>
      </c>
      <c r="AA594" t="s">
        <v>494</v>
      </c>
      <c r="AC594" t="s">
        <v>139</v>
      </c>
      <c r="AD594" t="s">
        <v>1898</v>
      </c>
      <c r="AG594" t="s">
        <v>156</v>
      </c>
      <c r="AH594" t="s">
        <v>68</v>
      </c>
      <c r="AI594" t="s">
        <v>493</v>
      </c>
      <c r="AK594" t="s">
        <v>1899</v>
      </c>
    </row>
    <row r="595" spans="1:37" customFormat="1">
      <c r="A595" t="s">
        <v>23</v>
      </c>
      <c r="B595" t="s">
        <v>24</v>
      </c>
      <c r="C595" t="s">
        <v>934</v>
      </c>
      <c r="D595" t="s">
        <v>135</v>
      </c>
      <c r="E595" t="s">
        <v>1822</v>
      </c>
      <c r="F595" t="s">
        <v>931</v>
      </c>
      <c r="G595" t="s">
        <v>136</v>
      </c>
      <c r="H595" t="s">
        <v>1823</v>
      </c>
      <c r="I595" t="s">
        <v>71</v>
      </c>
      <c r="J595" t="s">
        <v>72</v>
      </c>
      <c r="K595" t="s">
        <v>65</v>
      </c>
      <c r="L595" t="s">
        <v>143</v>
      </c>
      <c r="M595" t="s">
        <v>144</v>
      </c>
      <c r="N595" t="s">
        <v>1900</v>
      </c>
      <c r="O595">
        <v>1150</v>
      </c>
      <c r="P595" t="s">
        <v>35</v>
      </c>
      <c r="R595">
        <v>1153</v>
      </c>
      <c r="S595">
        <v>1150</v>
      </c>
      <c r="T595" t="s">
        <v>1817</v>
      </c>
      <c r="U595" t="s">
        <v>1818</v>
      </c>
      <c r="V595" t="s">
        <v>27</v>
      </c>
      <c r="W595" t="s">
        <v>2230</v>
      </c>
      <c r="X595" t="s">
        <v>67</v>
      </c>
      <c r="Y595" t="s">
        <v>138</v>
      </c>
      <c r="AA595" t="s">
        <v>494</v>
      </c>
      <c r="AC595" t="s">
        <v>139</v>
      </c>
      <c r="AD595" t="s">
        <v>1901</v>
      </c>
      <c r="AG595" t="s">
        <v>71</v>
      </c>
      <c r="AH595" t="s">
        <v>68</v>
      </c>
      <c r="AI595" t="s">
        <v>493</v>
      </c>
    </row>
    <row r="596" spans="1:37" customFormat="1">
      <c r="A596" t="s">
        <v>23</v>
      </c>
      <c r="B596" t="s">
        <v>24</v>
      </c>
      <c r="C596" t="s">
        <v>179</v>
      </c>
      <c r="D596" t="s">
        <v>135</v>
      </c>
      <c r="E596" t="s">
        <v>1828</v>
      </c>
      <c r="F596" t="s">
        <v>931</v>
      </c>
      <c r="G596" t="s">
        <v>136</v>
      </c>
      <c r="H596" t="s">
        <v>146</v>
      </c>
      <c r="I596" t="s">
        <v>156</v>
      </c>
      <c r="J596" t="s">
        <v>26</v>
      </c>
      <c r="K596" t="s">
        <v>157</v>
      </c>
      <c r="L596" t="s">
        <v>143</v>
      </c>
      <c r="M596" t="s">
        <v>144</v>
      </c>
      <c r="N596" t="s">
        <v>1902</v>
      </c>
      <c r="O596">
        <v>1</v>
      </c>
      <c r="P596" t="s">
        <v>160</v>
      </c>
      <c r="R596">
        <v>798</v>
      </c>
      <c r="S596">
        <v>792</v>
      </c>
      <c r="T596" t="s">
        <v>145</v>
      </c>
      <c r="U596" t="s">
        <v>173</v>
      </c>
      <c r="V596" t="s">
        <v>27</v>
      </c>
      <c r="W596" t="s">
        <v>66</v>
      </c>
      <c r="X596" t="s">
        <v>67</v>
      </c>
      <c r="Y596" t="s">
        <v>138</v>
      </c>
      <c r="AA596" t="s">
        <v>494</v>
      </c>
      <c r="AC596" t="s">
        <v>139</v>
      </c>
      <c r="AD596" t="s">
        <v>1903</v>
      </c>
      <c r="AG596" t="s">
        <v>156</v>
      </c>
      <c r="AH596" t="s">
        <v>68</v>
      </c>
      <c r="AI596" t="s">
        <v>493</v>
      </c>
      <c r="AK596" t="s">
        <v>1904</v>
      </c>
    </row>
    <row r="597" spans="1:37" customFormat="1">
      <c r="A597" t="s">
        <v>23</v>
      </c>
      <c r="B597" t="s">
        <v>24</v>
      </c>
      <c r="C597" t="s">
        <v>929</v>
      </c>
      <c r="D597" t="s">
        <v>135</v>
      </c>
      <c r="E597" t="s">
        <v>930</v>
      </c>
      <c r="F597" t="s">
        <v>931</v>
      </c>
      <c r="G597" t="s">
        <v>136</v>
      </c>
      <c r="H597" t="s">
        <v>493</v>
      </c>
      <c r="I597" t="s">
        <v>932</v>
      </c>
      <c r="J597" t="s">
        <v>933</v>
      </c>
      <c r="K597" t="s">
        <v>65</v>
      </c>
      <c r="L597" t="s">
        <v>1450</v>
      </c>
      <c r="M597" t="s">
        <v>137</v>
      </c>
      <c r="N597" t="s">
        <v>1907</v>
      </c>
      <c r="O597">
        <v>1197</v>
      </c>
      <c r="P597" t="s">
        <v>35</v>
      </c>
      <c r="R597">
        <v>1200</v>
      </c>
      <c r="S597">
        <v>1197</v>
      </c>
      <c r="T597" t="s">
        <v>493</v>
      </c>
      <c r="U597" t="s">
        <v>493</v>
      </c>
      <c r="V597" t="s">
        <v>27</v>
      </c>
      <c r="W597" t="s">
        <v>66</v>
      </c>
      <c r="X597" t="s">
        <v>67</v>
      </c>
      <c r="Y597" t="s">
        <v>138</v>
      </c>
      <c r="AA597" t="s">
        <v>494</v>
      </c>
      <c r="AC597" t="s">
        <v>139</v>
      </c>
      <c r="AD597" t="s">
        <v>1908</v>
      </c>
      <c r="AG597" t="s">
        <v>493</v>
      </c>
      <c r="AH597" t="s">
        <v>68</v>
      </c>
      <c r="AI597" t="s">
        <v>493</v>
      </c>
    </row>
    <row r="598" spans="1:37" customFormat="1">
      <c r="A598" t="s">
        <v>23</v>
      </c>
      <c r="B598" t="s">
        <v>24</v>
      </c>
      <c r="C598" t="s">
        <v>929</v>
      </c>
      <c r="D598" t="s">
        <v>135</v>
      </c>
      <c r="E598" t="s">
        <v>930</v>
      </c>
      <c r="F598" t="s">
        <v>931</v>
      </c>
      <c r="G598" t="s">
        <v>136</v>
      </c>
      <c r="H598" t="s">
        <v>493</v>
      </c>
      <c r="I598" t="s">
        <v>932</v>
      </c>
      <c r="J598" t="s">
        <v>933</v>
      </c>
      <c r="K598" t="s">
        <v>65</v>
      </c>
      <c r="L598" t="s">
        <v>1094</v>
      </c>
      <c r="M598" t="s">
        <v>137</v>
      </c>
      <c r="N598" t="s">
        <v>1909</v>
      </c>
      <c r="O598">
        <v>1197</v>
      </c>
      <c r="P598" t="s">
        <v>35</v>
      </c>
      <c r="R598">
        <v>1200</v>
      </c>
      <c r="S598">
        <v>1197</v>
      </c>
      <c r="T598" t="s">
        <v>493</v>
      </c>
      <c r="U598" t="s">
        <v>493</v>
      </c>
      <c r="V598" t="s">
        <v>27</v>
      </c>
      <c r="W598" t="s">
        <v>66</v>
      </c>
      <c r="X598" t="s">
        <v>67</v>
      </c>
      <c r="Y598" t="s">
        <v>138</v>
      </c>
      <c r="AA598" t="s">
        <v>494</v>
      </c>
      <c r="AC598" t="s">
        <v>139</v>
      </c>
      <c r="AD598" t="s">
        <v>1910</v>
      </c>
      <c r="AG598" t="s">
        <v>493</v>
      </c>
      <c r="AH598" t="s">
        <v>68</v>
      </c>
      <c r="AI598" t="s">
        <v>493</v>
      </c>
    </row>
    <row r="599" spans="1:37" customFormat="1">
      <c r="A599" t="s">
        <v>23</v>
      </c>
      <c r="B599" t="s">
        <v>24</v>
      </c>
      <c r="C599" t="s">
        <v>929</v>
      </c>
      <c r="D599" t="s">
        <v>135</v>
      </c>
      <c r="E599" t="s">
        <v>930</v>
      </c>
      <c r="F599" t="s">
        <v>931</v>
      </c>
      <c r="G599" t="s">
        <v>136</v>
      </c>
      <c r="H599" t="s">
        <v>493</v>
      </c>
      <c r="I599" t="s">
        <v>932</v>
      </c>
      <c r="J599" t="s">
        <v>933</v>
      </c>
      <c r="K599" t="s">
        <v>65</v>
      </c>
      <c r="L599" t="s">
        <v>1094</v>
      </c>
      <c r="M599" t="s">
        <v>137</v>
      </c>
      <c r="N599" t="s">
        <v>1911</v>
      </c>
      <c r="O599">
        <v>1195</v>
      </c>
      <c r="P599" t="s">
        <v>35</v>
      </c>
      <c r="R599">
        <v>1198</v>
      </c>
      <c r="S599">
        <v>1195</v>
      </c>
      <c r="T599" t="s">
        <v>493</v>
      </c>
      <c r="U599" t="s">
        <v>493</v>
      </c>
      <c r="V599" t="s">
        <v>27</v>
      </c>
      <c r="W599" t="s">
        <v>66</v>
      </c>
      <c r="X599" t="s">
        <v>67</v>
      </c>
      <c r="Y599" t="s">
        <v>138</v>
      </c>
      <c r="AA599" t="s">
        <v>494</v>
      </c>
      <c r="AC599" t="s">
        <v>139</v>
      </c>
      <c r="AD599" t="s">
        <v>2097</v>
      </c>
      <c r="AG599" t="s">
        <v>493</v>
      </c>
      <c r="AH599" t="s">
        <v>68</v>
      </c>
      <c r="AI599" t="s">
        <v>493</v>
      </c>
    </row>
    <row r="600" spans="1:37" customFormat="1">
      <c r="A600" t="s">
        <v>23</v>
      </c>
      <c r="B600" t="s">
        <v>24</v>
      </c>
      <c r="C600" t="s">
        <v>929</v>
      </c>
      <c r="D600" t="s">
        <v>135</v>
      </c>
      <c r="E600" t="s">
        <v>930</v>
      </c>
      <c r="F600" t="s">
        <v>931</v>
      </c>
      <c r="G600" t="s">
        <v>136</v>
      </c>
      <c r="H600" t="s">
        <v>493</v>
      </c>
      <c r="I600" t="s">
        <v>932</v>
      </c>
      <c r="J600" t="s">
        <v>933</v>
      </c>
      <c r="K600" t="s">
        <v>65</v>
      </c>
      <c r="L600" t="s">
        <v>1450</v>
      </c>
      <c r="M600" t="s">
        <v>137</v>
      </c>
      <c r="N600" t="s">
        <v>1912</v>
      </c>
      <c r="O600">
        <v>1196</v>
      </c>
      <c r="P600" t="s">
        <v>35</v>
      </c>
      <c r="R600">
        <v>1199</v>
      </c>
      <c r="S600">
        <v>1196</v>
      </c>
      <c r="T600" t="s">
        <v>493</v>
      </c>
      <c r="U600" t="s">
        <v>493</v>
      </c>
      <c r="V600" t="s">
        <v>27</v>
      </c>
      <c r="W600" t="s">
        <v>66</v>
      </c>
      <c r="X600" t="s">
        <v>67</v>
      </c>
      <c r="Y600" t="s">
        <v>138</v>
      </c>
      <c r="AA600" t="s">
        <v>494</v>
      </c>
      <c r="AC600" t="s">
        <v>139</v>
      </c>
      <c r="AD600" t="s">
        <v>1913</v>
      </c>
      <c r="AG600" t="s">
        <v>493</v>
      </c>
      <c r="AH600" t="s">
        <v>68</v>
      </c>
      <c r="AI600" t="s">
        <v>493</v>
      </c>
    </row>
    <row r="601" spans="1:37" customFormat="1">
      <c r="A601" t="s">
        <v>23</v>
      </c>
      <c r="B601" t="s">
        <v>24</v>
      </c>
      <c r="C601" t="s">
        <v>929</v>
      </c>
      <c r="D601" t="s">
        <v>135</v>
      </c>
      <c r="E601" t="s">
        <v>930</v>
      </c>
      <c r="F601" t="s">
        <v>931</v>
      </c>
      <c r="G601" t="s">
        <v>136</v>
      </c>
      <c r="H601" t="s">
        <v>493</v>
      </c>
      <c r="I601" t="s">
        <v>932</v>
      </c>
      <c r="J601" t="s">
        <v>933</v>
      </c>
      <c r="K601" t="s">
        <v>65</v>
      </c>
      <c r="L601" t="s">
        <v>1450</v>
      </c>
      <c r="M601" t="s">
        <v>137</v>
      </c>
      <c r="N601" t="s">
        <v>1914</v>
      </c>
      <c r="O601">
        <v>1196</v>
      </c>
      <c r="P601" t="s">
        <v>35</v>
      </c>
      <c r="R601">
        <v>1199</v>
      </c>
      <c r="S601">
        <v>1196</v>
      </c>
      <c r="T601" t="s">
        <v>493</v>
      </c>
      <c r="U601" t="s">
        <v>493</v>
      </c>
      <c r="V601" t="s">
        <v>27</v>
      </c>
      <c r="W601" t="s">
        <v>66</v>
      </c>
      <c r="X601" t="s">
        <v>67</v>
      </c>
      <c r="Y601" t="s">
        <v>138</v>
      </c>
      <c r="AA601" t="s">
        <v>494</v>
      </c>
      <c r="AC601" t="s">
        <v>139</v>
      </c>
      <c r="AD601" t="s">
        <v>1915</v>
      </c>
      <c r="AG601" t="s">
        <v>493</v>
      </c>
      <c r="AH601" t="s">
        <v>68</v>
      </c>
      <c r="AI601" t="s">
        <v>493</v>
      </c>
    </row>
    <row r="602" spans="1:37" customFormat="1">
      <c r="A602" t="s">
        <v>23</v>
      </c>
      <c r="B602" t="s">
        <v>24</v>
      </c>
      <c r="C602" t="s">
        <v>929</v>
      </c>
      <c r="D602" t="s">
        <v>135</v>
      </c>
      <c r="E602" t="s">
        <v>930</v>
      </c>
      <c r="F602" t="s">
        <v>931</v>
      </c>
      <c r="G602" t="s">
        <v>136</v>
      </c>
      <c r="H602" t="s">
        <v>493</v>
      </c>
      <c r="I602" t="s">
        <v>932</v>
      </c>
      <c r="J602" t="s">
        <v>933</v>
      </c>
      <c r="K602" t="s">
        <v>65</v>
      </c>
      <c r="L602" t="s">
        <v>1094</v>
      </c>
      <c r="M602" t="s">
        <v>137</v>
      </c>
      <c r="N602" t="s">
        <v>1916</v>
      </c>
      <c r="O602">
        <v>1189</v>
      </c>
      <c r="P602" t="s">
        <v>35</v>
      </c>
      <c r="R602">
        <v>1192</v>
      </c>
      <c r="S602">
        <v>1189</v>
      </c>
      <c r="T602" t="s">
        <v>493</v>
      </c>
      <c r="U602" t="s">
        <v>493</v>
      </c>
      <c r="V602" t="s">
        <v>27</v>
      </c>
      <c r="W602" t="s">
        <v>66</v>
      </c>
      <c r="X602" t="s">
        <v>67</v>
      </c>
      <c r="Y602" t="s">
        <v>138</v>
      </c>
      <c r="AA602" t="s">
        <v>494</v>
      </c>
      <c r="AC602" t="s">
        <v>139</v>
      </c>
      <c r="AD602" t="s">
        <v>1917</v>
      </c>
      <c r="AG602" t="s">
        <v>493</v>
      </c>
      <c r="AH602" t="s">
        <v>68</v>
      </c>
      <c r="AI602" t="s">
        <v>493</v>
      </c>
    </row>
    <row r="603" spans="1:37" customFormat="1">
      <c r="A603" t="s">
        <v>23</v>
      </c>
      <c r="B603" t="s">
        <v>24</v>
      </c>
      <c r="C603" t="s">
        <v>929</v>
      </c>
      <c r="D603" t="s">
        <v>135</v>
      </c>
      <c r="E603" t="s">
        <v>930</v>
      </c>
      <c r="F603" t="s">
        <v>931</v>
      </c>
      <c r="G603" t="s">
        <v>136</v>
      </c>
      <c r="H603" t="s">
        <v>493</v>
      </c>
      <c r="I603" t="s">
        <v>932</v>
      </c>
      <c r="J603" t="s">
        <v>933</v>
      </c>
      <c r="K603" t="s">
        <v>65</v>
      </c>
      <c r="L603" t="s">
        <v>1094</v>
      </c>
      <c r="M603" t="s">
        <v>137</v>
      </c>
      <c r="N603" t="s">
        <v>1918</v>
      </c>
      <c r="O603">
        <v>1188</v>
      </c>
      <c r="P603" t="s">
        <v>35</v>
      </c>
      <c r="R603">
        <v>1191</v>
      </c>
      <c r="S603">
        <v>1188</v>
      </c>
      <c r="T603" t="s">
        <v>493</v>
      </c>
      <c r="U603" t="s">
        <v>493</v>
      </c>
      <c r="V603" t="s">
        <v>27</v>
      </c>
      <c r="W603" t="s">
        <v>66</v>
      </c>
      <c r="X603" t="s">
        <v>67</v>
      </c>
      <c r="Y603" t="s">
        <v>138</v>
      </c>
      <c r="AA603" t="s">
        <v>494</v>
      </c>
      <c r="AC603" t="s">
        <v>139</v>
      </c>
      <c r="AD603" t="s">
        <v>1919</v>
      </c>
      <c r="AG603" t="s">
        <v>493</v>
      </c>
      <c r="AH603" t="s">
        <v>68</v>
      </c>
      <c r="AI603" t="s">
        <v>493</v>
      </c>
    </row>
    <row r="604" spans="1:37" customFormat="1">
      <c r="A604" t="s">
        <v>23</v>
      </c>
      <c r="B604" t="s">
        <v>24</v>
      </c>
      <c r="C604" t="s">
        <v>929</v>
      </c>
      <c r="D604" t="s">
        <v>135</v>
      </c>
      <c r="E604" t="s">
        <v>930</v>
      </c>
      <c r="F604" t="s">
        <v>931</v>
      </c>
      <c r="G604" t="s">
        <v>136</v>
      </c>
      <c r="H604" t="s">
        <v>493</v>
      </c>
      <c r="I604" t="s">
        <v>932</v>
      </c>
      <c r="J604" t="s">
        <v>933</v>
      </c>
      <c r="K604" t="s">
        <v>65</v>
      </c>
      <c r="L604" t="s">
        <v>1094</v>
      </c>
      <c r="M604" t="s">
        <v>137</v>
      </c>
      <c r="N604" t="s">
        <v>1920</v>
      </c>
      <c r="O604">
        <v>1190</v>
      </c>
      <c r="P604" t="s">
        <v>35</v>
      </c>
      <c r="R604">
        <v>1193</v>
      </c>
      <c r="S604">
        <v>1190</v>
      </c>
      <c r="T604" t="s">
        <v>493</v>
      </c>
      <c r="U604" t="s">
        <v>493</v>
      </c>
      <c r="V604" t="s">
        <v>27</v>
      </c>
      <c r="W604" t="s">
        <v>66</v>
      </c>
      <c r="X604" t="s">
        <v>67</v>
      </c>
      <c r="Y604" t="s">
        <v>138</v>
      </c>
      <c r="AA604" t="s">
        <v>494</v>
      </c>
      <c r="AC604" t="s">
        <v>139</v>
      </c>
      <c r="AD604" t="s">
        <v>1921</v>
      </c>
      <c r="AG604" t="s">
        <v>493</v>
      </c>
      <c r="AH604" t="s">
        <v>68</v>
      </c>
      <c r="AI604" t="s">
        <v>493</v>
      </c>
    </row>
    <row r="605" spans="1:37" customFormat="1">
      <c r="A605" t="s">
        <v>23</v>
      </c>
      <c r="B605" t="s">
        <v>24</v>
      </c>
      <c r="C605" t="s">
        <v>929</v>
      </c>
      <c r="D605" t="s">
        <v>135</v>
      </c>
      <c r="E605" t="s">
        <v>930</v>
      </c>
      <c r="F605" t="s">
        <v>931</v>
      </c>
      <c r="G605" t="s">
        <v>136</v>
      </c>
      <c r="H605" t="s">
        <v>493</v>
      </c>
      <c r="I605" t="s">
        <v>932</v>
      </c>
      <c r="J605" t="s">
        <v>933</v>
      </c>
      <c r="K605" t="s">
        <v>65</v>
      </c>
      <c r="L605" t="s">
        <v>1450</v>
      </c>
      <c r="M605" t="s">
        <v>137</v>
      </c>
      <c r="N605" t="s">
        <v>1922</v>
      </c>
      <c r="O605">
        <v>1190</v>
      </c>
      <c r="P605" t="s">
        <v>35</v>
      </c>
      <c r="R605">
        <v>1193</v>
      </c>
      <c r="S605">
        <v>1190</v>
      </c>
      <c r="T605" t="s">
        <v>493</v>
      </c>
      <c r="U605" t="s">
        <v>493</v>
      </c>
      <c r="V605" t="s">
        <v>27</v>
      </c>
      <c r="W605" t="s">
        <v>66</v>
      </c>
      <c r="X605" t="s">
        <v>67</v>
      </c>
      <c r="Y605" t="s">
        <v>138</v>
      </c>
      <c r="AA605" t="s">
        <v>494</v>
      </c>
      <c r="AC605" t="s">
        <v>139</v>
      </c>
      <c r="AD605" t="s">
        <v>1923</v>
      </c>
      <c r="AG605" t="s">
        <v>493</v>
      </c>
      <c r="AH605" t="s">
        <v>68</v>
      </c>
      <c r="AI605" t="s">
        <v>493</v>
      </c>
    </row>
    <row r="606" spans="1:37" customFormat="1">
      <c r="A606" t="s">
        <v>23</v>
      </c>
      <c r="B606" t="s">
        <v>24</v>
      </c>
      <c r="C606" t="s">
        <v>929</v>
      </c>
      <c r="D606" t="s">
        <v>135</v>
      </c>
      <c r="E606" t="s">
        <v>930</v>
      </c>
      <c r="F606" t="s">
        <v>931</v>
      </c>
      <c r="G606" t="s">
        <v>136</v>
      </c>
      <c r="H606" t="s">
        <v>493</v>
      </c>
      <c r="I606" t="s">
        <v>932</v>
      </c>
      <c r="J606" t="s">
        <v>933</v>
      </c>
      <c r="K606" t="s">
        <v>65</v>
      </c>
      <c r="L606" t="s">
        <v>1094</v>
      </c>
      <c r="M606" t="s">
        <v>137</v>
      </c>
      <c r="N606" t="s">
        <v>1924</v>
      </c>
      <c r="O606">
        <v>1190</v>
      </c>
      <c r="P606" t="s">
        <v>35</v>
      </c>
      <c r="R606">
        <v>1193</v>
      </c>
      <c r="S606">
        <v>1190</v>
      </c>
      <c r="T606" t="s">
        <v>493</v>
      </c>
      <c r="U606" t="s">
        <v>493</v>
      </c>
      <c r="V606" t="s">
        <v>27</v>
      </c>
      <c r="W606" t="s">
        <v>66</v>
      </c>
      <c r="X606" t="s">
        <v>67</v>
      </c>
      <c r="Y606" t="s">
        <v>138</v>
      </c>
      <c r="AA606" t="s">
        <v>494</v>
      </c>
      <c r="AC606" t="s">
        <v>139</v>
      </c>
      <c r="AD606" t="s">
        <v>1925</v>
      </c>
      <c r="AG606" t="s">
        <v>493</v>
      </c>
      <c r="AH606" t="s">
        <v>68</v>
      </c>
      <c r="AI606" t="s">
        <v>493</v>
      </c>
    </row>
    <row r="607" spans="1:37" customFormat="1">
      <c r="A607" t="s">
        <v>23</v>
      </c>
      <c r="B607" t="s">
        <v>24</v>
      </c>
      <c r="C607" t="s">
        <v>929</v>
      </c>
      <c r="D607" t="s">
        <v>135</v>
      </c>
      <c r="E607" t="s">
        <v>930</v>
      </c>
      <c r="F607" t="s">
        <v>931</v>
      </c>
      <c r="G607" t="s">
        <v>136</v>
      </c>
      <c r="H607" t="s">
        <v>493</v>
      </c>
      <c r="I607" t="s">
        <v>932</v>
      </c>
      <c r="J607" t="s">
        <v>933</v>
      </c>
      <c r="K607" t="s">
        <v>65</v>
      </c>
      <c r="L607" t="s">
        <v>1094</v>
      </c>
      <c r="M607" t="s">
        <v>137</v>
      </c>
      <c r="N607" t="s">
        <v>1926</v>
      </c>
      <c r="O607">
        <v>1190</v>
      </c>
      <c r="P607" t="s">
        <v>35</v>
      </c>
      <c r="R607">
        <v>1193</v>
      </c>
      <c r="S607">
        <v>1190</v>
      </c>
      <c r="T607" t="s">
        <v>493</v>
      </c>
      <c r="U607" t="s">
        <v>493</v>
      </c>
      <c r="V607" t="s">
        <v>27</v>
      </c>
      <c r="W607" t="s">
        <v>66</v>
      </c>
      <c r="X607" t="s">
        <v>67</v>
      </c>
      <c r="Y607" t="s">
        <v>138</v>
      </c>
      <c r="AA607" t="s">
        <v>494</v>
      </c>
      <c r="AC607" t="s">
        <v>139</v>
      </c>
      <c r="AD607" t="s">
        <v>1927</v>
      </c>
      <c r="AG607" t="s">
        <v>493</v>
      </c>
      <c r="AH607" t="s">
        <v>68</v>
      </c>
      <c r="AI607" t="s">
        <v>493</v>
      </c>
    </row>
    <row r="608" spans="1:37" customFormat="1">
      <c r="A608" t="s">
        <v>23</v>
      </c>
      <c r="B608" t="s">
        <v>24</v>
      </c>
      <c r="C608" t="s">
        <v>929</v>
      </c>
      <c r="D608" t="s">
        <v>135</v>
      </c>
      <c r="E608" t="s">
        <v>930</v>
      </c>
      <c r="F608" t="s">
        <v>931</v>
      </c>
      <c r="G608" t="s">
        <v>136</v>
      </c>
      <c r="H608" t="s">
        <v>493</v>
      </c>
      <c r="I608" t="s">
        <v>932</v>
      </c>
      <c r="J608" t="s">
        <v>933</v>
      </c>
      <c r="K608" t="s">
        <v>65</v>
      </c>
      <c r="L608" t="s">
        <v>1094</v>
      </c>
      <c r="M608" t="s">
        <v>137</v>
      </c>
      <c r="N608" t="s">
        <v>1928</v>
      </c>
      <c r="O608">
        <v>1189</v>
      </c>
      <c r="P608" t="s">
        <v>35</v>
      </c>
      <c r="R608">
        <v>1192</v>
      </c>
      <c r="S608">
        <v>1189</v>
      </c>
      <c r="T608" t="s">
        <v>493</v>
      </c>
      <c r="U608" t="s">
        <v>493</v>
      </c>
      <c r="V608" t="s">
        <v>27</v>
      </c>
      <c r="W608" t="s">
        <v>66</v>
      </c>
      <c r="X608" t="s">
        <v>67</v>
      </c>
      <c r="Y608" t="s">
        <v>138</v>
      </c>
      <c r="AA608" t="s">
        <v>494</v>
      </c>
      <c r="AC608" t="s">
        <v>139</v>
      </c>
      <c r="AD608" t="s">
        <v>1929</v>
      </c>
      <c r="AG608" t="s">
        <v>493</v>
      </c>
      <c r="AH608" t="s">
        <v>68</v>
      </c>
      <c r="AI608" t="s">
        <v>493</v>
      </c>
    </row>
    <row r="609" spans="1:35" customFormat="1">
      <c r="A609" t="s">
        <v>23</v>
      </c>
      <c r="B609" t="s">
        <v>24</v>
      </c>
      <c r="C609" t="s">
        <v>929</v>
      </c>
      <c r="D609" t="s">
        <v>135</v>
      </c>
      <c r="E609" t="s">
        <v>930</v>
      </c>
      <c r="F609" t="s">
        <v>931</v>
      </c>
      <c r="G609" t="s">
        <v>136</v>
      </c>
      <c r="H609" t="s">
        <v>493</v>
      </c>
      <c r="I609" t="s">
        <v>932</v>
      </c>
      <c r="J609" t="s">
        <v>933</v>
      </c>
      <c r="K609" t="s">
        <v>65</v>
      </c>
      <c r="L609" t="s">
        <v>1094</v>
      </c>
      <c r="M609" t="s">
        <v>137</v>
      </c>
      <c r="N609" t="s">
        <v>1930</v>
      </c>
      <c r="O609">
        <v>1190</v>
      </c>
      <c r="P609" t="s">
        <v>35</v>
      </c>
      <c r="R609">
        <v>1193</v>
      </c>
      <c r="S609">
        <v>1190</v>
      </c>
      <c r="T609" t="s">
        <v>493</v>
      </c>
      <c r="U609" t="s">
        <v>493</v>
      </c>
      <c r="V609" t="s">
        <v>27</v>
      </c>
      <c r="W609" t="s">
        <v>66</v>
      </c>
      <c r="X609" t="s">
        <v>67</v>
      </c>
      <c r="Y609" t="s">
        <v>138</v>
      </c>
      <c r="AA609" t="s">
        <v>494</v>
      </c>
      <c r="AC609" t="s">
        <v>139</v>
      </c>
      <c r="AD609" t="s">
        <v>1931</v>
      </c>
      <c r="AG609" t="s">
        <v>493</v>
      </c>
      <c r="AH609" t="s">
        <v>68</v>
      </c>
      <c r="AI609" t="s">
        <v>493</v>
      </c>
    </row>
    <row r="610" spans="1:35" customFormat="1">
      <c r="A610" t="s">
        <v>23</v>
      </c>
      <c r="B610" t="s">
        <v>24</v>
      </c>
      <c r="C610" t="s">
        <v>929</v>
      </c>
      <c r="D610" t="s">
        <v>135</v>
      </c>
      <c r="E610" t="s">
        <v>930</v>
      </c>
      <c r="F610" t="s">
        <v>931</v>
      </c>
      <c r="G610" t="s">
        <v>136</v>
      </c>
      <c r="H610" t="s">
        <v>493</v>
      </c>
      <c r="I610" t="s">
        <v>932</v>
      </c>
      <c r="J610" t="s">
        <v>933</v>
      </c>
      <c r="K610" t="s">
        <v>65</v>
      </c>
      <c r="L610" t="s">
        <v>1094</v>
      </c>
      <c r="M610" t="s">
        <v>137</v>
      </c>
      <c r="N610" t="s">
        <v>1932</v>
      </c>
      <c r="O610">
        <v>1190</v>
      </c>
      <c r="P610" t="s">
        <v>35</v>
      </c>
      <c r="R610">
        <v>1193</v>
      </c>
      <c r="S610">
        <v>1190</v>
      </c>
      <c r="T610" t="s">
        <v>493</v>
      </c>
      <c r="U610" t="s">
        <v>493</v>
      </c>
      <c r="V610" t="s">
        <v>27</v>
      </c>
      <c r="W610" t="s">
        <v>66</v>
      </c>
      <c r="X610" t="s">
        <v>67</v>
      </c>
      <c r="Y610" t="s">
        <v>138</v>
      </c>
      <c r="AA610" t="s">
        <v>494</v>
      </c>
      <c r="AC610" t="s">
        <v>139</v>
      </c>
      <c r="AD610" t="s">
        <v>1933</v>
      </c>
      <c r="AG610" t="s">
        <v>493</v>
      </c>
      <c r="AH610" t="s">
        <v>68</v>
      </c>
      <c r="AI610" t="s">
        <v>493</v>
      </c>
    </row>
    <row r="611" spans="1:35" customFormat="1">
      <c r="A611" t="s">
        <v>23</v>
      </c>
      <c r="B611" t="s">
        <v>24</v>
      </c>
      <c r="C611" t="s">
        <v>929</v>
      </c>
      <c r="D611" t="s">
        <v>135</v>
      </c>
      <c r="E611" t="s">
        <v>930</v>
      </c>
      <c r="F611" t="s">
        <v>931</v>
      </c>
      <c r="G611" t="s">
        <v>136</v>
      </c>
      <c r="H611" t="s">
        <v>493</v>
      </c>
      <c r="I611" t="s">
        <v>932</v>
      </c>
      <c r="J611" t="s">
        <v>933</v>
      </c>
      <c r="K611" t="s">
        <v>65</v>
      </c>
      <c r="L611" t="s">
        <v>1094</v>
      </c>
      <c r="M611" t="s">
        <v>137</v>
      </c>
      <c r="N611" t="s">
        <v>1934</v>
      </c>
      <c r="O611">
        <v>1189</v>
      </c>
      <c r="P611" t="s">
        <v>35</v>
      </c>
      <c r="R611">
        <v>1192</v>
      </c>
      <c r="S611">
        <v>1189</v>
      </c>
      <c r="T611" t="s">
        <v>493</v>
      </c>
      <c r="U611" t="s">
        <v>493</v>
      </c>
      <c r="V611" t="s">
        <v>27</v>
      </c>
      <c r="W611" t="s">
        <v>66</v>
      </c>
      <c r="X611" t="s">
        <v>67</v>
      </c>
      <c r="Y611" t="s">
        <v>138</v>
      </c>
      <c r="AA611" t="s">
        <v>494</v>
      </c>
      <c r="AC611" t="s">
        <v>139</v>
      </c>
      <c r="AD611" t="s">
        <v>1935</v>
      </c>
      <c r="AG611" t="s">
        <v>493</v>
      </c>
      <c r="AH611" t="s">
        <v>68</v>
      </c>
      <c r="AI611" t="s">
        <v>493</v>
      </c>
    </row>
    <row r="612" spans="1:35" customFormat="1">
      <c r="A612" t="s">
        <v>23</v>
      </c>
      <c r="B612" t="s">
        <v>24</v>
      </c>
      <c r="C612" t="s">
        <v>929</v>
      </c>
      <c r="D612" t="s">
        <v>135</v>
      </c>
      <c r="E612" t="s">
        <v>930</v>
      </c>
      <c r="F612" t="s">
        <v>931</v>
      </c>
      <c r="G612" t="s">
        <v>136</v>
      </c>
      <c r="H612" t="s">
        <v>493</v>
      </c>
      <c r="I612" t="s">
        <v>932</v>
      </c>
      <c r="J612" t="s">
        <v>933</v>
      </c>
      <c r="K612" t="s">
        <v>65</v>
      </c>
      <c r="L612" t="s">
        <v>1450</v>
      </c>
      <c r="M612" t="s">
        <v>137</v>
      </c>
      <c r="N612" t="s">
        <v>1936</v>
      </c>
      <c r="O612">
        <v>1189</v>
      </c>
      <c r="P612" t="s">
        <v>35</v>
      </c>
      <c r="R612">
        <v>1192</v>
      </c>
      <c r="S612">
        <v>1189</v>
      </c>
      <c r="T612" t="s">
        <v>493</v>
      </c>
      <c r="U612" t="s">
        <v>493</v>
      </c>
      <c r="V612" t="s">
        <v>27</v>
      </c>
      <c r="W612" t="s">
        <v>66</v>
      </c>
      <c r="X612" t="s">
        <v>67</v>
      </c>
      <c r="Y612" t="s">
        <v>138</v>
      </c>
      <c r="AA612" t="s">
        <v>494</v>
      </c>
      <c r="AC612" t="s">
        <v>139</v>
      </c>
      <c r="AD612" t="s">
        <v>1937</v>
      </c>
      <c r="AG612" t="s">
        <v>493</v>
      </c>
      <c r="AH612" t="s">
        <v>68</v>
      </c>
      <c r="AI612" t="s">
        <v>493</v>
      </c>
    </row>
    <row r="613" spans="1:35" customFormat="1">
      <c r="A613" t="s">
        <v>23</v>
      </c>
      <c r="B613" t="s">
        <v>24</v>
      </c>
      <c r="C613" t="s">
        <v>929</v>
      </c>
      <c r="D613" t="s">
        <v>135</v>
      </c>
      <c r="E613" t="s">
        <v>930</v>
      </c>
      <c r="F613" t="s">
        <v>931</v>
      </c>
      <c r="G613" t="s">
        <v>136</v>
      </c>
      <c r="H613" t="s">
        <v>493</v>
      </c>
      <c r="I613" t="s">
        <v>932</v>
      </c>
      <c r="J613" t="s">
        <v>933</v>
      </c>
      <c r="K613" t="s">
        <v>65</v>
      </c>
      <c r="L613" t="s">
        <v>1094</v>
      </c>
      <c r="M613" t="s">
        <v>137</v>
      </c>
      <c r="N613" t="s">
        <v>1938</v>
      </c>
      <c r="O613">
        <v>1189</v>
      </c>
      <c r="P613" t="s">
        <v>35</v>
      </c>
      <c r="R613">
        <v>1192</v>
      </c>
      <c r="S613">
        <v>1189</v>
      </c>
      <c r="T613" t="s">
        <v>493</v>
      </c>
      <c r="U613" t="s">
        <v>493</v>
      </c>
      <c r="V613" t="s">
        <v>27</v>
      </c>
      <c r="W613" t="s">
        <v>66</v>
      </c>
      <c r="X613" t="s">
        <v>67</v>
      </c>
      <c r="Y613" t="s">
        <v>138</v>
      </c>
      <c r="AA613" t="s">
        <v>494</v>
      </c>
      <c r="AC613" t="s">
        <v>139</v>
      </c>
      <c r="AD613" t="s">
        <v>1939</v>
      </c>
      <c r="AG613" t="s">
        <v>493</v>
      </c>
      <c r="AH613" t="s">
        <v>68</v>
      </c>
      <c r="AI613" t="s">
        <v>493</v>
      </c>
    </row>
    <row r="614" spans="1:35" customFormat="1">
      <c r="A614" t="s">
        <v>23</v>
      </c>
      <c r="B614" t="s">
        <v>24</v>
      </c>
      <c r="C614" t="s">
        <v>929</v>
      </c>
      <c r="D614" t="s">
        <v>135</v>
      </c>
      <c r="E614" t="s">
        <v>930</v>
      </c>
      <c r="F614" t="s">
        <v>931</v>
      </c>
      <c r="G614" t="s">
        <v>136</v>
      </c>
      <c r="H614" t="s">
        <v>493</v>
      </c>
      <c r="I614" t="s">
        <v>932</v>
      </c>
      <c r="J614" t="s">
        <v>933</v>
      </c>
      <c r="K614" t="s">
        <v>65</v>
      </c>
      <c r="L614" t="s">
        <v>1094</v>
      </c>
      <c r="M614" t="s">
        <v>137</v>
      </c>
      <c r="N614" t="s">
        <v>1940</v>
      </c>
      <c r="O614">
        <v>1189</v>
      </c>
      <c r="P614" t="s">
        <v>35</v>
      </c>
      <c r="R614">
        <v>1192</v>
      </c>
      <c r="S614">
        <v>1189</v>
      </c>
      <c r="T614" t="s">
        <v>493</v>
      </c>
      <c r="U614" t="s">
        <v>493</v>
      </c>
      <c r="V614" t="s">
        <v>27</v>
      </c>
      <c r="W614" t="s">
        <v>66</v>
      </c>
      <c r="X614" t="s">
        <v>67</v>
      </c>
      <c r="Y614" t="s">
        <v>138</v>
      </c>
      <c r="AA614" t="s">
        <v>494</v>
      </c>
      <c r="AC614" t="s">
        <v>139</v>
      </c>
      <c r="AD614" t="s">
        <v>1941</v>
      </c>
      <c r="AG614" t="s">
        <v>493</v>
      </c>
      <c r="AH614" t="s">
        <v>68</v>
      </c>
      <c r="AI614" t="s">
        <v>493</v>
      </c>
    </row>
    <row r="615" spans="1:35" customFormat="1">
      <c r="A615" t="s">
        <v>23</v>
      </c>
      <c r="B615" t="s">
        <v>24</v>
      </c>
      <c r="C615" t="s">
        <v>929</v>
      </c>
      <c r="D615" t="s">
        <v>135</v>
      </c>
      <c r="E615" t="s">
        <v>930</v>
      </c>
      <c r="F615" t="s">
        <v>931</v>
      </c>
      <c r="G615" t="s">
        <v>136</v>
      </c>
      <c r="H615" t="s">
        <v>493</v>
      </c>
      <c r="I615" t="s">
        <v>932</v>
      </c>
      <c r="J615" t="s">
        <v>933</v>
      </c>
      <c r="K615" t="s">
        <v>65</v>
      </c>
      <c r="L615" t="s">
        <v>1450</v>
      </c>
      <c r="M615" t="s">
        <v>137</v>
      </c>
      <c r="N615" t="s">
        <v>1942</v>
      </c>
      <c r="O615">
        <v>1190</v>
      </c>
      <c r="P615" t="s">
        <v>35</v>
      </c>
      <c r="R615">
        <v>1193</v>
      </c>
      <c r="S615">
        <v>1190</v>
      </c>
      <c r="T615" t="s">
        <v>493</v>
      </c>
      <c r="U615" t="s">
        <v>493</v>
      </c>
      <c r="V615" t="s">
        <v>27</v>
      </c>
      <c r="W615" t="s">
        <v>66</v>
      </c>
      <c r="X615" t="s">
        <v>67</v>
      </c>
      <c r="Y615" t="s">
        <v>138</v>
      </c>
      <c r="AA615" t="s">
        <v>494</v>
      </c>
      <c r="AC615" t="s">
        <v>139</v>
      </c>
      <c r="AD615" t="s">
        <v>1943</v>
      </c>
      <c r="AG615" t="s">
        <v>493</v>
      </c>
      <c r="AH615" t="s">
        <v>68</v>
      </c>
      <c r="AI615" t="s">
        <v>493</v>
      </c>
    </row>
    <row r="616" spans="1:35" customFormat="1">
      <c r="A616" t="s">
        <v>23</v>
      </c>
      <c r="B616" t="s">
        <v>24</v>
      </c>
      <c r="C616" t="s">
        <v>929</v>
      </c>
      <c r="D616" t="s">
        <v>135</v>
      </c>
      <c r="E616" t="s">
        <v>930</v>
      </c>
      <c r="F616" t="s">
        <v>931</v>
      </c>
      <c r="G616" t="s">
        <v>136</v>
      </c>
      <c r="H616" t="s">
        <v>493</v>
      </c>
      <c r="I616" t="s">
        <v>932</v>
      </c>
      <c r="J616" t="s">
        <v>933</v>
      </c>
      <c r="K616" t="s">
        <v>65</v>
      </c>
      <c r="L616" t="s">
        <v>1094</v>
      </c>
      <c r="M616" t="s">
        <v>137</v>
      </c>
      <c r="N616" t="s">
        <v>1944</v>
      </c>
      <c r="O616">
        <v>1190</v>
      </c>
      <c r="P616" t="s">
        <v>35</v>
      </c>
      <c r="R616">
        <v>1193</v>
      </c>
      <c r="S616">
        <v>1190</v>
      </c>
      <c r="T616" t="s">
        <v>493</v>
      </c>
      <c r="U616" t="s">
        <v>493</v>
      </c>
      <c r="V616" t="s">
        <v>27</v>
      </c>
      <c r="W616" t="s">
        <v>66</v>
      </c>
      <c r="X616" t="s">
        <v>67</v>
      </c>
      <c r="Y616" t="s">
        <v>138</v>
      </c>
      <c r="AA616" t="s">
        <v>494</v>
      </c>
      <c r="AC616" t="s">
        <v>139</v>
      </c>
      <c r="AD616" t="s">
        <v>1945</v>
      </c>
      <c r="AG616" t="s">
        <v>493</v>
      </c>
      <c r="AH616" t="s">
        <v>68</v>
      </c>
      <c r="AI616" t="s">
        <v>493</v>
      </c>
    </row>
    <row r="617" spans="1:35" customFormat="1">
      <c r="A617" t="s">
        <v>23</v>
      </c>
      <c r="B617" t="s">
        <v>24</v>
      </c>
      <c r="C617" t="s">
        <v>929</v>
      </c>
      <c r="D617" t="s">
        <v>135</v>
      </c>
      <c r="E617" t="s">
        <v>930</v>
      </c>
      <c r="F617" t="s">
        <v>931</v>
      </c>
      <c r="G617" t="s">
        <v>136</v>
      </c>
      <c r="H617" t="s">
        <v>493</v>
      </c>
      <c r="I617" t="s">
        <v>932</v>
      </c>
      <c r="J617" t="s">
        <v>933</v>
      </c>
      <c r="K617" t="s">
        <v>65</v>
      </c>
      <c r="L617" t="s">
        <v>1094</v>
      </c>
      <c r="M617" t="s">
        <v>137</v>
      </c>
      <c r="N617" t="s">
        <v>1946</v>
      </c>
      <c r="O617">
        <v>1190</v>
      </c>
      <c r="P617" t="s">
        <v>35</v>
      </c>
      <c r="R617">
        <v>1193</v>
      </c>
      <c r="S617">
        <v>1190</v>
      </c>
      <c r="T617" t="s">
        <v>493</v>
      </c>
      <c r="U617" t="s">
        <v>493</v>
      </c>
      <c r="V617" t="s">
        <v>27</v>
      </c>
      <c r="W617" t="s">
        <v>66</v>
      </c>
      <c r="X617" t="s">
        <v>67</v>
      </c>
      <c r="Y617" t="s">
        <v>138</v>
      </c>
      <c r="AA617" t="s">
        <v>494</v>
      </c>
      <c r="AC617" t="s">
        <v>139</v>
      </c>
      <c r="AD617" t="s">
        <v>2098</v>
      </c>
      <c r="AG617" t="s">
        <v>493</v>
      </c>
      <c r="AH617" t="s">
        <v>68</v>
      </c>
      <c r="AI617" t="s">
        <v>493</v>
      </c>
    </row>
    <row r="618" spans="1:35" customFormat="1">
      <c r="A618" t="s">
        <v>23</v>
      </c>
      <c r="B618" t="s">
        <v>24</v>
      </c>
      <c r="C618" t="s">
        <v>929</v>
      </c>
      <c r="D618" t="s">
        <v>135</v>
      </c>
      <c r="E618" t="s">
        <v>930</v>
      </c>
      <c r="F618" t="s">
        <v>931</v>
      </c>
      <c r="G618" t="s">
        <v>136</v>
      </c>
      <c r="H618" t="s">
        <v>493</v>
      </c>
      <c r="I618" t="s">
        <v>932</v>
      </c>
      <c r="J618" t="s">
        <v>933</v>
      </c>
      <c r="K618" t="s">
        <v>65</v>
      </c>
      <c r="L618" t="s">
        <v>1094</v>
      </c>
      <c r="M618" t="s">
        <v>137</v>
      </c>
      <c r="N618" t="s">
        <v>1947</v>
      </c>
      <c r="O618">
        <v>1189</v>
      </c>
      <c r="P618" t="s">
        <v>35</v>
      </c>
      <c r="R618">
        <v>1192</v>
      </c>
      <c r="S618">
        <v>1189</v>
      </c>
      <c r="T618" t="s">
        <v>493</v>
      </c>
      <c r="U618" t="s">
        <v>493</v>
      </c>
      <c r="V618" t="s">
        <v>27</v>
      </c>
      <c r="W618" t="s">
        <v>66</v>
      </c>
      <c r="X618" t="s">
        <v>67</v>
      </c>
      <c r="Y618" t="s">
        <v>138</v>
      </c>
      <c r="AA618" t="s">
        <v>494</v>
      </c>
      <c r="AC618" t="s">
        <v>139</v>
      </c>
      <c r="AD618" t="s">
        <v>1948</v>
      </c>
      <c r="AG618" t="s">
        <v>493</v>
      </c>
      <c r="AH618" t="s">
        <v>68</v>
      </c>
      <c r="AI618" t="s">
        <v>493</v>
      </c>
    </row>
    <row r="619" spans="1:35" customFormat="1">
      <c r="A619" t="s">
        <v>23</v>
      </c>
      <c r="B619" t="s">
        <v>24</v>
      </c>
      <c r="C619" t="s">
        <v>929</v>
      </c>
      <c r="D619" t="s">
        <v>135</v>
      </c>
      <c r="E619" t="s">
        <v>930</v>
      </c>
      <c r="F619" t="s">
        <v>931</v>
      </c>
      <c r="G619" t="s">
        <v>136</v>
      </c>
      <c r="H619" t="s">
        <v>493</v>
      </c>
      <c r="I619" t="s">
        <v>932</v>
      </c>
      <c r="J619" t="s">
        <v>933</v>
      </c>
      <c r="K619" t="s">
        <v>65</v>
      </c>
      <c r="L619" t="s">
        <v>1094</v>
      </c>
      <c r="M619" t="s">
        <v>137</v>
      </c>
      <c r="N619" t="s">
        <v>1949</v>
      </c>
      <c r="O619">
        <v>1190</v>
      </c>
      <c r="P619" t="s">
        <v>35</v>
      </c>
      <c r="R619">
        <v>1193</v>
      </c>
      <c r="S619">
        <v>1190</v>
      </c>
      <c r="T619" t="s">
        <v>493</v>
      </c>
      <c r="U619" t="s">
        <v>493</v>
      </c>
      <c r="V619" t="s">
        <v>27</v>
      </c>
      <c r="W619" t="s">
        <v>66</v>
      </c>
      <c r="X619" t="s">
        <v>67</v>
      </c>
      <c r="Y619" t="s">
        <v>138</v>
      </c>
      <c r="AA619" t="s">
        <v>494</v>
      </c>
      <c r="AC619" t="s">
        <v>139</v>
      </c>
      <c r="AD619" t="s">
        <v>1950</v>
      </c>
      <c r="AG619" t="s">
        <v>493</v>
      </c>
      <c r="AH619" t="s">
        <v>68</v>
      </c>
      <c r="AI619" t="s">
        <v>493</v>
      </c>
    </row>
    <row r="620" spans="1:35" customFormat="1">
      <c r="A620" t="s">
        <v>23</v>
      </c>
      <c r="B620" t="s">
        <v>24</v>
      </c>
      <c r="C620" t="s">
        <v>929</v>
      </c>
      <c r="D620" t="s">
        <v>135</v>
      </c>
      <c r="E620" t="s">
        <v>930</v>
      </c>
      <c r="F620" t="s">
        <v>931</v>
      </c>
      <c r="G620" t="s">
        <v>136</v>
      </c>
      <c r="H620" t="s">
        <v>493</v>
      </c>
      <c r="I620" t="s">
        <v>932</v>
      </c>
      <c r="J620" t="s">
        <v>933</v>
      </c>
      <c r="K620" t="s">
        <v>65</v>
      </c>
      <c r="L620" t="s">
        <v>1094</v>
      </c>
      <c r="M620" t="s">
        <v>137</v>
      </c>
      <c r="N620" t="s">
        <v>1951</v>
      </c>
      <c r="O620">
        <v>1190</v>
      </c>
      <c r="P620" t="s">
        <v>35</v>
      </c>
      <c r="R620">
        <v>1193</v>
      </c>
      <c r="S620">
        <v>1190</v>
      </c>
      <c r="T620" t="s">
        <v>493</v>
      </c>
      <c r="U620" t="s">
        <v>493</v>
      </c>
      <c r="V620" t="s">
        <v>27</v>
      </c>
      <c r="W620" t="s">
        <v>66</v>
      </c>
      <c r="X620" t="s">
        <v>67</v>
      </c>
      <c r="Y620" t="s">
        <v>138</v>
      </c>
      <c r="AA620" t="s">
        <v>494</v>
      </c>
      <c r="AC620" t="s">
        <v>139</v>
      </c>
      <c r="AD620" t="s">
        <v>1952</v>
      </c>
      <c r="AG620" t="s">
        <v>493</v>
      </c>
      <c r="AH620" t="s">
        <v>68</v>
      </c>
      <c r="AI620" t="s">
        <v>493</v>
      </c>
    </row>
    <row r="621" spans="1:35" customFormat="1">
      <c r="A621" t="s">
        <v>23</v>
      </c>
      <c r="B621" t="s">
        <v>24</v>
      </c>
      <c r="C621" t="s">
        <v>929</v>
      </c>
      <c r="D621" t="s">
        <v>135</v>
      </c>
      <c r="E621" t="s">
        <v>930</v>
      </c>
      <c r="F621" t="s">
        <v>931</v>
      </c>
      <c r="G621" t="s">
        <v>136</v>
      </c>
      <c r="H621" t="s">
        <v>493</v>
      </c>
      <c r="I621" t="s">
        <v>932</v>
      </c>
      <c r="J621" t="s">
        <v>933</v>
      </c>
      <c r="K621" t="s">
        <v>65</v>
      </c>
      <c r="L621" t="s">
        <v>1094</v>
      </c>
      <c r="M621" t="s">
        <v>137</v>
      </c>
      <c r="N621" t="s">
        <v>1953</v>
      </c>
      <c r="O621">
        <v>1189</v>
      </c>
      <c r="P621" t="s">
        <v>35</v>
      </c>
      <c r="R621">
        <v>1192</v>
      </c>
      <c r="S621">
        <v>1189</v>
      </c>
      <c r="T621" t="s">
        <v>493</v>
      </c>
      <c r="U621" t="s">
        <v>493</v>
      </c>
      <c r="V621" t="s">
        <v>27</v>
      </c>
      <c r="W621" t="s">
        <v>66</v>
      </c>
      <c r="X621" t="s">
        <v>67</v>
      </c>
      <c r="Y621" t="s">
        <v>138</v>
      </c>
      <c r="AA621" t="s">
        <v>494</v>
      </c>
      <c r="AC621" t="s">
        <v>139</v>
      </c>
      <c r="AD621" t="s">
        <v>1954</v>
      </c>
      <c r="AG621" t="s">
        <v>493</v>
      </c>
      <c r="AH621" t="s">
        <v>68</v>
      </c>
      <c r="AI621" t="s">
        <v>493</v>
      </c>
    </row>
    <row r="622" spans="1:35" customFormat="1">
      <c r="A622" t="s">
        <v>23</v>
      </c>
      <c r="B622" t="s">
        <v>24</v>
      </c>
      <c r="C622" t="s">
        <v>929</v>
      </c>
      <c r="D622" t="s">
        <v>135</v>
      </c>
      <c r="E622" t="s">
        <v>930</v>
      </c>
      <c r="F622" t="s">
        <v>931</v>
      </c>
      <c r="G622" t="s">
        <v>136</v>
      </c>
      <c r="H622" t="s">
        <v>493</v>
      </c>
      <c r="I622" t="s">
        <v>932</v>
      </c>
      <c r="J622" t="s">
        <v>933</v>
      </c>
      <c r="K622" t="s">
        <v>65</v>
      </c>
      <c r="L622" t="s">
        <v>1094</v>
      </c>
      <c r="M622" t="s">
        <v>137</v>
      </c>
      <c r="N622" t="s">
        <v>1955</v>
      </c>
      <c r="O622">
        <v>1190</v>
      </c>
      <c r="P622" t="s">
        <v>35</v>
      </c>
      <c r="R622">
        <v>1193</v>
      </c>
      <c r="S622">
        <v>1190</v>
      </c>
      <c r="T622" t="s">
        <v>493</v>
      </c>
      <c r="U622" t="s">
        <v>493</v>
      </c>
      <c r="V622" t="s">
        <v>27</v>
      </c>
      <c r="W622" t="s">
        <v>66</v>
      </c>
      <c r="X622" t="s">
        <v>67</v>
      </c>
      <c r="Y622" t="s">
        <v>138</v>
      </c>
      <c r="AA622" t="s">
        <v>494</v>
      </c>
      <c r="AC622" t="s">
        <v>139</v>
      </c>
      <c r="AD622" t="s">
        <v>1956</v>
      </c>
      <c r="AG622" t="s">
        <v>493</v>
      </c>
      <c r="AH622" t="s">
        <v>68</v>
      </c>
      <c r="AI622" t="s">
        <v>493</v>
      </c>
    </row>
    <row r="623" spans="1:35" customFormat="1">
      <c r="A623" t="s">
        <v>23</v>
      </c>
      <c r="B623" t="s">
        <v>24</v>
      </c>
      <c r="C623" t="s">
        <v>929</v>
      </c>
      <c r="D623" t="s">
        <v>135</v>
      </c>
      <c r="E623" t="s">
        <v>930</v>
      </c>
      <c r="F623" t="s">
        <v>931</v>
      </c>
      <c r="G623" t="s">
        <v>136</v>
      </c>
      <c r="H623" t="s">
        <v>493</v>
      </c>
      <c r="I623" t="s">
        <v>932</v>
      </c>
      <c r="J623" t="s">
        <v>933</v>
      </c>
      <c r="K623" t="s">
        <v>65</v>
      </c>
      <c r="L623" t="s">
        <v>1094</v>
      </c>
      <c r="M623" t="s">
        <v>137</v>
      </c>
      <c r="N623" t="s">
        <v>1957</v>
      </c>
      <c r="O623">
        <v>1190</v>
      </c>
      <c r="P623" t="s">
        <v>35</v>
      </c>
      <c r="R623">
        <v>1193</v>
      </c>
      <c r="S623">
        <v>1190</v>
      </c>
      <c r="T623" t="s">
        <v>493</v>
      </c>
      <c r="U623" t="s">
        <v>493</v>
      </c>
      <c r="V623" t="s">
        <v>27</v>
      </c>
      <c r="W623" t="s">
        <v>66</v>
      </c>
      <c r="X623" t="s">
        <v>67</v>
      </c>
      <c r="Y623" t="s">
        <v>138</v>
      </c>
      <c r="AA623" t="s">
        <v>494</v>
      </c>
      <c r="AC623" t="s">
        <v>139</v>
      </c>
      <c r="AD623" t="s">
        <v>1958</v>
      </c>
      <c r="AG623" t="s">
        <v>493</v>
      </c>
      <c r="AH623" t="s">
        <v>68</v>
      </c>
      <c r="AI623" t="s">
        <v>493</v>
      </c>
    </row>
    <row r="624" spans="1:35" customFormat="1">
      <c r="A624" t="s">
        <v>23</v>
      </c>
      <c r="B624" t="s">
        <v>24</v>
      </c>
      <c r="C624" t="s">
        <v>929</v>
      </c>
      <c r="D624" t="s">
        <v>135</v>
      </c>
      <c r="E624" t="s">
        <v>930</v>
      </c>
      <c r="F624" t="s">
        <v>931</v>
      </c>
      <c r="G624" t="s">
        <v>136</v>
      </c>
      <c r="H624" t="s">
        <v>493</v>
      </c>
      <c r="I624" t="s">
        <v>932</v>
      </c>
      <c r="J624" t="s">
        <v>933</v>
      </c>
      <c r="K624" t="s">
        <v>65</v>
      </c>
      <c r="L624" t="s">
        <v>1094</v>
      </c>
      <c r="M624" t="s">
        <v>137</v>
      </c>
      <c r="N624" t="s">
        <v>1959</v>
      </c>
      <c r="O624">
        <v>1183</v>
      </c>
      <c r="P624" t="s">
        <v>35</v>
      </c>
      <c r="R624">
        <v>1186</v>
      </c>
      <c r="S624">
        <v>1183</v>
      </c>
      <c r="T624" t="s">
        <v>493</v>
      </c>
      <c r="U624" t="s">
        <v>493</v>
      </c>
      <c r="V624" t="s">
        <v>27</v>
      </c>
      <c r="W624" t="s">
        <v>66</v>
      </c>
      <c r="X624" t="s">
        <v>67</v>
      </c>
      <c r="Y624" t="s">
        <v>138</v>
      </c>
      <c r="AA624" t="s">
        <v>494</v>
      </c>
      <c r="AC624" t="s">
        <v>139</v>
      </c>
      <c r="AD624" t="s">
        <v>1960</v>
      </c>
      <c r="AG624" t="s">
        <v>493</v>
      </c>
      <c r="AH624" t="s">
        <v>68</v>
      </c>
      <c r="AI624" t="s">
        <v>493</v>
      </c>
    </row>
    <row r="625" spans="1:37" customFormat="1">
      <c r="A625" t="s">
        <v>23</v>
      </c>
      <c r="B625" t="s">
        <v>24</v>
      </c>
      <c r="C625" t="s">
        <v>929</v>
      </c>
      <c r="D625" t="s">
        <v>135</v>
      </c>
      <c r="E625" t="s">
        <v>930</v>
      </c>
      <c r="F625" t="s">
        <v>931</v>
      </c>
      <c r="G625" t="s">
        <v>136</v>
      </c>
      <c r="H625" t="s">
        <v>493</v>
      </c>
      <c r="I625" t="s">
        <v>932</v>
      </c>
      <c r="J625" t="s">
        <v>933</v>
      </c>
      <c r="K625" t="s">
        <v>65</v>
      </c>
      <c r="L625" t="s">
        <v>1094</v>
      </c>
      <c r="M625" t="s">
        <v>137</v>
      </c>
      <c r="N625" t="s">
        <v>1961</v>
      </c>
      <c r="O625">
        <v>1189</v>
      </c>
      <c r="P625" t="s">
        <v>35</v>
      </c>
      <c r="R625">
        <v>1192</v>
      </c>
      <c r="S625">
        <v>1189</v>
      </c>
      <c r="T625" t="s">
        <v>493</v>
      </c>
      <c r="U625" t="s">
        <v>493</v>
      </c>
      <c r="V625" t="s">
        <v>27</v>
      </c>
      <c r="W625" t="s">
        <v>66</v>
      </c>
      <c r="X625" t="s">
        <v>67</v>
      </c>
      <c r="Y625" t="s">
        <v>138</v>
      </c>
      <c r="AA625" t="s">
        <v>494</v>
      </c>
      <c r="AC625" t="s">
        <v>139</v>
      </c>
      <c r="AD625" t="s">
        <v>1962</v>
      </c>
      <c r="AG625" t="s">
        <v>493</v>
      </c>
      <c r="AH625" t="s">
        <v>68</v>
      </c>
      <c r="AI625" t="s">
        <v>493</v>
      </c>
    </row>
    <row r="626" spans="1:37" customFormat="1">
      <c r="A626" t="s">
        <v>23</v>
      </c>
      <c r="B626" t="s">
        <v>24</v>
      </c>
      <c r="C626" t="s">
        <v>929</v>
      </c>
      <c r="D626" t="s">
        <v>135</v>
      </c>
      <c r="E626" t="s">
        <v>930</v>
      </c>
      <c r="F626" t="s">
        <v>931</v>
      </c>
      <c r="G626" t="s">
        <v>136</v>
      </c>
      <c r="H626" t="s">
        <v>493</v>
      </c>
      <c r="I626" t="s">
        <v>932</v>
      </c>
      <c r="J626" t="s">
        <v>933</v>
      </c>
      <c r="K626" t="s">
        <v>65</v>
      </c>
      <c r="L626" t="s">
        <v>1094</v>
      </c>
      <c r="M626" t="s">
        <v>137</v>
      </c>
      <c r="N626" t="s">
        <v>1963</v>
      </c>
      <c r="O626">
        <v>1190</v>
      </c>
      <c r="P626" t="s">
        <v>35</v>
      </c>
      <c r="R626">
        <v>1193</v>
      </c>
      <c r="S626">
        <v>1190</v>
      </c>
      <c r="T626" t="s">
        <v>493</v>
      </c>
      <c r="U626" t="s">
        <v>493</v>
      </c>
      <c r="V626" t="s">
        <v>27</v>
      </c>
      <c r="W626" t="s">
        <v>66</v>
      </c>
      <c r="X626" t="s">
        <v>67</v>
      </c>
      <c r="Y626" t="s">
        <v>138</v>
      </c>
      <c r="AA626" t="s">
        <v>494</v>
      </c>
      <c r="AC626" t="s">
        <v>139</v>
      </c>
      <c r="AD626" t="s">
        <v>1964</v>
      </c>
      <c r="AG626" t="s">
        <v>493</v>
      </c>
      <c r="AH626" t="s">
        <v>68</v>
      </c>
      <c r="AI626" t="s">
        <v>493</v>
      </c>
    </row>
    <row r="627" spans="1:37" customFormat="1">
      <c r="A627" t="s">
        <v>23</v>
      </c>
      <c r="B627" t="s">
        <v>24</v>
      </c>
      <c r="C627" t="s">
        <v>929</v>
      </c>
      <c r="D627" t="s">
        <v>135</v>
      </c>
      <c r="E627" t="s">
        <v>930</v>
      </c>
      <c r="F627" t="s">
        <v>931</v>
      </c>
      <c r="G627" t="s">
        <v>136</v>
      </c>
      <c r="H627" t="s">
        <v>493</v>
      </c>
      <c r="I627" t="s">
        <v>932</v>
      </c>
      <c r="J627" t="s">
        <v>933</v>
      </c>
      <c r="K627" t="s">
        <v>65</v>
      </c>
      <c r="L627" t="s">
        <v>1094</v>
      </c>
      <c r="M627" t="s">
        <v>137</v>
      </c>
      <c r="N627" t="s">
        <v>1965</v>
      </c>
      <c r="O627">
        <v>1188</v>
      </c>
      <c r="P627" t="s">
        <v>35</v>
      </c>
      <c r="R627">
        <v>1191</v>
      </c>
      <c r="S627">
        <v>1188</v>
      </c>
      <c r="T627" t="s">
        <v>493</v>
      </c>
      <c r="U627" t="s">
        <v>493</v>
      </c>
      <c r="V627" t="s">
        <v>27</v>
      </c>
      <c r="W627" t="s">
        <v>66</v>
      </c>
      <c r="X627" t="s">
        <v>67</v>
      </c>
      <c r="Y627" t="s">
        <v>138</v>
      </c>
      <c r="AA627" t="s">
        <v>494</v>
      </c>
      <c r="AC627" t="s">
        <v>139</v>
      </c>
      <c r="AD627" t="s">
        <v>1966</v>
      </c>
      <c r="AG627" t="s">
        <v>493</v>
      </c>
      <c r="AH627" t="s">
        <v>68</v>
      </c>
      <c r="AI627" t="s">
        <v>493</v>
      </c>
    </row>
    <row r="628" spans="1:37" customFormat="1">
      <c r="A628" t="s">
        <v>23</v>
      </c>
      <c r="B628" t="s">
        <v>24</v>
      </c>
      <c r="C628" t="s">
        <v>929</v>
      </c>
      <c r="D628" t="s">
        <v>135</v>
      </c>
      <c r="E628" t="s">
        <v>930</v>
      </c>
      <c r="F628" t="s">
        <v>931</v>
      </c>
      <c r="G628" t="s">
        <v>136</v>
      </c>
      <c r="H628" t="s">
        <v>493</v>
      </c>
      <c r="I628" t="s">
        <v>932</v>
      </c>
      <c r="J628" t="s">
        <v>933</v>
      </c>
      <c r="K628" t="s">
        <v>65</v>
      </c>
      <c r="L628" t="s">
        <v>1094</v>
      </c>
      <c r="M628" t="s">
        <v>137</v>
      </c>
      <c r="N628" t="s">
        <v>1967</v>
      </c>
      <c r="O628">
        <v>1186</v>
      </c>
      <c r="P628" t="s">
        <v>35</v>
      </c>
      <c r="R628">
        <v>1189</v>
      </c>
      <c r="S628">
        <v>1186</v>
      </c>
      <c r="T628" t="s">
        <v>493</v>
      </c>
      <c r="U628" t="s">
        <v>493</v>
      </c>
      <c r="V628" t="s">
        <v>27</v>
      </c>
      <c r="W628" t="s">
        <v>66</v>
      </c>
      <c r="X628" t="s">
        <v>67</v>
      </c>
      <c r="Y628" t="s">
        <v>138</v>
      </c>
      <c r="AA628" t="s">
        <v>494</v>
      </c>
      <c r="AC628" t="s">
        <v>139</v>
      </c>
      <c r="AD628" t="s">
        <v>1968</v>
      </c>
      <c r="AG628" t="s">
        <v>493</v>
      </c>
      <c r="AH628" t="s">
        <v>68</v>
      </c>
      <c r="AI628" t="s">
        <v>493</v>
      </c>
    </row>
    <row r="629" spans="1:37" customFormat="1">
      <c r="A629" t="s">
        <v>23</v>
      </c>
      <c r="B629" t="s">
        <v>24</v>
      </c>
      <c r="C629" t="s">
        <v>929</v>
      </c>
      <c r="D629" t="s">
        <v>135</v>
      </c>
      <c r="E629" t="s">
        <v>930</v>
      </c>
      <c r="F629" t="s">
        <v>931</v>
      </c>
      <c r="G629" t="s">
        <v>136</v>
      </c>
      <c r="H629" t="s">
        <v>493</v>
      </c>
      <c r="I629" t="s">
        <v>932</v>
      </c>
      <c r="J629" t="s">
        <v>933</v>
      </c>
      <c r="K629" t="s">
        <v>65</v>
      </c>
      <c r="L629" t="s">
        <v>1094</v>
      </c>
      <c r="M629" t="s">
        <v>137</v>
      </c>
      <c r="N629" t="s">
        <v>1969</v>
      </c>
      <c r="O629">
        <v>1185</v>
      </c>
      <c r="P629" t="s">
        <v>35</v>
      </c>
      <c r="R629">
        <v>1188</v>
      </c>
      <c r="S629">
        <v>1185</v>
      </c>
      <c r="T629" t="s">
        <v>493</v>
      </c>
      <c r="U629" t="s">
        <v>493</v>
      </c>
      <c r="V629" t="s">
        <v>27</v>
      </c>
      <c r="W629" t="s">
        <v>66</v>
      </c>
      <c r="X629" t="s">
        <v>67</v>
      </c>
      <c r="Y629" t="s">
        <v>138</v>
      </c>
      <c r="AA629" t="s">
        <v>494</v>
      </c>
      <c r="AC629" t="s">
        <v>139</v>
      </c>
      <c r="AD629" t="s">
        <v>1970</v>
      </c>
      <c r="AG629" t="s">
        <v>493</v>
      </c>
      <c r="AH629" t="s">
        <v>68</v>
      </c>
      <c r="AI629" t="s">
        <v>493</v>
      </c>
    </row>
    <row r="630" spans="1:37" customFormat="1">
      <c r="A630" t="s">
        <v>23</v>
      </c>
      <c r="B630" t="s">
        <v>24</v>
      </c>
      <c r="C630" t="s">
        <v>929</v>
      </c>
      <c r="D630" t="s">
        <v>135</v>
      </c>
      <c r="E630" t="s">
        <v>930</v>
      </c>
      <c r="F630" t="s">
        <v>931</v>
      </c>
      <c r="G630" t="s">
        <v>136</v>
      </c>
      <c r="H630" t="s">
        <v>493</v>
      </c>
      <c r="I630" t="s">
        <v>932</v>
      </c>
      <c r="J630" t="s">
        <v>933</v>
      </c>
      <c r="K630" t="s">
        <v>65</v>
      </c>
      <c r="L630" t="s">
        <v>1094</v>
      </c>
      <c r="M630" t="s">
        <v>137</v>
      </c>
      <c r="N630" t="s">
        <v>1971</v>
      </c>
      <c r="O630">
        <v>1196</v>
      </c>
      <c r="P630" t="s">
        <v>35</v>
      </c>
      <c r="R630">
        <v>1199</v>
      </c>
      <c r="S630">
        <v>1196</v>
      </c>
      <c r="T630" t="s">
        <v>493</v>
      </c>
      <c r="U630" t="s">
        <v>493</v>
      </c>
      <c r="V630" t="s">
        <v>27</v>
      </c>
      <c r="W630" t="s">
        <v>66</v>
      </c>
      <c r="X630" t="s">
        <v>67</v>
      </c>
      <c r="Y630" t="s">
        <v>138</v>
      </c>
      <c r="AA630" t="s">
        <v>494</v>
      </c>
      <c r="AC630" t="s">
        <v>139</v>
      </c>
      <c r="AD630" t="s">
        <v>1972</v>
      </c>
      <c r="AG630" t="s">
        <v>493</v>
      </c>
      <c r="AH630" t="s">
        <v>68</v>
      </c>
      <c r="AI630" t="s">
        <v>493</v>
      </c>
    </row>
    <row r="631" spans="1:37" customFormat="1">
      <c r="A631" t="s">
        <v>23</v>
      </c>
      <c r="B631" t="s">
        <v>24</v>
      </c>
      <c r="C631" t="s">
        <v>179</v>
      </c>
      <c r="D631" t="s">
        <v>135</v>
      </c>
      <c r="E631" t="s">
        <v>1828</v>
      </c>
      <c r="F631" t="s">
        <v>931</v>
      </c>
      <c r="G631" t="s">
        <v>136</v>
      </c>
      <c r="H631" t="s">
        <v>146</v>
      </c>
      <c r="I631" t="s">
        <v>156</v>
      </c>
      <c r="J631" t="s">
        <v>26</v>
      </c>
      <c r="K631" t="s">
        <v>157</v>
      </c>
      <c r="L631" t="s">
        <v>143</v>
      </c>
      <c r="M631" t="s">
        <v>144</v>
      </c>
      <c r="N631" t="s">
        <v>1973</v>
      </c>
      <c r="O631">
        <v>1</v>
      </c>
      <c r="P631" t="s">
        <v>160</v>
      </c>
      <c r="R631">
        <v>799</v>
      </c>
      <c r="S631">
        <v>792</v>
      </c>
      <c r="T631" t="s">
        <v>145</v>
      </c>
      <c r="U631" t="s">
        <v>173</v>
      </c>
      <c r="V631" t="s">
        <v>27</v>
      </c>
      <c r="W631" t="s">
        <v>66</v>
      </c>
      <c r="X631" t="s">
        <v>67</v>
      </c>
      <c r="Y631" t="s">
        <v>138</v>
      </c>
      <c r="AA631" t="s">
        <v>494</v>
      </c>
      <c r="AC631" t="s">
        <v>139</v>
      </c>
      <c r="AD631" t="s">
        <v>1974</v>
      </c>
      <c r="AG631" t="s">
        <v>156</v>
      </c>
      <c r="AH631" t="s">
        <v>68</v>
      </c>
      <c r="AI631" t="s">
        <v>493</v>
      </c>
      <c r="AK631" t="s">
        <v>1975</v>
      </c>
    </row>
    <row r="632" spans="1:37" customFormat="1">
      <c r="A632" t="s">
        <v>23</v>
      </c>
      <c r="B632" t="s">
        <v>24</v>
      </c>
      <c r="C632" t="s">
        <v>179</v>
      </c>
      <c r="D632" t="s">
        <v>135</v>
      </c>
      <c r="E632" t="s">
        <v>1828</v>
      </c>
      <c r="F632" t="s">
        <v>931</v>
      </c>
      <c r="G632" t="s">
        <v>136</v>
      </c>
      <c r="H632" t="s">
        <v>146</v>
      </c>
      <c r="I632" t="s">
        <v>156</v>
      </c>
      <c r="J632" t="s">
        <v>26</v>
      </c>
      <c r="K632" t="s">
        <v>157</v>
      </c>
      <c r="L632" t="s">
        <v>143</v>
      </c>
      <c r="M632" t="s">
        <v>144</v>
      </c>
      <c r="N632" t="s">
        <v>1976</v>
      </c>
      <c r="O632">
        <v>1</v>
      </c>
      <c r="P632" t="s">
        <v>160</v>
      </c>
      <c r="R632">
        <v>799</v>
      </c>
      <c r="S632">
        <v>792</v>
      </c>
      <c r="T632" t="s">
        <v>145</v>
      </c>
      <c r="U632" t="s">
        <v>173</v>
      </c>
      <c r="V632" t="s">
        <v>27</v>
      </c>
      <c r="W632" t="s">
        <v>66</v>
      </c>
      <c r="X632" t="s">
        <v>67</v>
      </c>
      <c r="Y632" t="s">
        <v>138</v>
      </c>
      <c r="AA632" t="s">
        <v>494</v>
      </c>
      <c r="AC632" t="s">
        <v>139</v>
      </c>
      <c r="AD632" t="s">
        <v>1977</v>
      </c>
      <c r="AG632" t="s">
        <v>156</v>
      </c>
      <c r="AH632" t="s">
        <v>68</v>
      </c>
      <c r="AI632" t="s">
        <v>493</v>
      </c>
      <c r="AK632" t="s">
        <v>1978</v>
      </c>
    </row>
    <row r="633" spans="1:37" customFormat="1">
      <c r="A633" t="s">
        <v>23</v>
      </c>
      <c r="B633" t="s">
        <v>24</v>
      </c>
      <c r="C633" t="s">
        <v>934</v>
      </c>
      <c r="D633" t="s">
        <v>135</v>
      </c>
      <c r="E633" t="s">
        <v>1822</v>
      </c>
      <c r="F633" t="s">
        <v>931</v>
      </c>
      <c r="G633" t="s">
        <v>136</v>
      </c>
      <c r="H633" t="s">
        <v>1823</v>
      </c>
      <c r="I633" t="s">
        <v>71</v>
      </c>
      <c r="J633" t="s">
        <v>72</v>
      </c>
      <c r="K633" t="s">
        <v>65</v>
      </c>
      <c r="L633" t="s">
        <v>143</v>
      </c>
      <c r="M633" t="s">
        <v>144</v>
      </c>
      <c r="N633" t="s">
        <v>1979</v>
      </c>
      <c r="O633">
        <v>1083</v>
      </c>
      <c r="P633" t="s">
        <v>35</v>
      </c>
      <c r="R633">
        <v>1086</v>
      </c>
      <c r="S633">
        <v>1083</v>
      </c>
      <c r="T633" t="s">
        <v>1817</v>
      </c>
      <c r="U633" t="s">
        <v>1818</v>
      </c>
      <c r="V633" t="s">
        <v>27</v>
      </c>
      <c r="W633" t="s">
        <v>2230</v>
      </c>
      <c r="X633" t="s">
        <v>67</v>
      </c>
      <c r="Y633" t="s">
        <v>138</v>
      </c>
      <c r="AA633" t="s">
        <v>494</v>
      </c>
      <c r="AC633" t="s">
        <v>139</v>
      </c>
      <c r="AD633" t="s">
        <v>1980</v>
      </c>
      <c r="AG633" t="s">
        <v>71</v>
      </c>
      <c r="AH633" t="s">
        <v>68</v>
      </c>
      <c r="AI633" t="s">
        <v>493</v>
      </c>
    </row>
    <row r="634" spans="1:37" customFormat="1">
      <c r="A634" t="s">
        <v>23</v>
      </c>
      <c r="B634" t="s">
        <v>24</v>
      </c>
      <c r="C634" t="s">
        <v>179</v>
      </c>
      <c r="D634" t="s">
        <v>135</v>
      </c>
      <c r="E634" t="s">
        <v>1828</v>
      </c>
      <c r="F634" t="s">
        <v>931</v>
      </c>
      <c r="G634" t="s">
        <v>136</v>
      </c>
      <c r="H634" t="s">
        <v>146</v>
      </c>
      <c r="I634" t="s">
        <v>156</v>
      </c>
      <c r="J634" t="s">
        <v>26</v>
      </c>
      <c r="K634" t="s">
        <v>157</v>
      </c>
      <c r="L634" t="s">
        <v>143</v>
      </c>
      <c r="M634" t="s">
        <v>144</v>
      </c>
      <c r="N634" t="s">
        <v>1981</v>
      </c>
      <c r="O634">
        <v>1</v>
      </c>
      <c r="P634" t="s">
        <v>160</v>
      </c>
      <c r="R634">
        <v>799</v>
      </c>
      <c r="S634">
        <v>792</v>
      </c>
      <c r="T634" t="s">
        <v>145</v>
      </c>
      <c r="U634" t="s">
        <v>173</v>
      </c>
      <c r="V634" t="s">
        <v>27</v>
      </c>
      <c r="W634" t="s">
        <v>66</v>
      </c>
      <c r="X634" t="s">
        <v>67</v>
      </c>
      <c r="Y634" t="s">
        <v>138</v>
      </c>
      <c r="AA634" t="s">
        <v>494</v>
      </c>
      <c r="AC634" t="s">
        <v>139</v>
      </c>
      <c r="AD634" t="s">
        <v>1982</v>
      </c>
      <c r="AG634" t="s">
        <v>156</v>
      </c>
      <c r="AH634" t="s">
        <v>68</v>
      </c>
      <c r="AI634" t="s">
        <v>493</v>
      </c>
      <c r="AK634" t="s">
        <v>1983</v>
      </c>
    </row>
    <row r="635" spans="1:37" customFormat="1">
      <c r="A635" t="s">
        <v>23</v>
      </c>
      <c r="B635" t="s">
        <v>24</v>
      </c>
      <c r="C635" t="s">
        <v>929</v>
      </c>
      <c r="D635" t="s">
        <v>135</v>
      </c>
      <c r="E635" t="s">
        <v>1905</v>
      </c>
      <c r="F635" t="s">
        <v>1906</v>
      </c>
      <c r="G635" t="s">
        <v>136</v>
      </c>
      <c r="H635" t="s">
        <v>493</v>
      </c>
      <c r="I635" t="s">
        <v>932</v>
      </c>
      <c r="J635" t="s">
        <v>933</v>
      </c>
      <c r="K635" t="s">
        <v>65</v>
      </c>
      <c r="L635" t="s">
        <v>1094</v>
      </c>
      <c r="M635" t="s">
        <v>137</v>
      </c>
      <c r="N635" t="s">
        <v>1984</v>
      </c>
      <c r="O635">
        <v>1048</v>
      </c>
      <c r="P635" t="s">
        <v>35</v>
      </c>
      <c r="R635">
        <v>1051</v>
      </c>
      <c r="S635">
        <v>1048</v>
      </c>
      <c r="T635" t="s">
        <v>493</v>
      </c>
      <c r="U635" t="s">
        <v>493</v>
      </c>
      <c r="V635" t="s">
        <v>27</v>
      </c>
      <c r="W635" t="s">
        <v>66</v>
      </c>
      <c r="X635" t="s">
        <v>67</v>
      </c>
      <c r="Y635" t="s">
        <v>138</v>
      </c>
      <c r="AA635" t="s">
        <v>494</v>
      </c>
      <c r="AC635" t="s">
        <v>139</v>
      </c>
      <c r="AD635" t="s">
        <v>1985</v>
      </c>
      <c r="AG635" t="s">
        <v>493</v>
      </c>
      <c r="AH635" t="s">
        <v>68</v>
      </c>
      <c r="AI635" t="s">
        <v>493</v>
      </c>
    </row>
    <row r="636" spans="1:37" customFormat="1">
      <c r="A636" t="s">
        <v>23</v>
      </c>
      <c r="B636" t="s">
        <v>24</v>
      </c>
      <c r="C636" t="s">
        <v>929</v>
      </c>
      <c r="D636" t="s">
        <v>135</v>
      </c>
      <c r="E636" t="s">
        <v>1905</v>
      </c>
      <c r="F636" t="s">
        <v>1906</v>
      </c>
      <c r="G636" t="s">
        <v>136</v>
      </c>
      <c r="H636" t="s">
        <v>493</v>
      </c>
      <c r="I636" t="s">
        <v>932</v>
      </c>
      <c r="J636" t="s">
        <v>933</v>
      </c>
      <c r="K636" t="s">
        <v>65</v>
      </c>
      <c r="L636" t="s">
        <v>1094</v>
      </c>
      <c r="M636" t="s">
        <v>137</v>
      </c>
      <c r="N636" t="s">
        <v>1986</v>
      </c>
      <c r="O636">
        <v>1049</v>
      </c>
      <c r="P636" t="s">
        <v>35</v>
      </c>
      <c r="R636">
        <v>1052</v>
      </c>
      <c r="S636">
        <v>1049</v>
      </c>
      <c r="T636" t="s">
        <v>493</v>
      </c>
      <c r="U636" t="s">
        <v>493</v>
      </c>
      <c r="V636" t="s">
        <v>27</v>
      </c>
      <c r="W636" t="s">
        <v>66</v>
      </c>
      <c r="X636" t="s">
        <v>67</v>
      </c>
      <c r="Y636" t="s">
        <v>138</v>
      </c>
      <c r="AA636" t="s">
        <v>494</v>
      </c>
      <c r="AC636" t="s">
        <v>139</v>
      </c>
      <c r="AD636" t="s">
        <v>1987</v>
      </c>
      <c r="AG636" t="s">
        <v>493</v>
      </c>
      <c r="AH636" t="s">
        <v>68</v>
      </c>
      <c r="AI636" t="s">
        <v>493</v>
      </c>
    </row>
    <row r="637" spans="1:37" customFormat="1">
      <c r="A637" t="s">
        <v>23</v>
      </c>
      <c r="B637" t="s">
        <v>24</v>
      </c>
      <c r="C637" t="s">
        <v>929</v>
      </c>
      <c r="D637" t="s">
        <v>135</v>
      </c>
      <c r="E637" t="s">
        <v>1905</v>
      </c>
      <c r="F637" t="s">
        <v>1906</v>
      </c>
      <c r="G637" t="s">
        <v>136</v>
      </c>
      <c r="H637" t="s">
        <v>493</v>
      </c>
      <c r="I637" t="s">
        <v>932</v>
      </c>
      <c r="J637" t="s">
        <v>933</v>
      </c>
      <c r="K637" t="s">
        <v>65</v>
      </c>
      <c r="L637" t="s">
        <v>1094</v>
      </c>
      <c r="M637" t="s">
        <v>137</v>
      </c>
      <c r="N637" t="s">
        <v>1988</v>
      </c>
      <c r="O637">
        <v>1066</v>
      </c>
      <c r="P637" t="s">
        <v>35</v>
      </c>
      <c r="R637">
        <v>1069</v>
      </c>
      <c r="S637">
        <v>1066</v>
      </c>
      <c r="T637" t="s">
        <v>493</v>
      </c>
      <c r="U637" t="s">
        <v>493</v>
      </c>
      <c r="V637" t="s">
        <v>27</v>
      </c>
      <c r="W637" t="s">
        <v>66</v>
      </c>
      <c r="X637" t="s">
        <v>67</v>
      </c>
      <c r="Y637" t="s">
        <v>138</v>
      </c>
      <c r="AA637" t="s">
        <v>494</v>
      </c>
      <c r="AC637" t="s">
        <v>139</v>
      </c>
      <c r="AD637" t="s">
        <v>1989</v>
      </c>
      <c r="AG637" t="s">
        <v>493</v>
      </c>
      <c r="AH637" t="s">
        <v>68</v>
      </c>
      <c r="AI637" t="s">
        <v>493</v>
      </c>
    </row>
    <row r="638" spans="1:37" customFormat="1">
      <c r="A638" t="s">
        <v>23</v>
      </c>
      <c r="B638" t="s">
        <v>24</v>
      </c>
      <c r="C638" t="s">
        <v>929</v>
      </c>
      <c r="D638" t="s">
        <v>135</v>
      </c>
      <c r="E638" t="s">
        <v>1905</v>
      </c>
      <c r="F638" t="s">
        <v>1906</v>
      </c>
      <c r="G638" t="s">
        <v>136</v>
      </c>
      <c r="H638" t="s">
        <v>493</v>
      </c>
      <c r="I638" t="s">
        <v>932</v>
      </c>
      <c r="J638" t="s">
        <v>933</v>
      </c>
      <c r="K638" t="s">
        <v>65</v>
      </c>
      <c r="L638" t="s">
        <v>1094</v>
      </c>
      <c r="M638" t="s">
        <v>137</v>
      </c>
      <c r="N638" t="s">
        <v>1990</v>
      </c>
      <c r="O638">
        <v>1069</v>
      </c>
      <c r="P638" t="s">
        <v>35</v>
      </c>
      <c r="R638">
        <v>1072</v>
      </c>
      <c r="S638">
        <v>1069</v>
      </c>
      <c r="T638" t="s">
        <v>493</v>
      </c>
      <c r="U638" t="s">
        <v>493</v>
      </c>
      <c r="V638" t="s">
        <v>27</v>
      </c>
      <c r="W638" t="s">
        <v>66</v>
      </c>
      <c r="X638" t="s">
        <v>67</v>
      </c>
      <c r="Y638" t="s">
        <v>138</v>
      </c>
      <c r="AA638" t="s">
        <v>494</v>
      </c>
      <c r="AC638" t="s">
        <v>139</v>
      </c>
      <c r="AD638" t="s">
        <v>1991</v>
      </c>
      <c r="AG638" t="s">
        <v>493</v>
      </c>
      <c r="AH638" t="s">
        <v>68</v>
      </c>
      <c r="AI638" t="s">
        <v>493</v>
      </c>
    </row>
    <row r="639" spans="1:37" customFormat="1">
      <c r="A639" t="s">
        <v>23</v>
      </c>
      <c r="B639" t="s">
        <v>24</v>
      </c>
      <c r="C639" t="s">
        <v>929</v>
      </c>
      <c r="D639" t="s">
        <v>135</v>
      </c>
      <c r="E639" t="s">
        <v>1905</v>
      </c>
      <c r="F639" t="s">
        <v>1906</v>
      </c>
      <c r="G639" t="s">
        <v>136</v>
      </c>
      <c r="H639" t="s">
        <v>493</v>
      </c>
      <c r="I639" t="s">
        <v>932</v>
      </c>
      <c r="J639" t="s">
        <v>933</v>
      </c>
      <c r="K639" t="s">
        <v>65</v>
      </c>
      <c r="L639" t="s">
        <v>1094</v>
      </c>
      <c r="M639" t="s">
        <v>137</v>
      </c>
      <c r="N639" t="s">
        <v>1992</v>
      </c>
      <c r="O639">
        <v>1050</v>
      </c>
      <c r="P639" t="s">
        <v>35</v>
      </c>
      <c r="R639">
        <v>1053</v>
      </c>
      <c r="S639">
        <v>1050</v>
      </c>
      <c r="T639" t="s">
        <v>493</v>
      </c>
      <c r="U639" t="s">
        <v>493</v>
      </c>
      <c r="V639" t="s">
        <v>27</v>
      </c>
      <c r="W639" t="s">
        <v>66</v>
      </c>
      <c r="X639" t="s">
        <v>67</v>
      </c>
      <c r="Y639" t="s">
        <v>138</v>
      </c>
      <c r="AA639" t="s">
        <v>494</v>
      </c>
      <c r="AC639" t="s">
        <v>139</v>
      </c>
      <c r="AD639" t="s">
        <v>1993</v>
      </c>
      <c r="AG639" t="s">
        <v>493</v>
      </c>
      <c r="AH639" t="s">
        <v>68</v>
      </c>
      <c r="AI639" t="s">
        <v>493</v>
      </c>
    </row>
    <row r="640" spans="1:37" customFormat="1">
      <c r="A640" t="s">
        <v>23</v>
      </c>
      <c r="B640" t="s">
        <v>24</v>
      </c>
      <c r="C640" t="s">
        <v>929</v>
      </c>
      <c r="D640" t="s">
        <v>135</v>
      </c>
      <c r="E640" t="s">
        <v>1905</v>
      </c>
      <c r="F640" t="s">
        <v>1906</v>
      </c>
      <c r="G640" t="s">
        <v>136</v>
      </c>
      <c r="H640" t="s">
        <v>493</v>
      </c>
      <c r="I640" t="s">
        <v>932</v>
      </c>
      <c r="J640" t="s">
        <v>933</v>
      </c>
      <c r="K640" t="s">
        <v>65</v>
      </c>
      <c r="L640" t="s">
        <v>1094</v>
      </c>
      <c r="M640" t="s">
        <v>137</v>
      </c>
      <c r="N640" t="s">
        <v>1994</v>
      </c>
      <c r="O640">
        <v>1046</v>
      </c>
      <c r="P640" t="s">
        <v>35</v>
      </c>
      <c r="R640">
        <v>1049</v>
      </c>
      <c r="S640">
        <v>1046</v>
      </c>
      <c r="T640" t="s">
        <v>493</v>
      </c>
      <c r="U640" t="s">
        <v>493</v>
      </c>
      <c r="V640" t="s">
        <v>27</v>
      </c>
      <c r="W640" t="s">
        <v>66</v>
      </c>
      <c r="X640" t="s">
        <v>67</v>
      </c>
      <c r="Y640" t="s">
        <v>138</v>
      </c>
      <c r="AA640" t="s">
        <v>494</v>
      </c>
      <c r="AC640" t="s">
        <v>139</v>
      </c>
      <c r="AD640" t="s">
        <v>1995</v>
      </c>
      <c r="AG640" t="s">
        <v>493</v>
      </c>
      <c r="AH640" t="s">
        <v>68</v>
      </c>
      <c r="AI640" t="s">
        <v>493</v>
      </c>
    </row>
    <row r="641" spans="1:35" customFormat="1">
      <c r="A641" t="s">
        <v>23</v>
      </c>
      <c r="B641" t="s">
        <v>24</v>
      </c>
      <c r="C641" t="s">
        <v>929</v>
      </c>
      <c r="D641" t="s">
        <v>135</v>
      </c>
      <c r="E641" t="s">
        <v>1905</v>
      </c>
      <c r="F641" t="s">
        <v>1906</v>
      </c>
      <c r="G641" t="s">
        <v>136</v>
      </c>
      <c r="H641" t="s">
        <v>493</v>
      </c>
      <c r="I641" t="s">
        <v>932</v>
      </c>
      <c r="J641" t="s">
        <v>933</v>
      </c>
      <c r="K641" t="s">
        <v>65</v>
      </c>
      <c r="L641" t="s">
        <v>1094</v>
      </c>
      <c r="M641" t="s">
        <v>137</v>
      </c>
      <c r="N641" t="s">
        <v>1996</v>
      </c>
      <c r="O641">
        <v>1045</v>
      </c>
      <c r="P641" t="s">
        <v>35</v>
      </c>
      <c r="R641">
        <v>1048</v>
      </c>
      <c r="S641">
        <v>1045</v>
      </c>
      <c r="T641" t="s">
        <v>493</v>
      </c>
      <c r="U641" t="s">
        <v>493</v>
      </c>
      <c r="V641" t="s">
        <v>27</v>
      </c>
      <c r="W641" t="s">
        <v>66</v>
      </c>
      <c r="X641" t="s">
        <v>67</v>
      </c>
      <c r="Y641" t="s">
        <v>138</v>
      </c>
      <c r="AA641" t="s">
        <v>494</v>
      </c>
      <c r="AC641" t="s">
        <v>139</v>
      </c>
      <c r="AD641" t="s">
        <v>1997</v>
      </c>
      <c r="AG641" t="s">
        <v>493</v>
      </c>
      <c r="AH641" t="s">
        <v>68</v>
      </c>
      <c r="AI641" t="s">
        <v>493</v>
      </c>
    </row>
    <row r="642" spans="1:35" customFormat="1">
      <c r="A642" t="s">
        <v>23</v>
      </c>
      <c r="B642" t="s">
        <v>24</v>
      </c>
      <c r="C642" t="s">
        <v>929</v>
      </c>
      <c r="D642" t="s">
        <v>135</v>
      </c>
      <c r="E642" t="s">
        <v>1905</v>
      </c>
      <c r="F642" t="s">
        <v>1906</v>
      </c>
      <c r="G642" t="s">
        <v>136</v>
      </c>
      <c r="H642" t="s">
        <v>493</v>
      </c>
      <c r="I642" t="s">
        <v>932</v>
      </c>
      <c r="J642" t="s">
        <v>933</v>
      </c>
      <c r="K642" t="s">
        <v>65</v>
      </c>
      <c r="L642" t="s">
        <v>1094</v>
      </c>
      <c r="M642" t="s">
        <v>137</v>
      </c>
      <c r="N642" t="s">
        <v>1998</v>
      </c>
      <c r="O642">
        <v>1038</v>
      </c>
      <c r="P642" t="s">
        <v>35</v>
      </c>
      <c r="R642">
        <v>1041</v>
      </c>
      <c r="S642">
        <v>1038</v>
      </c>
      <c r="T642" t="s">
        <v>493</v>
      </c>
      <c r="U642" t="s">
        <v>493</v>
      </c>
      <c r="V642" t="s">
        <v>27</v>
      </c>
      <c r="W642" t="s">
        <v>66</v>
      </c>
      <c r="X642" t="s">
        <v>67</v>
      </c>
      <c r="Y642" t="s">
        <v>138</v>
      </c>
      <c r="AA642" t="s">
        <v>494</v>
      </c>
      <c r="AC642" t="s">
        <v>139</v>
      </c>
      <c r="AD642" t="s">
        <v>1999</v>
      </c>
      <c r="AG642" t="s">
        <v>493</v>
      </c>
      <c r="AH642" t="s">
        <v>68</v>
      </c>
      <c r="AI642" t="s">
        <v>493</v>
      </c>
    </row>
    <row r="643" spans="1:35" customFormat="1">
      <c r="A643" t="s">
        <v>23</v>
      </c>
      <c r="B643" t="s">
        <v>24</v>
      </c>
      <c r="C643" t="s">
        <v>929</v>
      </c>
      <c r="D643" t="s">
        <v>135</v>
      </c>
      <c r="E643" t="s">
        <v>1905</v>
      </c>
      <c r="F643" t="s">
        <v>1906</v>
      </c>
      <c r="G643" t="s">
        <v>136</v>
      </c>
      <c r="H643" t="s">
        <v>493</v>
      </c>
      <c r="I643" t="s">
        <v>932</v>
      </c>
      <c r="J643" t="s">
        <v>933</v>
      </c>
      <c r="K643" t="s">
        <v>65</v>
      </c>
      <c r="L643" t="s">
        <v>1094</v>
      </c>
      <c r="M643" t="s">
        <v>137</v>
      </c>
      <c r="N643" t="s">
        <v>2000</v>
      </c>
      <c r="O643">
        <v>1046</v>
      </c>
      <c r="P643" t="s">
        <v>35</v>
      </c>
      <c r="R643">
        <v>1049</v>
      </c>
      <c r="S643">
        <v>1046</v>
      </c>
      <c r="T643" t="s">
        <v>493</v>
      </c>
      <c r="U643" t="s">
        <v>493</v>
      </c>
      <c r="V643" t="s">
        <v>27</v>
      </c>
      <c r="W643" t="s">
        <v>66</v>
      </c>
      <c r="X643" t="s">
        <v>67</v>
      </c>
      <c r="Y643" t="s">
        <v>138</v>
      </c>
      <c r="AA643" t="s">
        <v>494</v>
      </c>
      <c r="AC643" t="s">
        <v>139</v>
      </c>
      <c r="AD643" t="s">
        <v>2001</v>
      </c>
      <c r="AG643" t="s">
        <v>493</v>
      </c>
      <c r="AH643" t="s">
        <v>68</v>
      </c>
      <c r="AI643" t="s">
        <v>493</v>
      </c>
    </row>
    <row r="644" spans="1:35" customFormat="1">
      <c r="A644" t="s">
        <v>23</v>
      </c>
      <c r="B644" t="s">
        <v>24</v>
      </c>
      <c r="C644" t="s">
        <v>929</v>
      </c>
      <c r="D644" t="s">
        <v>135</v>
      </c>
      <c r="E644" t="s">
        <v>1905</v>
      </c>
      <c r="F644" t="s">
        <v>1906</v>
      </c>
      <c r="G644" t="s">
        <v>136</v>
      </c>
      <c r="H644" t="s">
        <v>493</v>
      </c>
      <c r="I644" t="s">
        <v>932</v>
      </c>
      <c r="J644" t="s">
        <v>933</v>
      </c>
      <c r="K644" t="s">
        <v>65</v>
      </c>
      <c r="L644" t="s">
        <v>1094</v>
      </c>
      <c r="M644" t="s">
        <v>137</v>
      </c>
      <c r="N644" t="s">
        <v>2002</v>
      </c>
      <c r="O644">
        <v>1048</v>
      </c>
      <c r="P644" t="s">
        <v>35</v>
      </c>
      <c r="R644">
        <v>1051</v>
      </c>
      <c r="S644">
        <v>1048</v>
      </c>
      <c r="T644" t="s">
        <v>493</v>
      </c>
      <c r="U644" t="s">
        <v>493</v>
      </c>
      <c r="V644" t="s">
        <v>27</v>
      </c>
      <c r="W644" t="s">
        <v>66</v>
      </c>
      <c r="X644" t="s">
        <v>67</v>
      </c>
      <c r="Y644" t="s">
        <v>138</v>
      </c>
      <c r="AA644" t="s">
        <v>494</v>
      </c>
      <c r="AC644" t="s">
        <v>139</v>
      </c>
      <c r="AD644" t="s">
        <v>2003</v>
      </c>
      <c r="AG644" t="s">
        <v>493</v>
      </c>
      <c r="AH644" t="s">
        <v>68</v>
      </c>
      <c r="AI644" t="s">
        <v>493</v>
      </c>
    </row>
    <row r="645" spans="1:35" customFormat="1">
      <c r="A645" t="s">
        <v>23</v>
      </c>
      <c r="B645" t="s">
        <v>24</v>
      </c>
      <c r="C645" t="s">
        <v>929</v>
      </c>
      <c r="D645" t="s">
        <v>135</v>
      </c>
      <c r="E645" t="s">
        <v>1905</v>
      </c>
      <c r="F645" t="s">
        <v>1906</v>
      </c>
      <c r="G645" t="s">
        <v>136</v>
      </c>
      <c r="H645" t="s">
        <v>493</v>
      </c>
      <c r="I645" t="s">
        <v>932</v>
      </c>
      <c r="J645" t="s">
        <v>933</v>
      </c>
      <c r="K645" t="s">
        <v>65</v>
      </c>
      <c r="L645" t="s">
        <v>1094</v>
      </c>
      <c r="M645" t="s">
        <v>137</v>
      </c>
      <c r="N645" t="s">
        <v>2004</v>
      </c>
      <c r="O645">
        <v>1043</v>
      </c>
      <c r="P645" t="s">
        <v>35</v>
      </c>
      <c r="R645">
        <v>1046</v>
      </c>
      <c r="S645">
        <v>1043</v>
      </c>
      <c r="T645" t="s">
        <v>493</v>
      </c>
      <c r="U645" t="s">
        <v>493</v>
      </c>
      <c r="V645" t="s">
        <v>27</v>
      </c>
      <c r="W645" t="s">
        <v>66</v>
      </c>
      <c r="X645" t="s">
        <v>67</v>
      </c>
      <c r="Y645" t="s">
        <v>138</v>
      </c>
      <c r="AA645" t="s">
        <v>494</v>
      </c>
      <c r="AC645" t="s">
        <v>139</v>
      </c>
      <c r="AD645" t="s">
        <v>2005</v>
      </c>
      <c r="AG645" t="s">
        <v>493</v>
      </c>
      <c r="AH645" t="s">
        <v>68</v>
      </c>
      <c r="AI645" t="s">
        <v>493</v>
      </c>
    </row>
    <row r="646" spans="1:35" customFormat="1">
      <c r="A646" t="s">
        <v>23</v>
      </c>
      <c r="B646" t="s">
        <v>24</v>
      </c>
      <c r="C646" t="s">
        <v>929</v>
      </c>
      <c r="D646" t="s">
        <v>135</v>
      </c>
      <c r="E646" t="s">
        <v>1905</v>
      </c>
      <c r="F646" t="s">
        <v>1906</v>
      </c>
      <c r="G646" t="s">
        <v>136</v>
      </c>
      <c r="H646" t="s">
        <v>493</v>
      </c>
      <c r="I646" t="s">
        <v>932</v>
      </c>
      <c r="J646" t="s">
        <v>933</v>
      </c>
      <c r="K646" t="s">
        <v>65</v>
      </c>
      <c r="L646" t="s">
        <v>1094</v>
      </c>
      <c r="M646" t="s">
        <v>137</v>
      </c>
      <c r="N646" t="s">
        <v>2006</v>
      </c>
      <c r="O646">
        <v>1049</v>
      </c>
      <c r="P646" t="s">
        <v>35</v>
      </c>
      <c r="R646">
        <v>1052</v>
      </c>
      <c r="S646">
        <v>1049</v>
      </c>
      <c r="T646" t="s">
        <v>493</v>
      </c>
      <c r="U646" t="s">
        <v>493</v>
      </c>
      <c r="V646" t="s">
        <v>27</v>
      </c>
      <c r="W646" t="s">
        <v>66</v>
      </c>
      <c r="X646" t="s">
        <v>67</v>
      </c>
      <c r="Y646" t="s">
        <v>138</v>
      </c>
      <c r="AA646" t="s">
        <v>494</v>
      </c>
      <c r="AC646" t="s">
        <v>139</v>
      </c>
      <c r="AD646" t="s">
        <v>2007</v>
      </c>
      <c r="AG646" t="s">
        <v>493</v>
      </c>
      <c r="AH646" t="s">
        <v>68</v>
      </c>
      <c r="AI646" t="s">
        <v>493</v>
      </c>
    </row>
    <row r="647" spans="1:35" customFormat="1">
      <c r="A647" t="s">
        <v>23</v>
      </c>
      <c r="B647" t="s">
        <v>24</v>
      </c>
      <c r="C647" t="s">
        <v>929</v>
      </c>
      <c r="D647" t="s">
        <v>135</v>
      </c>
      <c r="E647" t="s">
        <v>1905</v>
      </c>
      <c r="F647" t="s">
        <v>1906</v>
      </c>
      <c r="G647" t="s">
        <v>136</v>
      </c>
      <c r="H647" t="s">
        <v>493</v>
      </c>
      <c r="I647" t="s">
        <v>932</v>
      </c>
      <c r="J647" t="s">
        <v>933</v>
      </c>
      <c r="K647" t="s">
        <v>65</v>
      </c>
      <c r="L647" t="s">
        <v>1094</v>
      </c>
      <c r="M647" t="s">
        <v>137</v>
      </c>
      <c r="N647" t="s">
        <v>2008</v>
      </c>
      <c r="O647">
        <v>1049</v>
      </c>
      <c r="P647" t="s">
        <v>35</v>
      </c>
      <c r="R647">
        <v>1052</v>
      </c>
      <c r="S647">
        <v>1049</v>
      </c>
      <c r="T647" t="s">
        <v>493</v>
      </c>
      <c r="U647" t="s">
        <v>493</v>
      </c>
      <c r="V647" t="s">
        <v>27</v>
      </c>
      <c r="W647" t="s">
        <v>66</v>
      </c>
      <c r="X647" t="s">
        <v>67</v>
      </c>
      <c r="Y647" t="s">
        <v>138</v>
      </c>
      <c r="AA647" t="s">
        <v>494</v>
      </c>
      <c r="AC647" t="s">
        <v>139</v>
      </c>
      <c r="AD647" t="s">
        <v>2009</v>
      </c>
      <c r="AG647" t="s">
        <v>493</v>
      </c>
      <c r="AH647" t="s">
        <v>68</v>
      </c>
      <c r="AI647" t="s">
        <v>493</v>
      </c>
    </row>
    <row r="648" spans="1:35" customFormat="1">
      <c r="A648" t="s">
        <v>23</v>
      </c>
      <c r="B648" t="s">
        <v>24</v>
      </c>
      <c r="C648" t="s">
        <v>929</v>
      </c>
      <c r="D648" t="s">
        <v>135</v>
      </c>
      <c r="E648" t="s">
        <v>1905</v>
      </c>
      <c r="F648" t="s">
        <v>1906</v>
      </c>
      <c r="G648" t="s">
        <v>136</v>
      </c>
      <c r="H648" t="s">
        <v>493</v>
      </c>
      <c r="I648" t="s">
        <v>932</v>
      </c>
      <c r="J648" t="s">
        <v>933</v>
      </c>
      <c r="K648" t="s">
        <v>65</v>
      </c>
      <c r="L648" t="s">
        <v>1094</v>
      </c>
      <c r="M648" t="s">
        <v>137</v>
      </c>
      <c r="N648" t="s">
        <v>2010</v>
      </c>
      <c r="O648">
        <v>1049</v>
      </c>
      <c r="P648" t="s">
        <v>35</v>
      </c>
      <c r="R648">
        <v>1052</v>
      </c>
      <c r="S648">
        <v>1049</v>
      </c>
      <c r="T648" t="s">
        <v>493</v>
      </c>
      <c r="U648" t="s">
        <v>493</v>
      </c>
      <c r="V648" t="s">
        <v>27</v>
      </c>
      <c r="W648" t="s">
        <v>66</v>
      </c>
      <c r="X648" t="s">
        <v>67</v>
      </c>
      <c r="Y648" t="s">
        <v>138</v>
      </c>
      <c r="AA648" t="s">
        <v>494</v>
      </c>
      <c r="AC648" t="s">
        <v>139</v>
      </c>
      <c r="AD648" t="s">
        <v>2011</v>
      </c>
      <c r="AG648" t="s">
        <v>493</v>
      </c>
      <c r="AH648" t="s">
        <v>68</v>
      </c>
      <c r="AI648" t="s">
        <v>493</v>
      </c>
    </row>
    <row r="649" spans="1:35" customFormat="1">
      <c r="A649" t="s">
        <v>23</v>
      </c>
      <c r="B649" t="s">
        <v>24</v>
      </c>
      <c r="C649" t="s">
        <v>929</v>
      </c>
      <c r="D649" t="s">
        <v>135</v>
      </c>
      <c r="E649" t="s">
        <v>1905</v>
      </c>
      <c r="F649" t="s">
        <v>1906</v>
      </c>
      <c r="G649" t="s">
        <v>136</v>
      </c>
      <c r="H649" t="s">
        <v>493</v>
      </c>
      <c r="I649" t="s">
        <v>932</v>
      </c>
      <c r="J649" t="s">
        <v>933</v>
      </c>
      <c r="K649" t="s">
        <v>65</v>
      </c>
      <c r="L649" t="s">
        <v>1094</v>
      </c>
      <c r="M649" t="s">
        <v>137</v>
      </c>
      <c r="N649" t="s">
        <v>2012</v>
      </c>
      <c r="O649">
        <v>1047</v>
      </c>
      <c r="P649" t="s">
        <v>35</v>
      </c>
      <c r="R649">
        <v>1050</v>
      </c>
      <c r="S649">
        <v>1047</v>
      </c>
      <c r="T649" t="s">
        <v>493</v>
      </c>
      <c r="U649" t="s">
        <v>493</v>
      </c>
      <c r="V649" t="s">
        <v>27</v>
      </c>
      <c r="W649" t="s">
        <v>66</v>
      </c>
      <c r="X649" t="s">
        <v>67</v>
      </c>
      <c r="Y649" t="s">
        <v>138</v>
      </c>
      <c r="AA649" t="s">
        <v>494</v>
      </c>
      <c r="AC649" t="s">
        <v>139</v>
      </c>
      <c r="AD649" t="s">
        <v>2013</v>
      </c>
      <c r="AG649" t="s">
        <v>493</v>
      </c>
      <c r="AH649" t="s">
        <v>68</v>
      </c>
      <c r="AI649" t="s">
        <v>493</v>
      </c>
    </row>
    <row r="650" spans="1:35" customFormat="1">
      <c r="A650" t="s">
        <v>23</v>
      </c>
      <c r="B650" t="s">
        <v>24</v>
      </c>
      <c r="C650" t="s">
        <v>929</v>
      </c>
      <c r="D650" t="s">
        <v>135</v>
      </c>
      <c r="E650" t="s">
        <v>1905</v>
      </c>
      <c r="F650" t="s">
        <v>1906</v>
      </c>
      <c r="G650" t="s">
        <v>136</v>
      </c>
      <c r="H650" t="s">
        <v>493</v>
      </c>
      <c r="I650" t="s">
        <v>932</v>
      </c>
      <c r="J650" t="s">
        <v>933</v>
      </c>
      <c r="K650" t="s">
        <v>65</v>
      </c>
      <c r="L650" t="s">
        <v>1094</v>
      </c>
      <c r="M650" t="s">
        <v>137</v>
      </c>
      <c r="N650" t="s">
        <v>2014</v>
      </c>
      <c r="O650">
        <v>1068</v>
      </c>
      <c r="P650" t="s">
        <v>35</v>
      </c>
      <c r="R650">
        <v>1071</v>
      </c>
      <c r="S650">
        <v>1068</v>
      </c>
      <c r="T650" t="s">
        <v>493</v>
      </c>
      <c r="U650" t="s">
        <v>493</v>
      </c>
      <c r="V650" t="s">
        <v>27</v>
      </c>
      <c r="W650" t="s">
        <v>66</v>
      </c>
      <c r="X650" t="s">
        <v>67</v>
      </c>
      <c r="Y650" t="s">
        <v>138</v>
      </c>
      <c r="AA650" t="s">
        <v>494</v>
      </c>
      <c r="AC650" t="s">
        <v>139</v>
      </c>
      <c r="AD650" t="s">
        <v>2015</v>
      </c>
      <c r="AG650" t="s">
        <v>493</v>
      </c>
      <c r="AH650" t="s">
        <v>68</v>
      </c>
      <c r="AI650" t="s">
        <v>493</v>
      </c>
    </row>
    <row r="651" spans="1:35" customFormat="1">
      <c r="A651" t="s">
        <v>23</v>
      </c>
      <c r="B651" t="s">
        <v>24</v>
      </c>
      <c r="C651" t="s">
        <v>929</v>
      </c>
      <c r="D651" t="s">
        <v>135</v>
      </c>
      <c r="E651" t="s">
        <v>1905</v>
      </c>
      <c r="F651" t="s">
        <v>1906</v>
      </c>
      <c r="G651" t="s">
        <v>136</v>
      </c>
      <c r="H651" t="s">
        <v>493</v>
      </c>
      <c r="I651" t="s">
        <v>932</v>
      </c>
      <c r="J651" t="s">
        <v>933</v>
      </c>
      <c r="K651" t="s">
        <v>65</v>
      </c>
      <c r="L651" t="s">
        <v>1094</v>
      </c>
      <c r="M651" t="s">
        <v>137</v>
      </c>
      <c r="N651" t="s">
        <v>2016</v>
      </c>
      <c r="O651">
        <v>1067</v>
      </c>
      <c r="P651" t="s">
        <v>35</v>
      </c>
      <c r="R651">
        <v>1070</v>
      </c>
      <c r="S651">
        <v>1067</v>
      </c>
      <c r="T651" t="s">
        <v>493</v>
      </c>
      <c r="U651" t="s">
        <v>493</v>
      </c>
      <c r="V651" t="s">
        <v>27</v>
      </c>
      <c r="W651" t="s">
        <v>66</v>
      </c>
      <c r="X651" t="s">
        <v>67</v>
      </c>
      <c r="Y651" t="s">
        <v>138</v>
      </c>
      <c r="AA651" t="s">
        <v>494</v>
      </c>
      <c r="AC651" t="s">
        <v>139</v>
      </c>
      <c r="AD651" t="s">
        <v>2017</v>
      </c>
      <c r="AG651" t="s">
        <v>493</v>
      </c>
      <c r="AH651" t="s">
        <v>68</v>
      </c>
      <c r="AI651" t="s">
        <v>493</v>
      </c>
    </row>
    <row r="652" spans="1:35" customFormat="1">
      <c r="A652" t="s">
        <v>23</v>
      </c>
      <c r="B652" t="s">
        <v>24</v>
      </c>
      <c r="C652" t="s">
        <v>929</v>
      </c>
      <c r="D652" t="s">
        <v>135</v>
      </c>
      <c r="E652" t="s">
        <v>1905</v>
      </c>
      <c r="F652" t="s">
        <v>1906</v>
      </c>
      <c r="G652" t="s">
        <v>136</v>
      </c>
      <c r="H652" t="s">
        <v>493</v>
      </c>
      <c r="I652" t="s">
        <v>932</v>
      </c>
      <c r="J652" t="s">
        <v>933</v>
      </c>
      <c r="K652" t="s">
        <v>65</v>
      </c>
      <c r="L652" t="s">
        <v>1094</v>
      </c>
      <c r="M652" t="s">
        <v>137</v>
      </c>
      <c r="N652" t="s">
        <v>2018</v>
      </c>
      <c r="O652">
        <v>1079</v>
      </c>
      <c r="P652" t="s">
        <v>35</v>
      </c>
      <c r="R652">
        <v>1082</v>
      </c>
      <c r="S652">
        <v>1079</v>
      </c>
      <c r="T652" t="s">
        <v>493</v>
      </c>
      <c r="U652" t="s">
        <v>493</v>
      </c>
      <c r="V652" t="s">
        <v>27</v>
      </c>
      <c r="W652" t="s">
        <v>66</v>
      </c>
      <c r="X652" t="s">
        <v>67</v>
      </c>
      <c r="Y652" t="s">
        <v>138</v>
      </c>
      <c r="AA652" t="s">
        <v>494</v>
      </c>
      <c r="AC652" t="s">
        <v>139</v>
      </c>
      <c r="AD652" t="s">
        <v>2019</v>
      </c>
      <c r="AG652" t="s">
        <v>493</v>
      </c>
      <c r="AH652" t="s">
        <v>68</v>
      </c>
      <c r="AI652" t="s">
        <v>493</v>
      </c>
    </row>
    <row r="653" spans="1:35" customFormat="1">
      <c r="A653" t="s">
        <v>23</v>
      </c>
      <c r="B653" t="s">
        <v>24</v>
      </c>
      <c r="C653" t="s">
        <v>929</v>
      </c>
      <c r="D653" t="s">
        <v>135</v>
      </c>
      <c r="E653" t="s">
        <v>1905</v>
      </c>
      <c r="F653" t="s">
        <v>1906</v>
      </c>
      <c r="G653" t="s">
        <v>136</v>
      </c>
      <c r="H653" t="s">
        <v>493</v>
      </c>
      <c r="I653" t="s">
        <v>932</v>
      </c>
      <c r="J653" t="s">
        <v>933</v>
      </c>
      <c r="K653" t="s">
        <v>65</v>
      </c>
      <c r="L653" t="s">
        <v>1094</v>
      </c>
      <c r="M653" t="s">
        <v>137</v>
      </c>
      <c r="N653" t="s">
        <v>2020</v>
      </c>
      <c r="O653">
        <v>1048</v>
      </c>
      <c r="P653" t="s">
        <v>35</v>
      </c>
      <c r="R653">
        <v>1051</v>
      </c>
      <c r="S653">
        <v>1048</v>
      </c>
      <c r="T653" t="s">
        <v>493</v>
      </c>
      <c r="U653" t="s">
        <v>493</v>
      </c>
      <c r="V653" t="s">
        <v>27</v>
      </c>
      <c r="W653" t="s">
        <v>66</v>
      </c>
      <c r="X653" t="s">
        <v>67</v>
      </c>
      <c r="Y653" t="s">
        <v>138</v>
      </c>
      <c r="AA653" t="s">
        <v>494</v>
      </c>
      <c r="AC653" t="s">
        <v>139</v>
      </c>
      <c r="AD653" t="s">
        <v>2021</v>
      </c>
      <c r="AG653" t="s">
        <v>493</v>
      </c>
      <c r="AH653" t="s">
        <v>68</v>
      </c>
      <c r="AI653" t="s">
        <v>493</v>
      </c>
    </row>
    <row r="654" spans="1:35" customFormat="1">
      <c r="A654" t="s">
        <v>23</v>
      </c>
      <c r="B654" t="s">
        <v>24</v>
      </c>
      <c r="C654" t="s">
        <v>929</v>
      </c>
      <c r="D654" t="s">
        <v>135</v>
      </c>
      <c r="E654" t="s">
        <v>1905</v>
      </c>
      <c r="F654" t="s">
        <v>1906</v>
      </c>
      <c r="G654" t="s">
        <v>136</v>
      </c>
      <c r="H654" t="s">
        <v>493</v>
      </c>
      <c r="I654" t="s">
        <v>932</v>
      </c>
      <c r="J654" t="s">
        <v>933</v>
      </c>
      <c r="K654" t="s">
        <v>65</v>
      </c>
      <c r="L654" t="s">
        <v>1094</v>
      </c>
      <c r="M654" t="s">
        <v>137</v>
      </c>
      <c r="N654" t="s">
        <v>2022</v>
      </c>
      <c r="O654">
        <v>1045</v>
      </c>
      <c r="P654" t="s">
        <v>35</v>
      </c>
      <c r="R654">
        <v>1048</v>
      </c>
      <c r="S654">
        <v>1045</v>
      </c>
      <c r="T654" t="s">
        <v>493</v>
      </c>
      <c r="U654" t="s">
        <v>493</v>
      </c>
      <c r="V654" t="s">
        <v>27</v>
      </c>
      <c r="W654" t="s">
        <v>66</v>
      </c>
      <c r="X654" t="s">
        <v>67</v>
      </c>
      <c r="Y654" t="s">
        <v>138</v>
      </c>
      <c r="AA654" t="s">
        <v>494</v>
      </c>
      <c r="AC654" t="s">
        <v>139</v>
      </c>
      <c r="AD654" t="s">
        <v>2023</v>
      </c>
      <c r="AG654" t="s">
        <v>493</v>
      </c>
      <c r="AH654" t="s">
        <v>68</v>
      </c>
      <c r="AI654" t="s">
        <v>493</v>
      </c>
    </row>
    <row r="655" spans="1:35" customFormat="1">
      <c r="A655" t="s">
        <v>23</v>
      </c>
      <c r="B655" t="s">
        <v>24</v>
      </c>
      <c r="C655" t="s">
        <v>929</v>
      </c>
      <c r="D655" t="s">
        <v>135</v>
      </c>
      <c r="E655" t="s">
        <v>1905</v>
      </c>
      <c r="F655" t="s">
        <v>1906</v>
      </c>
      <c r="G655" t="s">
        <v>136</v>
      </c>
      <c r="H655" t="s">
        <v>493</v>
      </c>
      <c r="I655" t="s">
        <v>932</v>
      </c>
      <c r="J655" t="s">
        <v>933</v>
      </c>
      <c r="K655" t="s">
        <v>65</v>
      </c>
      <c r="L655" t="s">
        <v>1094</v>
      </c>
      <c r="M655" t="s">
        <v>137</v>
      </c>
      <c r="N655" t="s">
        <v>2024</v>
      </c>
      <c r="O655">
        <v>1047</v>
      </c>
      <c r="P655" t="s">
        <v>35</v>
      </c>
      <c r="R655">
        <v>1050</v>
      </c>
      <c r="S655">
        <v>1047</v>
      </c>
      <c r="T655" t="s">
        <v>493</v>
      </c>
      <c r="U655" t="s">
        <v>493</v>
      </c>
      <c r="V655" t="s">
        <v>27</v>
      </c>
      <c r="W655" t="s">
        <v>66</v>
      </c>
      <c r="X655" t="s">
        <v>67</v>
      </c>
      <c r="Y655" t="s">
        <v>138</v>
      </c>
      <c r="AA655" t="s">
        <v>494</v>
      </c>
      <c r="AC655" t="s">
        <v>139</v>
      </c>
      <c r="AD655" t="s">
        <v>2025</v>
      </c>
      <c r="AG655" t="s">
        <v>493</v>
      </c>
      <c r="AH655" t="s">
        <v>68</v>
      </c>
      <c r="AI655" t="s">
        <v>493</v>
      </c>
    </row>
    <row r="656" spans="1:35" customFormat="1">
      <c r="A656" t="s">
        <v>23</v>
      </c>
      <c r="B656" t="s">
        <v>24</v>
      </c>
      <c r="C656" t="s">
        <v>929</v>
      </c>
      <c r="D656" t="s">
        <v>135</v>
      </c>
      <c r="E656" t="s">
        <v>1905</v>
      </c>
      <c r="F656" t="s">
        <v>1906</v>
      </c>
      <c r="G656" t="s">
        <v>136</v>
      </c>
      <c r="H656" t="s">
        <v>493</v>
      </c>
      <c r="I656" t="s">
        <v>932</v>
      </c>
      <c r="J656" t="s">
        <v>933</v>
      </c>
      <c r="K656" t="s">
        <v>65</v>
      </c>
      <c r="L656" t="s">
        <v>1094</v>
      </c>
      <c r="M656" t="s">
        <v>137</v>
      </c>
      <c r="N656" t="s">
        <v>2026</v>
      </c>
      <c r="O656">
        <v>1067</v>
      </c>
      <c r="P656" t="s">
        <v>35</v>
      </c>
      <c r="R656">
        <v>1070</v>
      </c>
      <c r="S656">
        <v>1067</v>
      </c>
      <c r="T656" t="s">
        <v>493</v>
      </c>
      <c r="U656" t="s">
        <v>493</v>
      </c>
      <c r="V656" t="s">
        <v>27</v>
      </c>
      <c r="W656" t="s">
        <v>66</v>
      </c>
      <c r="X656" t="s">
        <v>67</v>
      </c>
      <c r="Y656" t="s">
        <v>138</v>
      </c>
      <c r="AA656" t="s">
        <v>494</v>
      </c>
      <c r="AC656" t="s">
        <v>139</v>
      </c>
      <c r="AD656" t="s">
        <v>2027</v>
      </c>
      <c r="AG656" t="s">
        <v>493</v>
      </c>
      <c r="AH656" t="s">
        <v>68</v>
      </c>
      <c r="AI656" t="s">
        <v>493</v>
      </c>
    </row>
    <row r="657" spans="1:37" customFormat="1">
      <c r="A657" t="s">
        <v>23</v>
      </c>
      <c r="B657" t="s">
        <v>24</v>
      </c>
      <c r="C657" t="s">
        <v>929</v>
      </c>
      <c r="D657" t="s">
        <v>135</v>
      </c>
      <c r="E657" t="s">
        <v>1905</v>
      </c>
      <c r="F657" t="s">
        <v>1906</v>
      </c>
      <c r="G657" t="s">
        <v>136</v>
      </c>
      <c r="H657" t="s">
        <v>493</v>
      </c>
      <c r="I657" t="s">
        <v>932</v>
      </c>
      <c r="J657" t="s">
        <v>933</v>
      </c>
      <c r="K657" t="s">
        <v>65</v>
      </c>
      <c r="L657" t="s">
        <v>1094</v>
      </c>
      <c r="M657" t="s">
        <v>137</v>
      </c>
      <c r="N657" t="s">
        <v>2028</v>
      </c>
      <c r="O657">
        <v>1066</v>
      </c>
      <c r="P657" t="s">
        <v>35</v>
      </c>
      <c r="R657">
        <v>1069</v>
      </c>
      <c r="S657">
        <v>1066</v>
      </c>
      <c r="T657" t="s">
        <v>493</v>
      </c>
      <c r="U657" t="s">
        <v>493</v>
      </c>
      <c r="V657" t="s">
        <v>27</v>
      </c>
      <c r="W657" t="s">
        <v>66</v>
      </c>
      <c r="X657" t="s">
        <v>67</v>
      </c>
      <c r="Y657" t="s">
        <v>138</v>
      </c>
      <c r="AA657" t="s">
        <v>494</v>
      </c>
      <c r="AC657" t="s">
        <v>139</v>
      </c>
      <c r="AD657" t="s">
        <v>2029</v>
      </c>
      <c r="AG657" t="s">
        <v>493</v>
      </c>
      <c r="AH657" t="s">
        <v>68</v>
      </c>
      <c r="AI657" t="s">
        <v>493</v>
      </c>
    </row>
    <row r="658" spans="1:37" customFormat="1">
      <c r="A658" t="s">
        <v>23</v>
      </c>
      <c r="B658" t="s">
        <v>24</v>
      </c>
      <c r="C658" t="s">
        <v>929</v>
      </c>
      <c r="D658" t="s">
        <v>135</v>
      </c>
      <c r="E658" t="s">
        <v>1905</v>
      </c>
      <c r="F658" t="s">
        <v>1906</v>
      </c>
      <c r="G658" t="s">
        <v>136</v>
      </c>
      <c r="H658" t="s">
        <v>493</v>
      </c>
      <c r="I658" t="s">
        <v>932</v>
      </c>
      <c r="J658" t="s">
        <v>933</v>
      </c>
      <c r="K658" t="s">
        <v>65</v>
      </c>
      <c r="L658" t="s">
        <v>1094</v>
      </c>
      <c r="M658" t="s">
        <v>137</v>
      </c>
      <c r="N658" t="s">
        <v>2030</v>
      </c>
      <c r="O658">
        <v>1066</v>
      </c>
      <c r="P658" t="s">
        <v>35</v>
      </c>
      <c r="R658">
        <v>1069</v>
      </c>
      <c r="S658">
        <v>1066</v>
      </c>
      <c r="T658" t="s">
        <v>493</v>
      </c>
      <c r="U658" t="s">
        <v>493</v>
      </c>
      <c r="V658" t="s">
        <v>27</v>
      </c>
      <c r="W658" t="s">
        <v>66</v>
      </c>
      <c r="X658" t="s">
        <v>67</v>
      </c>
      <c r="Y658" t="s">
        <v>138</v>
      </c>
      <c r="AA658" t="s">
        <v>494</v>
      </c>
      <c r="AC658" t="s">
        <v>139</v>
      </c>
      <c r="AD658" t="s">
        <v>2031</v>
      </c>
      <c r="AG658" t="s">
        <v>493</v>
      </c>
      <c r="AH658" t="s">
        <v>68</v>
      </c>
      <c r="AI658" t="s">
        <v>493</v>
      </c>
    </row>
    <row r="659" spans="1:37" customFormat="1">
      <c r="A659" t="s">
        <v>23</v>
      </c>
      <c r="B659" t="s">
        <v>24</v>
      </c>
      <c r="C659" t="s">
        <v>929</v>
      </c>
      <c r="D659" t="s">
        <v>135</v>
      </c>
      <c r="E659" t="s">
        <v>1905</v>
      </c>
      <c r="F659" t="s">
        <v>1906</v>
      </c>
      <c r="G659" t="s">
        <v>136</v>
      </c>
      <c r="H659" t="s">
        <v>493</v>
      </c>
      <c r="I659" t="s">
        <v>932</v>
      </c>
      <c r="J659" t="s">
        <v>933</v>
      </c>
      <c r="K659" t="s">
        <v>65</v>
      </c>
      <c r="L659" t="s">
        <v>1094</v>
      </c>
      <c r="M659" t="s">
        <v>137</v>
      </c>
      <c r="N659" t="s">
        <v>2032</v>
      </c>
      <c r="O659">
        <v>1068</v>
      </c>
      <c r="P659" t="s">
        <v>35</v>
      </c>
      <c r="R659">
        <v>1071</v>
      </c>
      <c r="S659">
        <v>1068</v>
      </c>
      <c r="T659" t="s">
        <v>493</v>
      </c>
      <c r="U659" t="s">
        <v>493</v>
      </c>
      <c r="V659" t="s">
        <v>27</v>
      </c>
      <c r="W659" t="s">
        <v>66</v>
      </c>
      <c r="X659" t="s">
        <v>67</v>
      </c>
      <c r="Y659" t="s">
        <v>138</v>
      </c>
      <c r="AA659" t="s">
        <v>494</v>
      </c>
      <c r="AC659" t="s">
        <v>139</v>
      </c>
      <c r="AD659" t="s">
        <v>2033</v>
      </c>
      <c r="AG659" t="s">
        <v>493</v>
      </c>
      <c r="AH659" t="s">
        <v>68</v>
      </c>
      <c r="AI659" t="s">
        <v>493</v>
      </c>
    </row>
    <row r="660" spans="1:37" customFormat="1">
      <c r="A660" t="s">
        <v>23</v>
      </c>
      <c r="B660" t="s">
        <v>24</v>
      </c>
      <c r="C660" t="s">
        <v>929</v>
      </c>
      <c r="D660" t="s">
        <v>135</v>
      </c>
      <c r="E660" t="s">
        <v>1905</v>
      </c>
      <c r="F660" t="s">
        <v>1906</v>
      </c>
      <c r="G660" t="s">
        <v>136</v>
      </c>
      <c r="H660" t="s">
        <v>493</v>
      </c>
      <c r="I660" t="s">
        <v>932</v>
      </c>
      <c r="J660" t="s">
        <v>933</v>
      </c>
      <c r="K660" t="s">
        <v>65</v>
      </c>
      <c r="L660" t="s">
        <v>1094</v>
      </c>
      <c r="M660" t="s">
        <v>137</v>
      </c>
      <c r="N660" t="s">
        <v>2034</v>
      </c>
      <c r="O660">
        <v>1067</v>
      </c>
      <c r="P660" t="s">
        <v>35</v>
      </c>
      <c r="R660">
        <v>1070</v>
      </c>
      <c r="S660">
        <v>1067</v>
      </c>
      <c r="T660" t="s">
        <v>493</v>
      </c>
      <c r="U660" t="s">
        <v>493</v>
      </c>
      <c r="V660" t="s">
        <v>27</v>
      </c>
      <c r="W660" t="s">
        <v>66</v>
      </c>
      <c r="X660" t="s">
        <v>67</v>
      </c>
      <c r="Y660" t="s">
        <v>138</v>
      </c>
      <c r="AA660" t="s">
        <v>494</v>
      </c>
      <c r="AC660" t="s">
        <v>139</v>
      </c>
      <c r="AD660" t="s">
        <v>2035</v>
      </c>
      <c r="AG660" t="s">
        <v>493</v>
      </c>
      <c r="AH660" t="s">
        <v>68</v>
      </c>
      <c r="AI660" t="s">
        <v>493</v>
      </c>
    </row>
    <row r="661" spans="1:37" customFormat="1">
      <c r="A661" t="s">
        <v>23</v>
      </c>
      <c r="B661" t="s">
        <v>24</v>
      </c>
      <c r="C661" t="s">
        <v>929</v>
      </c>
      <c r="D661" t="s">
        <v>135</v>
      </c>
      <c r="E661" t="s">
        <v>1905</v>
      </c>
      <c r="F661" t="s">
        <v>1906</v>
      </c>
      <c r="G661" t="s">
        <v>136</v>
      </c>
      <c r="H661" t="s">
        <v>493</v>
      </c>
      <c r="I661" t="s">
        <v>932</v>
      </c>
      <c r="J661" t="s">
        <v>933</v>
      </c>
      <c r="K661" t="s">
        <v>65</v>
      </c>
      <c r="L661" t="s">
        <v>1094</v>
      </c>
      <c r="M661" t="s">
        <v>137</v>
      </c>
      <c r="N661" t="s">
        <v>2036</v>
      </c>
      <c r="O661">
        <v>1065</v>
      </c>
      <c r="P661" t="s">
        <v>35</v>
      </c>
      <c r="R661">
        <v>1068</v>
      </c>
      <c r="S661">
        <v>1065</v>
      </c>
      <c r="T661" t="s">
        <v>493</v>
      </c>
      <c r="U661" t="s">
        <v>493</v>
      </c>
      <c r="V661" t="s">
        <v>27</v>
      </c>
      <c r="W661" t="s">
        <v>66</v>
      </c>
      <c r="X661" t="s">
        <v>67</v>
      </c>
      <c r="Y661" t="s">
        <v>138</v>
      </c>
      <c r="AA661" t="s">
        <v>494</v>
      </c>
      <c r="AC661" t="s">
        <v>139</v>
      </c>
      <c r="AD661" t="s">
        <v>2037</v>
      </c>
      <c r="AG661" t="s">
        <v>493</v>
      </c>
      <c r="AH661" t="s">
        <v>68</v>
      </c>
      <c r="AI661" t="s">
        <v>493</v>
      </c>
    </row>
    <row r="662" spans="1:37" customFormat="1">
      <c r="A662" t="s">
        <v>23</v>
      </c>
      <c r="B662" t="s">
        <v>24</v>
      </c>
      <c r="C662" t="s">
        <v>179</v>
      </c>
      <c r="D662" t="s">
        <v>135</v>
      </c>
      <c r="E662" t="s">
        <v>1828</v>
      </c>
      <c r="F662" t="s">
        <v>931</v>
      </c>
      <c r="G662" t="s">
        <v>136</v>
      </c>
      <c r="H662" t="s">
        <v>146</v>
      </c>
      <c r="I662" t="s">
        <v>156</v>
      </c>
      <c r="J662" t="s">
        <v>26</v>
      </c>
      <c r="K662" t="s">
        <v>157</v>
      </c>
      <c r="L662" t="s">
        <v>143</v>
      </c>
      <c r="M662" t="s">
        <v>144</v>
      </c>
      <c r="N662" t="s">
        <v>2038</v>
      </c>
      <c r="O662">
        <v>1</v>
      </c>
      <c r="P662" t="s">
        <v>160</v>
      </c>
      <c r="R662">
        <v>799</v>
      </c>
      <c r="S662">
        <v>792</v>
      </c>
      <c r="T662" t="s">
        <v>145</v>
      </c>
      <c r="U662" t="s">
        <v>173</v>
      </c>
      <c r="V662" t="s">
        <v>27</v>
      </c>
      <c r="W662" t="s">
        <v>66</v>
      </c>
      <c r="X662" t="s">
        <v>67</v>
      </c>
      <c r="Y662" t="s">
        <v>138</v>
      </c>
      <c r="AA662" t="s">
        <v>494</v>
      </c>
      <c r="AC662" t="s">
        <v>139</v>
      </c>
      <c r="AD662" t="s">
        <v>2039</v>
      </c>
      <c r="AG662" t="s">
        <v>156</v>
      </c>
      <c r="AH662" t="s">
        <v>68</v>
      </c>
      <c r="AI662" t="s">
        <v>493</v>
      </c>
      <c r="AK662" t="s">
        <v>2040</v>
      </c>
    </row>
    <row r="663" spans="1:37" customFormat="1">
      <c r="A663" t="s">
        <v>23</v>
      </c>
      <c r="B663" t="s">
        <v>24</v>
      </c>
      <c r="C663" t="s">
        <v>934</v>
      </c>
      <c r="D663" t="s">
        <v>135</v>
      </c>
      <c r="E663" t="s">
        <v>1822</v>
      </c>
      <c r="F663" t="s">
        <v>931</v>
      </c>
      <c r="G663" t="s">
        <v>136</v>
      </c>
      <c r="H663" t="s">
        <v>1823</v>
      </c>
      <c r="I663" t="s">
        <v>71</v>
      </c>
      <c r="J663" t="s">
        <v>72</v>
      </c>
      <c r="K663" t="s">
        <v>65</v>
      </c>
      <c r="L663" t="s">
        <v>143</v>
      </c>
      <c r="M663" t="s">
        <v>144</v>
      </c>
      <c r="N663" t="s">
        <v>2041</v>
      </c>
      <c r="O663">
        <v>309</v>
      </c>
      <c r="P663" t="s">
        <v>35</v>
      </c>
      <c r="R663">
        <v>312</v>
      </c>
      <c r="S663">
        <v>309</v>
      </c>
      <c r="T663" t="s">
        <v>1817</v>
      </c>
      <c r="U663" t="s">
        <v>1818</v>
      </c>
      <c r="V663" t="s">
        <v>27</v>
      </c>
      <c r="W663" t="s">
        <v>2230</v>
      </c>
      <c r="X663" t="s">
        <v>67</v>
      </c>
      <c r="Y663" t="s">
        <v>138</v>
      </c>
      <c r="AA663" t="s">
        <v>494</v>
      </c>
      <c r="AC663" t="s">
        <v>139</v>
      </c>
      <c r="AD663" t="s">
        <v>2042</v>
      </c>
      <c r="AG663" t="s">
        <v>71</v>
      </c>
      <c r="AH663" t="s">
        <v>68</v>
      </c>
      <c r="AI663" t="s">
        <v>493</v>
      </c>
    </row>
    <row r="664" spans="1:37" customFormat="1">
      <c r="A664" t="s">
        <v>23</v>
      </c>
      <c r="B664" t="s">
        <v>24</v>
      </c>
      <c r="C664" t="s">
        <v>179</v>
      </c>
      <c r="D664" t="s">
        <v>135</v>
      </c>
      <c r="E664" t="s">
        <v>1828</v>
      </c>
      <c r="F664" t="s">
        <v>931</v>
      </c>
      <c r="G664" t="s">
        <v>136</v>
      </c>
      <c r="H664" t="s">
        <v>146</v>
      </c>
      <c r="I664" t="s">
        <v>156</v>
      </c>
      <c r="J664" t="s">
        <v>26</v>
      </c>
      <c r="K664" t="s">
        <v>157</v>
      </c>
      <c r="L664" t="s">
        <v>143</v>
      </c>
      <c r="M664" t="s">
        <v>144</v>
      </c>
      <c r="N664" t="s">
        <v>2043</v>
      </c>
      <c r="O664">
        <v>1</v>
      </c>
      <c r="P664" t="s">
        <v>160</v>
      </c>
      <c r="R664">
        <v>799</v>
      </c>
      <c r="S664">
        <v>792</v>
      </c>
      <c r="T664" t="s">
        <v>145</v>
      </c>
      <c r="U664" t="s">
        <v>173</v>
      </c>
      <c r="V664" t="s">
        <v>27</v>
      </c>
      <c r="W664" t="s">
        <v>66</v>
      </c>
      <c r="X664" t="s">
        <v>67</v>
      </c>
      <c r="Y664" t="s">
        <v>138</v>
      </c>
      <c r="AA664" t="s">
        <v>494</v>
      </c>
      <c r="AC664" t="s">
        <v>139</v>
      </c>
      <c r="AD664" t="s">
        <v>2044</v>
      </c>
      <c r="AG664" t="s">
        <v>156</v>
      </c>
      <c r="AH664" t="s">
        <v>68</v>
      </c>
      <c r="AI664" t="s">
        <v>493</v>
      </c>
      <c r="AK664" t="s">
        <v>2045</v>
      </c>
    </row>
    <row r="665" spans="1:37" customFormat="1">
      <c r="A665" t="s">
        <v>23</v>
      </c>
      <c r="B665" t="s">
        <v>24</v>
      </c>
      <c r="C665" t="s">
        <v>177</v>
      </c>
      <c r="D665" t="s">
        <v>135</v>
      </c>
      <c r="E665" t="s">
        <v>2046</v>
      </c>
      <c r="F665" t="s">
        <v>931</v>
      </c>
      <c r="G665" t="s">
        <v>136</v>
      </c>
      <c r="H665" t="s">
        <v>146</v>
      </c>
      <c r="I665" t="s">
        <v>156</v>
      </c>
      <c r="J665" t="s">
        <v>25</v>
      </c>
      <c r="K665" t="s">
        <v>157</v>
      </c>
      <c r="L665" t="s">
        <v>143</v>
      </c>
      <c r="M665" t="s">
        <v>144</v>
      </c>
      <c r="N665" t="s">
        <v>2047</v>
      </c>
      <c r="O665">
        <v>28</v>
      </c>
      <c r="P665" t="s">
        <v>159</v>
      </c>
      <c r="R665">
        <v>586</v>
      </c>
      <c r="S665">
        <v>554.4</v>
      </c>
      <c r="T665" t="s">
        <v>145</v>
      </c>
      <c r="U665" t="s">
        <v>988</v>
      </c>
      <c r="V665" t="s">
        <v>27</v>
      </c>
      <c r="W665" t="s">
        <v>66</v>
      </c>
      <c r="X665" t="s">
        <v>67</v>
      </c>
      <c r="Y665" t="s">
        <v>138</v>
      </c>
      <c r="AA665" t="s">
        <v>494</v>
      </c>
      <c r="AC665" t="s">
        <v>139</v>
      </c>
      <c r="AD665" t="s">
        <v>2048</v>
      </c>
      <c r="AG665" t="s">
        <v>156</v>
      </c>
      <c r="AH665" t="s">
        <v>68</v>
      </c>
      <c r="AI665" t="s">
        <v>493</v>
      </c>
    </row>
    <row r="666" spans="1:37" customFormat="1">
      <c r="A666" t="s">
        <v>23</v>
      </c>
      <c r="B666" t="s">
        <v>24</v>
      </c>
      <c r="C666" t="s">
        <v>934</v>
      </c>
      <c r="D666" t="s">
        <v>135</v>
      </c>
      <c r="E666" t="s">
        <v>2052</v>
      </c>
      <c r="F666" t="s">
        <v>931</v>
      </c>
      <c r="G666" t="s">
        <v>136</v>
      </c>
      <c r="H666" t="s">
        <v>142</v>
      </c>
      <c r="I666" t="s">
        <v>71</v>
      </c>
      <c r="J666" t="s">
        <v>72</v>
      </c>
      <c r="K666" t="s">
        <v>65</v>
      </c>
      <c r="L666" t="s">
        <v>143</v>
      </c>
      <c r="M666" t="s">
        <v>144</v>
      </c>
      <c r="N666" t="s">
        <v>2053</v>
      </c>
      <c r="O666">
        <v>1151</v>
      </c>
      <c r="P666" t="s">
        <v>35</v>
      </c>
      <c r="R666">
        <v>1154</v>
      </c>
      <c r="S666">
        <v>1151</v>
      </c>
      <c r="T666" t="s">
        <v>1817</v>
      </c>
      <c r="U666" t="s">
        <v>2049</v>
      </c>
      <c r="V666" t="s">
        <v>27</v>
      </c>
      <c r="W666" t="s">
        <v>66</v>
      </c>
      <c r="X666" t="s">
        <v>67</v>
      </c>
      <c r="Y666" t="s">
        <v>138</v>
      </c>
      <c r="AA666" t="s">
        <v>494</v>
      </c>
      <c r="AC666" t="s">
        <v>139</v>
      </c>
      <c r="AD666" t="s">
        <v>2054</v>
      </c>
      <c r="AG666" t="s">
        <v>71</v>
      </c>
      <c r="AH666" t="s">
        <v>68</v>
      </c>
      <c r="AI666" t="s">
        <v>493</v>
      </c>
    </row>
    <row r="667" spans="1:37" customFormat="1">
      <c r="A667" t="s">
        <v>23</v>
      </c>
      <c r="B667" t="s">
        <v>24</v>
      </c>
      <c r="C667" t="s">
        <v>934</v>
      </c>
      <c r="D667" t="s">
        <v>135</v>
      </c>
      <c r="E667" t="s">
        <v>2052</v>
      </c>
      <c r="F667" t="s">
        <v>931</v>
      </c>
      <c r="G667" t="s">
        <v>136</v>
      </c>
      <c r="H667" t="s">
        <v>142</v>
      </c>
      <c r="I667" t="s">
        <v>71</v>
      </c>
      <c r="J667" t="s">
        <v>72</v>
      </c>
      <c r="K667" t="s">
        <v>65</v>
      </c>
      <c r="L667" t="s">
        <v>143</v>
      </c>
      <c r="M667" t="s">
        <v>144</v>
      </c>
      <c r="N667" t="s">
        <v>2055</v>
      </c>
      <c r="O667">
        <v>1150</v>
      </c>
      <c r="P667" t="s">
        <v>35</v>
      </c>
      <c r="R667">
        <v>1153</v>
      </c>
      <c r="S667">
        <v>1150</v>
      </c>
      <c r="T667" t="s">
        <v>1817</v>
      </c>
      <c r="U667" t="s">
        <v>2049</v>
      </c>
      <c r="V667" t="s">
        <v>27</v>
      </c>
      <c r="W667" t="s">
        <v>66</v>
      </c>
      <c r="X667" t="s">
        <v>67</v>
      </c>
      <c r="Y667" t="s">
        <v>138</v>
      </c>
      <c r="AA667" t="s">
        <v>494</v>
      </c>
      <c r="AC667" t="s">
        <v>139</v>
      </c>
      <c r="AD667" t="s">
        <v>2056</v>
      </c>
      <c r="AG667" t="s">
        <v>71</v>
      </c>
      <c r="AH667" t="s">
        <v>68</v>
      </c>
      <c r="AI667" t="s">
        <v>493</v>
      </c>
    </row>
    <row r="668" spans="1:37" customFormat="1">
      <c r="A668" t="s">
        <v>23</v>
      </c>
      <c r="B668" t="s">
        <v>24</v>
      </c>
      <c r="C668" t="s">
        <v>934</v>
      </c>
      <c r="D668" t="s">
        <v>135</v>
      </c>
      <c r="E668" t="s">
        <v>2052</v>
      </c>
      <c r="F668" t="s">
        <v>931</v>
      </c>
      <c r="G668" t="s">
        <v>136</v>
      </c>
      <c r="H668" t="s">
        <v>142</v>
      </c>
      <c r="I668" t="s">
        <v>71</v>
      </c>
      <c r="J668" t="s">
        <v>72</v>
      </c>
      <c r="K668" t="s">
        <v>65</v>
      </c>
      <c r="L668" t="s">
        <v>143</v>
      </c>
      <c r="M668" t="s">
        <v>144</v>
      </c>
      <c r="N668" t="s">
        <v>2057</v>
      </c>
      <c r="O668">
        <v>1151</v>
      </c>
      <c r="P668" t="s">
        <v>35</v>
      </c>
      <c r="R668">
        <v>1154</v>
      </c>
      <c r="S668">
        <v>1151</v>
      </c>
      <c r="T668" t="s">
        <v>1817</v>
      </c>
      <c r="U668" t="s">
        <v>2049</v>
      </c>
      <c r="V668" t="s">
        <v>27</v>
      </c>
      <c r="W668" t="s">
        <v>66</v>
      </c>
      <c r="X668" t="s">
        <v>67</v>
      </c>
      <c r="Y668" t="s">
        <v>138</v>
      </c>
      <c r="AA668" t="s">
        <v>494</v>
      </c>
      <c r="AC668" t="s">
        <v>139</v>
      </c>
      <c r="AD668" t="s">
        <v>2058</v>
      </c>
      <c r="AG668" t="s">
        <v>71</v>
      </c>
      <c r="AH668" t="s">
        <v>68</v>
      </c>
      <c r="AI668" t="s">
        <v>493</v>
      </c>
    </row>
    <row r="669" spans="1:37" customFormat="1">
      <c r="A669" t="s">
        <v>23</v>
      </c>
      <c r="B669" t="s">
        <v>24</v>
      </c>
      <c r="C669" t="s">
        <v>934</v>
      </c>
      <c r="D669" t="s">
        <v>135</v>
      </c>
      <c r="E669" t="s">
        <v>2052</v>
      </c>
      <c r="F669" t="s">
        <v>931</v>
      </c>
      <c r="G669" t="s">
        <v>136</v>
      </c>
      <c r="H669" t="s">
        <v>142</v>
      </c>
      <c r="I669" t="s">
        <v>71</v>
      </c>
      <c r="J669" t="s">
        <v>72</v>
      </c>
      <c r="K669" t="s">
        <v>65</v>
      </c>
      <c r="L669" t="s">
        <v>143</v>
      </c>
      <c r="M669" t="s">
        <v>144</v>
      </c>
      <c r="N669" t="s">
        <v>2059</v>
      </c>
      <c r="O669">
        <v>1151</v>
      </c>
      <c r="P669" t="s">
        <v>35</v>
      </c>
      <c r="R669">
        <v>1154</v>
      </c>
      <c r="S669">
        <v>1151</v>
      </c>
      <c r="T669" t="s">
        <v>1817</v>
      </c>
      <c r="U669" t="s">
        <v>2049</v>
      </c>
      <c r="V669" t="s">
        <v>27</v>
      </c>
      <c r="W669" t="s">
        <v>66</v>
      </c>
      <c r="X669" t="s">
        <v>67</v>
      </c>
      <c r="Y669" t="s">
        <v>138</v>
      </c>
      <c r="AA669" t="s">
        <v>494</v>
      </c>
      <c r="AC669" t="s">
        <v>139</v>
      </c>
      <c r="AD669" t="s">
        <v>2060</v>
      </c>
      <c r="AG669" t="s">
        <v>71</v>
      </c>
      <c r="AH669" t="s">
        <v>68</v>
      </c>
      <c r="AI669" t="s">
        <v>493</v>
      </c>
    </row>
    <row r="670" spans="1:37" customFormat="1">
      <c r="A670" t="s">
        <v>23</v>
      </c>
      <c r="B670" t="s">
        <v>24</v>
      </c>
      <c r="C670" t="s">
        <v>934</v>
      </c>
      <c r="D670" t="s">
        <v>135</v>
      </c>
      <c r="E670" t="s">
        <v>2052</v>
      </c>
      <c r="F670" t="s">
        <v>931</v>
      </c>
      <c r="G670" t="s">
        <v>136</v>
      </c>
      <c r="H670" t="s">
        <v>142</v>
      </c>
      <c r="I670" t="s">
        <v>71</v>
      </c>
      <c r="J670" t="s">
        <v>72</v>
      </c>
      <c r="K670" t="s">
        <v>65</v>
      </c>
      <c r="L670" t="s">
        <v>143</v>
      </c>
      <c r="M670" t="s">
        <v>144</v>
      </c>
      <c r="N670" t="s">
        <v>2061</v>
      </c>
      <c r="O670">
        <v>1151</v>
      </c>
      <c r="P670" t="s">
        <v>35</v>
      </c>
      <c r="R670">
        <v>1154</v>
      </c>
      <c r="S670">
        <v>1151</v>
      </c>
      <c r="T670" t="s">
        <v>1817</v>
      </c>
      <c r="U670" t="s">
        <v>2049</v>
      </c>
      <c r="V670" t="s">
        <v>27</v>
      </c>
      <c r="W670" t="s">
        <v>66</v>
      </c>
      <c r="X670" t="s">
        <v>67</v>
      </c>
      <c r="Y670" t="s">
        <v>138</v>
      </c>
      <c r="AA670" t="s">
        <v>494</v>
      </c>
      <c r="AC670" t="s">
        <v>139</v>
      </c>
      <c r="AD670" t="s">
        <v>2062</v>
      </c>
      <c r="AG670" t="s">
        <v>71</v>
      </c>
      <c r="AH670" t="s">
        <v>68</v>
      </c>
      <c r="AI670" t="s">
        <v>493</v>
      </c>
    </row>
    <row r="671" spans="1:37" customFormat="1">
      <c r="A671" t="s">
        <v>23</v>
      </c>
      <c r="B671" t="s">
        <v>24</v>
      </c>
      <c r="C671" t="s">
        <v>934</v>
      </c>
      <c r="D671" t="s">
        <v>135</v>
      </c>
      <c r="E671" t="s">
        <v>2052</v>
      </c>
      <c r="F671" t="s">
        <v>931</v>
      </c>
      <c r="G671" t="s">
        <v>136</v>
      </c>
      <c r="H671" t="s">
        <v>142</v>
      </c>
      <c r="I671" t="s">
        <v>71</v>
      </c>
      <c r="J671" t="s">
        <v>72</v>
      </c>
      <c r="K671" t="s">
        <v>65</v>
      </c>
      <c r="L671" t="s">
        <v>143</v>
      </c>
      <c r="M671" t="s">
        <v>144</v>
      </c>
      <c r="N671" t="s">
        <v>2063</v>
      </c>
      <c r="O671">
        <v>1151</v>
      </c>
      <c r="P671" t="s">
        <v>35</v>
      </c>
      <c r="R671">
        <v>1154</v>
      </c>
      <c r="S671">
        <v>1151</v>
      </c>
      <c r="T671" t="s">
        <v>1817</v>
      </c>
      <c r="U671" t="s">
        <v>2049</v>
      </c>
      <c r="V671" t="s">
        <v>27</v>
      </c>
      <c r="W671" t="s">
        <v>66</v>
      </c>
      <c r="X671" t="s">
        <v>67</v>
      </c>
      <c r="Y671" t="s">
        <v>138</v>
      </c>
      <c r="AA671" t="s">
        <v>494</v>
      </c>
      <c r="AC671" t="s">
        <v>139</v>
      </c>
      <c r="AD671" t="s">
        <v>2064</v>
      </c>
      <c r="AG671" t="s">
        <v>71</v>
      </c>
      <c r="AH671" t="s">
        <v>68</v>
      </c>
      <c r="AI671" t="s">
        <v>493</v>
      </c>
    </row>
    <row r="672" spans="1:37" customFormat="1">
      <c r="A672" t="s">
        <v>23</v>
      </c>
      <c r="B672" t="s">
        <v>24</v>
      </c>
      <c r="C672" t="s">
        <v>934</v>
      </c>
      <c r="D672" t="s">
        <v>135</v>
      </c>
      <c r="E672" t="s">
        <v>2052</v>
      </c>
      <c r="F672" t="s">
        <v>931</v>
      </c>
      <c r="G672" t="s">
        <v>136</v>
      </c>
      <c r="H672" t="s">
        <v>142</v>
      </c>
      <c r="I672" t="s">
        <v>71</v>
      </c>
      <c r="J672" t="s">
        <v>72</v>
      </c>
      <c r="K672" t="s">
        <v>65</v>
      </c>
      <c r="L672" t="s">
        <v>143</v>
      </c>
      <c r="M672" t="s">
        <v>144</v>
      </c>
      <c r="N672" t="s">
        <v>2065</v>
      </c>
      <c r="O672">
        <v>1151</v>
      </c>
      <c r="P672" t="s">
        <v>35</v>
      </c>
      <c r="R672">
        <v>1154</v>
      </c>
      <c r="S672">
        <v>1151</v>
      </c>
      <c r="T672" t="s">
        <v>1817</v>
      </c>
      <c r="U672" t="s">
        <v>2049</v>
      </c>
      <c r="V672" t="s">
        <v>27</v>
      </c>
      <c r="W672" t="s">
        <v>66</v>
      </c>
      <c r="X672" t="s">
        <v>67</v>
      </c>
      <c r="Y672" t="s">
        <v>138</v>
      </c>
      <c r="AA672" t="s">
        <v>494</v>
      </c>
      <c r="AC672" t="s">
        <v>139</v>
      </c>
      <c r="AD672" t="s">
        <v>2066</v>
      </c>
      <c r="AG672" t="s">
        <v>71</v>
      </c>
      <c r="AH672" t="s">
        <v>68</v>
      </c>
      <c r="AI672" t="s">
        <v>493</v>
      </c>
    </row>
    <row r="673" spans="1:35" customFormat="1">
      <c r="A673" t="s">
        <v>23</v>
      </c>
      <c r="B673" t="s">
        <v>24</v>
      </c>
      <c r="C673" t="s">
        <v>934</v>
      </c>
      <c r="D673" t="s">
        <v>135</v>
      </c>
      <c r="E673" t="s">
        <v>2052</v>
      </c>
      <c r="F673" t="s">
        <v>931</v>
      </c>
      <c r="G673" t="s">
        <v>136</v>
      </c>
      <c r="H673" t="s">
        <v>142</v>
      </c>
      <c r="I673" t="s">
        <v>71</v>
      </c>
      <c r="J673" t="s">
        <v>72</v>
      </c>
      <c r="K673" t="s">
        <v>65</v>
      </c>
      <c r="L673" t="s">
        <v>143</v>
      </c>
      <c r="M673" t="s">
        <v>144</v>
      </c>
      <c r="N673" t="s">
        <v>2067</v>
      </c>
      <c r="O673">
        <v>1151</v>
      </c>
      <c r="P673" t="s">
        <v>35</v>
      </c>
      <c r="R673">
        <v>1154</v>
      </c>
      <c r="S673">
        <v>1151</v>
      </c>
      <c r="T673" t="s">
        <v>1817</v>
      </c>
      <c r="U673" t="s">
        <v>2049</v>
      </c>
      <c r="V673" t="s">
        <v>27</v>
      </c>
      <c r="W673" t="s">
        <v>66</v>
      </c>
      <c r="X673" t="s">
        <v>67</v>
      </c>
      <c r="Y673" t="s">
        <v>138</v>
      </c>
      <c r="AA673" t="s">
        <v>494</v>
      </c>
      <c r="AC673" t="s">
        <v>139</v>
      </c>
      <c r="AD673" t="s">
        <v>2068</v>
      </c>
      <c r="AG673" t="s">
        <v>71</v>
      </c>
      <c r="AH673" t="s">
        <v>68</v>
      </c>
      <c r="AI673" t="s">
        <v>493</v>
      </c>
    </row>
    <row r="674" spans="1:35" customFormat="1">
      <c r="A674" t="s">
        <v>23</v>
      </c>
      <c r="B674" t="s">
        <v>24</v>
      </c>
      <c r="C674" t="s">
        <v>934</v>
      </c>
      <c r="D674" t="s">
        <v>135</v>
      </c>
      <c r="E674" t="s">
        <v>2052</v>
      </c>
      <c r="F674" t="s">
        <v>931</v>
      </c>
      <c r="G674" t="s">
        <v>136</v>
      </c>
      <c r="H674" t="s">
        <v>142</v>
      </c>
      <c r="I674" t="s">
        <v>71</v>
      </c>
      <c r="J674" t="s">
        <v>72</v>
      </c>
      <c r="K674" t="s">
        <v>65</v>
      </c>
      <c r="L674" t="s">
        <v>143</v>
      </c>
      <c r="M674" t="s">
        <v>144</v>
      </c>
      <c r="N674" t="s">
        <v>2069</v>
      </c>
      <c r="O674">
        <v>1158</v>
      </c>
      <c r="P674" t="s">
        <v>35</v>
      </c>
      <c r="R674">
        <v>1161</v>
      </c>
      <c r="S674">
        <v>1158</v>
      </c>
      <c r="T674" t="s">
        <v>1817</v>
      </c>
      <c r="U674" t="s">
        <v>2049</v>
      </c>
      <c r="V674" t="s">
        <v>27</v>
      </c>
      <c r="W674" t="s">
        <v>66</v>
      </c>
      <c r="X674" t="s">
        <v>67</v>
      </c>
      <c r="Y674" t="s">
        <v>138</v>
      </c>
      <c r="AA674" t="s">
        <v>494</v>
      </c>
      <c r="AC674" t="s">
        <v>139</v>
      </c>
      <c r="AD674" t="s">
        <v>2070</v>
      </c>
      <c r="AG674" t="s">
        <v>71</v>
      </c>
      <c r="AH674" t="s">
        <v>68</v>
      </c>
      <c r="AI674" t="s">
        <v>493</v>
      </c>
    </row>
    <row r="675" spans="1:35" customFormat="1">
      <c r="A675" t="s">
        <v>23</v>
      </c>
      <c r="B675" t="s">
        <v>24</v>
      </c>
      <c r="C675" t="s">
        <v>934</v>
      </c>
      <c r="D675" t="s">
        <v>135</v>
      </c>
      <c r="E675" t="s">
        <v>2052</v>
      </c>
      <c r="F675" t="s">
        <v>931</v>
      </c>
      <c r="G675" t="s">
        <v>136</v>
      </c>
      <c r="H675" t="s">
        <v>142</v>
      </c>
      <c r="I675" t="s">
        <v>71</v>
      </c>
      <c r="J675" t="s">
        <v>72</v>
      </c>
      <c r="K675" t="s">
        <v>65</v>
      </c>
      <c r="L675" t="s">
        <v>143</v>
      </c>
      <c r="M675" t="s">
        <v>144</v>
      </c>
      <c r="N675" t="s">
        <v>2071</v>
      </c>
      <c r="O675">
        <v>495</v>
      </c>
      <c r="P675" t="s">
        <v>35</v>
      </c>
      <c r="R675">
        <v>498</v>
      </c>
      <c r="S675">
        <v>495</v>
      </c>
      <c r="T675" t="s">
        <v>1817</v>
      </c>
      <c r="U675" t="s">
        <v>2049</v>
      </c>
      <c r="V675" t="s">
        <v>27</v>
      </c>
      <c r="W675" t="s">
        <v>66</v>
      </c>
      <c r="X675" t="s">
        <v>67</v>
      </c>
      <c r="Y675" t="s">
        <v>138</v>
      </c>
      <c r="AA675" t="s">
        <v>494</v>
      </c>
      <c r="AC675" t="s">
        <v>139</v>
      </c>
      <c r="AD675" t="s">
        <v>2072</v>
      </c>
      <c r="AG675" t="s">
        <v>71</v>
      </c>
      <c r="AH675" t="s">
        <v>68</v>
      </c>
      <c r="AI675" t="s">
        <v>493</v>
      </c>
    </row>
    <row r="676" spans="1:35" customFormat="1">
      <c r="A676" t="s">
        <v>23</v>
      </c>
      <c r="B676" t="s">
        <v>24</v>
      </c>
      <c r="C676" t="s">
        <v>934</v>
      </c>
      <c r="D676" t="s">
        <v>135</v>
      </c>
      <c r="E676" t="s">
        <v>2073</v>
      </c>
      <c r="F676" t="s">
        <v>931</v>
      </c>
      <c r="G676" t="s">
        <v>136</v>
      </c>
      <c r="H676" t="s">
        <v>2074</v>
      </c>
      <c r="I676" t="s">
        <v>71</v>
      </c>
      <c r="J676" t="s">
        <v>72</v>
      </c>
      <c r="K676" t="s">
        <v>65</v>
      </c>
      <c r="L676" t="s">
        <v>150</v>
      </c>
      <c r="M676" t="s">
        <v>144</v>
      </c>
      <c r="N676" t="s">
        <v>2075</v>
      </c>
      <c r="O676">
        <v>1152</v>
      </c>
      <c r="P676" t="s">
        <v>35</v>
      </c>
      <c r="R676">
        <v>1155</v>
      </c>
      <c r="S676">
        <v>1152</v>
      </c>
      <c r="T676" t="s">
        <v>1817</v>
      </c>
      <c r="U676" t="s">
        <v>2099</v>
      </c>
      <c r="V676" t="s">
        <v>27</v>
      </c>
      <c r="W676" t="s">
        <v>66</v>
      </c>
      <c r="X676" t="s">
        <v>67</v>
      </c>
      <c r="Y676" t="s">
        <v>138</v>
      </c>
      <c r="AA676" t="s">
        <v>494</v>
      </c>
      <c r="AC676" t="s">
        <v>139</v>
      </c>
      <c r="AD676" t="s">
        <v>2100</v>
      </c>
      <c r="AG676" t="s">
        <v>71</v>
      </c>
      <c r="AH676" t="s">
        <v>68</v>
      </c>
      <c r="AI676" t="s">
        <v>493</v>
      </c>
    </row>
    <row r="677" spans="1:35" customFormat="1">
      <c r="A677" t="s">
        <v>23</v>
      </c>
      <c r="B677" t="s">
        <v>24</v>
      </c>
      <c r="C677" t="s">
        <v>934</v>
      </c>
      <c r="D677" t="s">
        <v>135</v>
      </c>
      <c r="E677" t="s">
        <v>2073</v>
      </c>
      <c r="F677" t="s">
        <v>931</v>
      </c>
      <c r="G677" t="s">
        <v>136</v>
      </c>
      <c r="H677" t="s">
        <v>2074</v>
      </c>
      <c r="I677" t="s">
        <v>71</v>
      </c>
      <c r="J677" t="s">
        <v>72</v>
      </c>
      <c r="K677" t="s">
        <v>65</v>
      </c>
      <c r="L677" t="s">
        <v>150</v>
      </c>
      <c r="M677" t="s">
        <v>144</v>
      </c>
      <c r="N677" t="s">
        <v>2076</v>
      </c>
      <c r="O677">
        <v>1152</v>
      </c>
      <c r="P677" t="s">
        <v>35</v>
      </c>
      <c r="R677">
        <v>1155</v>
      </c>
      <c r="S677">
        <v>1152</v>
      </c>
      <c r="T677" t="s">
        <v>1817</v>
      </c>
      <c r="U677" t="s">
        <v>2099</v>
      </c>
      <c r="V677" t="s">
        <v>27</v>
      </c>
      <c r="W677" t="s">
        <v>66</v>
      </c>
      <c r="X677" t="s">
        <v>67</v>
      </c>
      <c r="Y677" t="s">
        <v>138</v>
      </c>
      <c r="AA677" t="s">
        <v>494</v>
      </c>
      <c r="AC677" t="s">
        <v>139</v>
      </c>
      <c r="AD677" t="s">
        <v>2101</v>
      </c>
      <c r="AG677" t="s">
        <v>71</v>
      </c>
      <c r="AH677" t="s">
        <v>68</v>
      </c>
      <c r="AI677" t="s">
        <v>493</v>
      </c>
    </row>
    <row r="678" spans="1:35" customFormat="1">
      <c r="A678" t="s">
        <v>23</v>
      </c>
      <c r="B678" t="s">
        <v>24</v>
      </c>
      <c r="C678" t="s">
        <v>934</v>
      </c>
      <c r="D678" t="s">
        <v>135</v>
      </c>
      <c r="E678" t="s">
        <v>2073</v>
      </c>
      <c r="F678" t="s">
        <v>931</v>
      </c>
      <c r="G678" t="s">
        <v>136</v>
      </c>
      <c r="H678" t="s">
        <v>2074</v>
      </c>
      <c r="I678" t="s">
        <v>71</v>
      </c>
      <c r="J678" t="s">
        <v>72</v>
      </c>
      <c r="K678" t="s">
        <v>65</v>
      </c>
      <c r="L678" t="s">
        <v>150</v>
      </c>
      <c r="M678" t="s">
        <v>144</v>
      </c>
      <c r="N678" t="s">
        <v>2077</v>
      </c>
      <c r="O678">
        <v>1159</v>
      </c>
      <c r="P678" t="s">
        <v>35</v>
      </c>
      <c r="R678">
        <v>1162</v>
      </c>
      <c r="S678">
        <v>1159</v>
      </c>
      <c r="T678" t="s">
        <v>1817</v>
      </c>
      <c r="U678" t="s">
        <v>2099</v>
      </c>
      <c r="V678" t="s">
        <v>27</v>
      </c>
      <c r="W678" t="s">
        <v>66</v>
      </c>
      <c r="X678" t="s">
        <v>67</v>
      </c>
      <c r="Y678" t="s">
        <v>138</v>
      </c>
      <c r="AA678" t="s">
        <v>494</v>
      </c>
      <c r="AC678" t="s">
        <v>139</v>
      </c>
      <c r="AD678" t="s">
        <v>2102</v>
      </c>
      <c r="AG678" t="s">
        <v>71</v>
      </c>
      <c r="AH678" t="s">
        <v>68</v>
      </c>
      <c r="AI678" t="s">
        <v>493</v>
      </c>
    </row>
    <row r="679" spans="1:35" customFormat="1">
      <c r="A679" t="s">
        <v>23</v>
      </c>
      <c r="B679" t="s">
        <v>24</v>
      </c>
      <c r="C679" t="s">
        <v>934</v>
      </c>
      <c r="D679" t="s">
        <v>135</v>
      </c>
      <c r="E679" t="s">
        <v>2073</v>
      </c>
      <c r="F679" t="s">
        <v>931</v>
      </c>
      <c r="G679" t="s">
        <v>136</v>
      </c>
      <c r="H679" t="s">
        <v>2074</v>
      </c>
      <c r="I679" t="s">
        <v>71</v>
      </c>
      <c r="J679" t="s">
        <v>72</v>
      </c>
      <c r="K679" t="s">
        <v>65</v>
      </c>
      <c r="L679" t="s">
        <v>150</v>
      </c>
      <c r="M679" t="s">
        <v>144</v>
      </c>
      <c r="N679" t="s">
        <v>2078</v>
      </c>
      <c r="O679">
        <v>1158</v>
      </c>
      <c r="P679" t="s">
        <v>35</v>
      </c>
      <c r="R679">
        <v>1161</v>
      </c>
      <c r="S679">
        <v>1158</v>
      </c>
      <c r="T679" t="s">
        <v>1817</v>
      </c>
      <c r="U679" t="s">
        <v>2099</v>
      </c>
      <c r="V679" t="s">
        <v>27</v>
      </c>
      <c r="W679" t="s">
        <v>66</v>
      </c>
      <c r="X679" t="s">
        <v>67</v>
      </c>
      <c r="Y679" t="s">
        <v>138</v>
      </c>
      <c r="AA679" t="s">
        <v>494</v>
      </c>
      <c r="AC679" t="s">
        <v>139</v>
      </c>
      <c r="AD679" t="s">
        <v>2103</v>
      </c>
      <c r="AG679" t="s">
        <v>71</v>
      </c>
      <c r="AH679" t="s">
        <v>68</v>
      </c>
      <c r="AI679" t="s">
        <v>493</v>
      </c>
    </row>
    <row r="680" spans="1:35" customFormat="1">
      <c r="A680" t="s">
        <v>23</v>
      </c>
      <c r="B680" t="s">
        <v>24</v>
      </c>
      <c r="C680" t="s">
        <v>934</v>
      </c>
      <c r="D680" t="s">
        <v>135</v>
      </c>
      <c r="E680" t="s">
        <v>2073</v>
      </c>
      <c r="F680" t="s">
        <v>931</v>
      </c>
      <c r="G680" t="s">
        <v>136</v>
      </c>
      <c r="H680" t="s">
        <v>2074</v>
      </c>
      <c r="I680" t="s">
        <v>71</v>
      </c>
      <c r="J680" t="s">
        <v>72</v>
      </c>
      <c r="K680" t="s">
        <v>65</v>
      </c>
      <c r="L680" t="s">
        <v>150</v>
      </c>
      <c r="M680" t="s">
        <v>144</v>
      </c>
      <c r="N680" t="s">
        <v>2079</v>
      </c>
      <c r="O680">
        <v>1160</v>
      </c>
      <c r="P680" t="s">
        <v>35</v>
      </c>
      <c r="R680">
        <v>1163</v>
      </c>
      <c r="S680">
        <v>1160</v>
      </c>
      <c r="T680" t="s">
        <v>1817</v>
      </c>
      <c r="U680" t="s">
        <v>2099</v>
      </c>
      <c r="V680" t="s">
        <v>27</v>
      </c>
      <c r="W680" t="s">
        <v>66</v>
      </c>
      <c r="X680" t="s">
        <v>67</v>
      </c>
      <c r="Y680" t="s">
        <v>138</v>
      </c>
      <c r="AA680" t="s">
        <v>494</v>
      </c>
      <c r="AC680" t="s">
        <v>139</v>
      </c>
      <c r="AD680" t="s">
        <v>2104</v>
      </c>
      <c r="AG680" t="s">
        <v>71</v>
      </c>
      <c r="AH680" t="s">
        <v>68</v>
      </c>
      <c r="AI680" t="s">
        <v>493</v>
      </c>
    </row>
    <row r="681" spans="1:35" customFormat="1">
      <c r="A681" t="s">
        <v>23</v>
      </c>
      <c r="B681" t="s">
        <v>24</v>
      </c>
      <c r="C681" t="s">
        <v>934</v>
      </c>
      <c r="D681" t="s">
        <v>135</v>
      </c>
      <c r="E681" t="s">
        <v>2073</v>
      </c>
      <c r="F681" t="s">
        <v>931</v>
      </c>
      <c r="G681" t="s">
        <v>136</v>
      </c>
      <c r="H681" t="s">
        <v>2074</v>
      </c>
      <c r="I681" t="s">
        <v>71</v>
      </c>
      <c r="J681" t="s">
        <v>72</v>
      </c>
      <c r="K681" t="s">
        <v>65</v>
      </c>
      <c r="L681" t="s">
        <v>150</v>
      </c>
      <c r="M681" t="s">
        <v>144</v>
      </c>
      <c r="N681" t="s">
        <v>2080</v>
      </c>
      <c r="O681">
        <v>1152</v>
      </c>
      <c r="P681" t="s">
        <v>35</v>
      </c>
      <c r="R681">
        <v>1155</v>
      </c>
      <c r="S681">
        <v>1152</v>
      </c>
      <c r="T681" t="s">
        <v>1817</v>
      </c>
      <c r="U681" t="s">
        <v>2099</v>
      </c>
      <c r="V681" t="s">
        <v>27</v>
      </c>
      <c r="W681" t="s">
        <v>66</v>
      </c>
      <c r="X681" t="s">
        <v>67</v>
      </c>
      <c r="Y681" t="s">
        <v>138</v>
      </c>
      <c r="AA681" t="s">
        <v>494</v>
      </c>
      <c r="AC681" t="s">
        <v>139</v>
      </c>
      <c r="AD681" t="s">
        <v>2105</v>
      </c>
      <c r="AG681" t="s">
        <v>71</v>
      </c>
      <c r="AH681" t="s">
        <v>68</v>
      </c>
      <c r="AI681" t="s">
        <v>493</v>
      </c>
    </row>
    <row r="682" spans="1:35" customFormat="1">
      <c r="A682" t="s">
        <v>23</v>
      </c>
      <c r="B682" t="s">
        <v>24</v>
      </c>
      <c r="C682" t="s">
        <v>934</v>
      </c>
      <c r="D682" t="s">
        <v>135</v>
      </c>
      <c r="E682" t="s">
        <v>2073</v>
      </c>
      <c r="F682" t="s">
        <v>931</v>
      </c>
      <c r="G682" t="s">
        <v>136</v>
      </c>
      <c r="H682" t="s">
        <v>2074</v>
      </c>
      <c r="I682" t="s">
        <v>71</v>
      </c>
      <c r="J682" t="s">
        <v>72</v>
      </c>
      <c r="K682" t="s">
        <v>65</v>
      </c>
      <c r="L682" t="s">
        <v>150</v>
      </c>
      <c r="M682" t="s">
        <v>144</v>
      </c>
      <c r="N682" t="s">
        <v>2081</v>
      </c>
      <c r="O682">
        <v>1160</v>
      </c>
      <c r="P682" t="s">
        <v>35</v>
      </c>
      <c r="R682">
        <v>1163</v>
      </c>
      <c r="S682">
        <v>1160</v>
      </c>
      <c r="T682" t="s">
        <v>1817</v>
      </c>
      <c r="U682" t="s">
        <v>2099</v>
      </c>
      <c r="V682" t="s">
        <v>27</v>
      </c>
      <c r="W682" t="s">
        <v>66</v>
      </c>
      <c r="X682" t="s">
        <v>67</v>
      </c>
      <c r="Y682" t="s">
        <v>138</v>
      </c>
      <c r="AA682" t="s">
        <v>494</v>
      </c>
      <c r="AC682" t="s">
        <v>139</v>
      </c>
      <c r="AD682" t="s">
        <v>2106</v>
      </c>
      <c r="AG682" t="s">
        <v>71</v>
      </c>
      <c r="AH682" t="s">
        <v>68</v>
      </c>
      <c r="AI682" t="s">
        <v>493</v>
      </c>
    </row>
    <row r="683" spans="1:35" customFormat="1">
      <c r="A683" t="s">
        <v>23</v>
      </c>
      <c r="B683" t="s">
        <v>24</v>
      </c>
      <c r="C683" t="s">
        <v>934</v>
      </c>
      <c r="D683" t="s">
        <v>135</v>
      </c>
      <c r="E683" t="s">
        <v>2073</v>
      </c>
      <c r="F683" t="s">
        <v>931</v>
      </c>
      <c r="G683" t="s">
        <v>136</v>
      </c>
      <c r="H683" t="s">
        <v>2074</v>
      </c>
      <c r="I683" t="s">
        <v>71</v>
      </c>
      <c r="J683" t="s">
        <v>72</v>
      </c>
      <c r="K683" t="s">
        <v>65</v>
      </c>
      <c r="L683" t="s">
        <v>150</v>
      </c>
      <c r="M683" t="s">
        <v>144</v>
      </c>
      <c r="N683" t="s">
        <v>2082</v>
      </c>
      <c r="O683">
        <v>1160</v>
      </c>
      <c r="P683" t="s">
        <v>35</v>
      </c>
      <c r="R683">
        <v>1163</v>
      </c>
      <c r="S683">
        <v>1160</v>
      </c>
      <c r="T683" t="s">
        <v>1817</v>
      </c>
      <c r="U683" t="s">
        <v>2099</v>
      </c>
      <c r="V683" t="s">
        <v>27</v>
      </c>
      <c r="W683" t="s">
        <v>66</v>
      </c>
      <c r="X683" t="s">
        <v>67</v>
      </c>
      <c r="Y683" t="s">
        <v>138</v>
      </c>
      <c r="AA683" t="s">
        <v>494</v>
      </c>
      <c r="AC683" t="s">
        <v>139</v>
      </c>
      <c r="AD683" t="s">
        <v>2107</v>
      </c>
      <c r="AG683" t="s">
        <v>71</v>
      </c>
      <c r="AH683" t="s">
        <v>68</v>
      </c>
      <c r="AI683" t="s">
        <v>493</v>
      </c>
    </row>
    <row r="684" spans="1:35" customFormat="1">
      <c r="A684" t="s">
        <v>23</v>
      </c>
      <c r="B684" t="s">
        <v>24</v>
      </c>
      <c r="C684" t="s">
        <v>934</v>
      </c>
      <c r="D684" t="s">
        <v>135</v>
      </c>
      <c r="E684" t="s">
        <v>2073</v>
      </c>
      <c r="F684" t="s">
        <v>931</v>
      </c>
      <c r="G684" t="s">
        <v>136</v>
      </c>
      <c r="H684" t="s">
        <v>2074</v>
      </c>
      <c r="I684" t="s">
        <v>71</v>
      </c>
      <c r="J684" t="s">
        <v>72</v>
      </c>
      <c r="K684" t="s">
        <v>65</v>
      </c>
      <c r="L684" t="s">
        <v>150</v>
      </c>
      <c r="M684" t="s">
        <v>144</v>
      </c>
      <c r="N684" t="s">
        <v>2083</v>
      </c>
      <c r="O684">
        <v>1159</v>
      </c>
      <c r="P684" t="s">
        <v>35</v>
      </c>
      <c r="R684">
        <v>1162</v>
      </c>
      <c r="S684">
        <v>1159</v>
      </c>
      <c r="T684" t="s">
        <v>1817</v>
      </c>
      <c r="U684" t="s">
        <v>2099</v>
      </c>
      <c r="V684" t="s">
        <v>27</v>
      </c>
      <c r="W684" t="s">
        <v>66</v>
      </c>
      <c r="X684" t="s">
        <v>67</v>
      </c>
      <c r="Y684" t="s">
        <v>138</v>
      </c>
      <c r="AA684" t="s">
        <v>494</v>
      </c>
      <c r="AC684" t="s">
        <v>139</v>
      </c>
      <c r="AD684" t="s">
        <v>2108</v>
      </c>
      <c r="AG684" t="s">
        <v>71</v>
      </c>
      <c r="AH684" t="s">
        <v>68</v>
      </c>
      <c r="AI684" t="s">
        <v>493</v>
      </c>
    </row>
    <row r="685" spans="1:35" customFormat="1">
      <c r="A685" t="s">
        <v>23</v>
      </c>
      <c r="B685" t="s">
        <v>24</v>
      </c>
      <c r="C685" t="s">
        <v>934</v>
      </c>
      <c r="D685" t="s">
        <v>135</v>
      </c>
      <c r="E685" t="s">
        <v>2073</v>
      </c>
      <c r="F685" t="s">
        <v>931</v>
      </c>
      <c r="G685" t="s">
        <v>136</v>
      </c>
      <c r="H685" t="s">
        <v>2074</v>
      </c>
      <c r="I685" t="s">
        <v>71</v>
      </c>
      <c r="J685" t="s">
        <v>72</v>
      </c>
      <c r="K685" t="s">
        <v>65</v>
      </c>
      <c r="L685" t="s">
        <v>150</v>
      </c>
      <c r="M685" t="s">
        <v>144</v>
      </c>
      <c r="N685" t="s">
        <v>2084</v>
      </c>
      <c r="O685">
        <v>1162</v>
      </c>
      <c r="P685" t="s">
        <v>35</v>
      </c>
      <c r="R685">
        <v>1165</v>
      </c>
      <c r="S685">
        <v>1162</v>
      </c>
      <c r="T685" t="s">
        <v>1817</v>
      </c>
      <c r="U685" t="s">
        <v>2099</v>
      </c>
      <c r="V685" t="s">
        <v>27</v>
      </c>
      <c r="W685" t="s">
        <v>66</v>
      </c>
      <c r="X685" t="s">
        <v>67</v>
      </c>
      <c r="Y685" t="s">
        <v>138</v>
      </c>
      <c r="AA685" t="s">
        <v>494</v>
      </c>
      <c r="AC685" t="s">
        <v>139</v>
      </c>
      <c r="AD685" t="s">
        <v>2109</v>
      </c>
      <c r="AG685" t="s">
        <v>71</v>
      </c>
      <c r="AH685" t="s">
        <v>68</v>
      </c>
      <c r="AI685" t="s">
        <v>493</v>
      </c>
    </row>
    <row r="686" spans="1:35" customFormat="1">
      <c r="A686" t="s">
        <v>23</v>
      </c>
      <c r="B686" t="s">
        <v>24</v>
      </c>
      <c r="C686" t="s">
        <v>934</v>
      </c>
      <c r="D686" t="s">
        <v>135</v>
      </c>
      <c r="E686" t="s">
        <v>2073</v>
      </c>
      <c r="F686" t="s">
        <v>931</v>
      </c>
      <c r="G686" t="s">
        <v>136</v>
      </c>
      <c r="H686" t="s">
        <v>2074</v>
      </c>
      <c r="I686" t="s">
        <v>71</v>
      </c>
      <c r="J686" t="s">
        <v>72</v>
      </c>
      <c r="K686" t="s">
        <v>65</v>
      </c>
      <c r="L686" t="s">
        <v>150</v>
      </c>
      <c r="M686" t="s">
        <v>144</v>
      </c>
      <c r="N686" t="s">
        <v>2085</v>
      </c>
      <c r="O686">
        <v>1156</v>
      </c>
      <c r="P686" t="s">
        <v>35</v>
      </c>
      <c r="R686">
        <v>1159</v>
      </c>
      <c r="S686">
        <v>1156</v>
      </c>
      <c r="T686" t="s">
        <v>1817</v>
      </c>
      <c r="U686" t="s">
        <v>2099</v>
      </c>
      <c r="V686" t="s">
        <v>27</v>
      </c>
      <c r="W686" t="s">
        <v>66</v>
      </c>
      <c r="X686" t="s">
        <v>67</v>
      </c>
      <c r="Y686" t="s">
        <v>138</v>
      </c>
      <c r="AA686" t="s">
        <v>494</v>
      </c>
      <c r="AC686" t="s">
        <v>139</v>
      </c>
      <c r="AD686" t="s">
        <v>2110</v>
      </c>
      <c r="AG686" t="s">
        <v>71</v>
      </c>
      <c r="AH686" t="s">
        <v>68</v>
      </c>
      <c r="AI686" t="s">
        <v>493</v>
      </c>
    </row>
    <row r="687" spans="1:35" customFormat="1">
      <c r="A687" t="s">
        <v>23</v>
      </c>
      <c r="B687" t="s">
        <v>24</v>
      </c>
      <c r="C687" t="s">
        <v>934</v>
      </c>
      <c r="D687" t="s">
        <v>135</v>
      </c>
      <c r="E687" t="s">
        <v>2073</v>
      </c>
      <c r="F687" t="s">
        <v>931</v>
      </c>
      <c r="G687" t="s">
        <v>136</v>
      </c>
      <c r="H687" t="s">
        <v>2074</v>
      </c>
      <c r="I687" t="s">
        <v>71</v>
      </c>
      <c r="J687" t="s">
        <v>72</v>
      </c>
      <c r="K687" t="s">
        <v>65</v>
      </c>
      <c r="L687" t="s">
        <v>150</v>
      </c>
      <c r="M687" t="s">
        <v>144</v>
      </c>
      <c r="N687" t="s">
        <v>2086</v>
      </c>
      <c r="O687">
        <v>1160</v>
      </c>
      <c r="P687" t="s">
        <v>35</v>
      </c>
      <c r="R687">
        <v>1163</v>
      </c>
      <c r="S687">
        <v>1160</v>
      </c>
      <c r="T687" t="s">
        <v>1817</v>
      </c>
      <c r="U687" t="s">
        <v>2099</v>
      </c>
      <c r="V687" t="s">
        <v>27</v>
      </c>
      <c r="W687" t="s">
        <v>66</v>
      </c>
      <c r="X687" t="s">
        <v>67</v>
      </c>
      <c r="Y687" t="s">
        <v>138</v>
      </c>
      <c r="AA687" t="s">
        <v>494</v>
      </c>
      <c r="AC687" t="s">
        <v>139</v>
      </c>
      <c r="AD687" t="s">
        <v>2111</v>
      </c>
      <c r="AG687" t="s">
        <v>71</v>
      </c>
      <c r="AH687" t="s">
        <v>68</v>
      </c>
      <c r="AI687" t="s">
        <v>493</v>
      </c>
    </row>
    <row r="688" spans="1:35" customFormat="1">
      <c r="A688" t="s">
        <v>23</v>
      </c>
      <c r="B688" t="s">
        <v>24</v>
      </c>
      <c r="C688" t="s">
        <v>934</v>
      </c>
      <c r="D688" t="s">
        <v>135</v>
      </c>
      <c r="E688" t="s">
        <v>2073</v>
      </c>
      <c r="F688" t="s">
        <v>931</v>
      </c>
      <c r="G688" t="s">
        <v>136</v>
      </c>
      <c r="H688" t="s">
        <v>2074</v>
      </c>
      <c r="I688" t="s">
        <v>71</v>
      </c>
      <c r="J688" t="s">
        <v>72</v>
      </c>
      <c r="K688" t="s">
        <v>65</v>
      </c>
      <c r="L688" t="s">
        <v>150</v>
      </c>
      <c r="M688" t="s">
        <v>144</v>
      </c>
      <c r="N688" t="s">
        <v>2087</v>
      </c>
      <c r="O688">
        <v>1161</v>
      </c>
      <c r="P688" t="s">
        <v>35</v>
      </c>
      <c r="R688">
        <v>1164</v>
      </c>
      <c r="S688">
        <v>1161</v>
      </c>
      <c r="T688" t="s">
        <v>1817</v>
      </c>
      <c r="U688" t="s">
        <v>2099</v>
      </c>
      <c r="V688" t="s">
        <v>27</v>
      </c>
      <c r="W688" t="s">
        <v>66</v>
      </c>
      <c r="X688" t="s">
        <v>67</v>
      </c>
      <c r="Y688" t="s">
        <v>138</v>
      </c>
      <c r="AA688" t="s">
        <v>494</v>
      </c>
      <c r="AC688" t="s">
        <v>139</v>
      </c>
      <c r="AD688" t="s">
        <v>2112</v>
      </c>
      <c r="AG688" t="s">
        <v>71</v>
      </c>
      <c r="AH688" t="s">
        <v>68</v>
      </c>
      <c r="AI688" t="s">
        <v>493</v>
      </c>
    </row>
    <row r="689" spans="1:37" customFormat="1">
      <c r="A689" t="s">
        <v>23</v>
      </c>
      <c r="B689" t="s">
        <v>24</v>
      </c>
      <c r="C689" t="s">
        <v>934</v>
      </c>
      <c r="D689" t="s">
        <v>135</v>
      </c>
      <c r="E689" t="s">
        <v>2073</v>
      </c>
      <c r="F689" t="s">
        <v>931</v>
      </c>
      <c r="G689" t="s">
        <v>136</v>
      </c>
      <c r="H689" t="s">
        <v>2074</v>
      </c>
      <c r="I689" t="s">
        <v>71</v>
      </c>
      <c r="J689" t="s">
        <v>72</v>
      </c>
      <c r="K689" t="s">
        <v>65</v>
      </c>
      <c r="L689" t="s">
        <v>150</v>
      </c>
      <c r="M689" t="s">
        <v>144</v>
      </c>
      <c r="N689" t="s">
        <v>2088</v>
      </c>
      <c r="O689">
        <v>1160</v>
      </c>
      <c r="P689" t="s">
        <v>35</v>
      </c>
      <c r="R689">
        <v>1163</v>
      </c>
      <c r="S689">
        <v>1160</v>
      </c>
      <c r="T689" t="s">
        <v>1817</v>
      </c>
      <c r="U689" t="s">
        <v>2099</v>
      </c>
      <c r="V689" t="s">
        <v>27</v>
      </c>
      <c r="W689" t="s">
        <v>66</v>
      </c>
      <c r="X689" t="s">
        <v>67</v>
      </c>
      <c r="Y689" t="s">
        <v>138</v>
      </c>
      <c r="AA689" t="s">
        <v>494</v>
      </c>
      <c r="AC689" t="s">
        <v>139</v>
      </c>
      <c r="AD689" t="s">
        <v>2113</v>
      </c>
      <c r="AG689" t="s">
        <v>71</v>
      </c>
      <c r="AH689" t="s">
        <v>68</v>
      </c>
      <c r="AI689" t="s">
        <v>493</v>
      </c>
    </row>
    <row r="690" spans="1:37" customFormat="1">
      <c r="A690" t="s">
        <v>23</v>
      </c>
      <c r="B690" t="s">
        <v>24</v>
      </c>
      <c r="C690" t="s">
        <v>934</v>
      </c>
      <c r="D690" t="s">
        <v>135</v>
      </c>
      <c r="E690" t="s">
        <v>2073</v>
      </c>
      <c r="F690" t="s">
        <v>931</v>
      </c>
      <c r="G690" t="s">
        <v>136</v>
      </c>
      <c r="H690" t="s">
        <v>2074</v>
      </c>
      <c r="I690" t="s">
        <v>71</v>
      </c>
      <c r="J690" t="s">
        <v>72</v>
      </c>
      <c r="K690" t="s">
        <v>65</v>
      </c>
      <c r="L690" t="s">
        <v>150</v>
      </c>
      <c r="M690" t="s">
        <v>144</v>
      </c>
      <c r="N690" t="s">
        <v>2089</v>
      </c>
      <c r="O690">
        <v>1161</v>
      </c>
      <c r="P690" t="s">
        <v>35</v>
      </c>
      <c r="R690">
        <v>1164</v>
      </c>
      <c r="S690">
        <v>1161</v>
      </c>
      <c r="T690" t="s">
        <v>1817</v>
      </c>
      <c r="U690" t="s">
        <v>2099</v>
      </c>
      <c r="V690" t="s">
        <v>27</v>
      </c>
      <c r="W690" t="s">
        <v>66</v>
      </c>
      <c r="X690" t="s">
        <v>67</v>
      </c>
      <c r="Y690" t="s">
        <v>138</v>
      </c>
      <c r="AA690" t="s">
        <v>494</v>
      </c>
      <c r="AC690" t="s">
        <v>139</v>
      </c>
      <c r="AD690" t="s">
        <v>2114</v>
      </c>
      <c r="AG690" t="s">
        <v>71</v>
      </c>
      <c r="AH690" t="s">
        <v>68</v>
      </c>
      <c r="AI690" t="s">
        <v>493</v>
      </c>
    </row>
    <row r="691" spans="1:37" customFormat="1">
      <c r="A691" t="s">
        <v>23</v>
      </c>
      <c r="B691" t="s">
        <v>24</v>
      </c>
      <c r="C691" t="s">
        <v>934</v>
      </c>
      <c r="D691" t="s">
        <v>135</v>
      </c>
      <c r="E691" t="s">
        <v>2073</v>
      </c>
      <c r="F691" t="s">
        <v>931</v>
      </c>
      <c r="G691" t="s">
        <v>136</v>
      </c>
      <c r="H691" t="s">
        <v>2074</v>
      </c>
      <c r="I691" t="s">
        <v>71</v>
      </c>
      <c r="J691" t="s">
        <v>72</v>
      </c>
      <c r="K691" t="s">
        <v>65</v>
      </c>
      <c r="L691" t="s">
        <v>150</v>
      </c>
      <c r="M691" t="s">
        <v>144</v>
      </c>
      <c r="N691" t="s">
        <v>2090</v>
      </c>
      <c r="O691">
        <v>1161</v>
      </c>
      <c r="P691" t="s">
        <v>35</v>
      </c>
      <c r="R691">
        <v>1164</v>
      </c>
      <c r="S691">
        <v>1161</v>
      </c>
      <c r="T691" t="s">
        <v>1817</v>
      </c>
      <c r="U691" t="s">
        <v>2099</v>
      </c>
      <c r="V691" t="s">
        <v>27</v>
      </c>
      <c r="W691" t="s">
        <v>66</v>
      </c>
      <c r="X691" t="s">
        <v>67</v>
      </c>
      <c r="Y691" t="s">
        <v>138</v>
      </c>
      <c r="AA691" t="s">
        <v>494</v>
      </c>
      <c r="AC691" t="s">
        <v>139</v>
      </c>
      <c r="AD691" t="s">
        <v>2115</v>
      </c>
      <c r="AG691" t="s">
        <v>71</v>
      </c>
      <c r="AH691" t="s">
        <v>68</v>
      </c>
      <c r="AI691" t="s">
        <v>493</v>
      </c>
    </row>
    <row r="692" spans="1:37" customFormat="1">
      <c r="A692" t="s">
        <v>23</v>
      </c>
      <c r="B692" t="s">
        <v>24</v>
      </c>
      <c r="C692" t="s">
        <v>934</v>
      </c>
      <c r="D692" t="s">
        <v>135</v>
      </c>
      <c r="E692" t="s">
        <v>2073</v>
      </c>
      <c r="F692" t="s">
        <v>931</v>
      </c>
      <c r="G692" t="s">
        <v>136</v>
      </c>
      <c r="H692" t="s">
        <v>2074</v>
      </c>
      <c r="I692" t="s">
        <v>71</v>
      </c>
      <c r="J692" t="s">
        <v>72</v>
      </c>
      <c r="K692" t="s">
        <v>65</v>
      </c>
      <c r="L692" t="s">
        <v>150</v>
      </c>
      <c r="M692" t="s">
        <v>144</v>
      </c>
      <c r="N692" t="s">
        <v>2091</v>
      </c>
      <c r="O692">
        <v>1165</v>
      </c>
      <c r="P692" t="s">
        <v>35</v>
      </c>
      <c r="R692">
        <v>1168</v>
      </c>
      <c r="S692">
        <v>1165</v>
      </c>
      <c r="T692" t="s">
        <v>1817</v>
      </c>
      <c r="U692" t="s">
        <v>2099</v>
      </c>
      <c r="V692" t="s">
        <v>27</v>
      </c>
      <c r="W692" t="s">
        <v>66</v>
      </c>
      <c r="X692" t="s">
        <v>67</v>
      </c>
      <c r="Y692" t="s">
        <v>138</v>
      </c>
      <c r="AA692" t="s">
        <v>494</v>
      </c>
      <c r="AC692" t="s">
        <v>139</v>
      </c>
      <c r="AD692" t="s">
        <v>2116</v>
      </c>
      <c r="AG692" t="s">
        <v>71</v>
      </c>
      <c r="AH692" t="s">
        <v>68</v>
      </c>
      <c r="AI692" t="s">
        <v>493</v>
      </c>
    </row>
    <row r="693" spans="1:37" customFormat="1">
      <c r="A693" t="s">
        <v>23</v>
      </c>
      <c r="B693" t="s">
        <v>24</v>
      </c>
      <c r="C693" t="s">
        <v>934</v>
      </c>
      <c r="D693" t="s">
        <v>135</v>
      </c>
      <c r="E693" t="s">
        <v>2073</v>
      </c>
      <c r="F693" t="s">
        <v>931</v>
      </c>
      <c r="G693" t="s">
        <v>136</v>
      </c>
      <c r="H693" t="s">
        <v>2074</v>
      </c>
      <c r="I693" t="s">
        <v>71</v>
      </c>
      <c r="J693" t="s">
        <v>72</v>
      </c>
      <c r="K693" t="s">
        <v>65</v>
      </c>
      <c r="L693" t="s">
        <v>150</v>
      </c>
      <c r="M693" t="s">
        <v>144</v>
      </c>
      <c r="N693" t="s">
        <v>2092</v>
      </c>
      <c r="O693">
        <v>1162</v>
      </c>
      <c r="P693" t="s">
        <v>35</v>
      </c>
      <c r="R693">
        <v>1165</v>
      </c>
      <c r="S693">
        <v>1162</v>
      </c>
      <c r="T693" t="s">
        <v>1817</v>
      </c>
      <c r="U693" t="s">
        <v>2099</v>
      </c>
      <c r="V693" t="s">
        <v>27</v>
      </c>
      <c r="W693" t="s">
        <v>66</v>
      </c>
      <c r="X693" t="s">
        <v>67</v>
      </c>
      <c r="Y693" t="s">
        <v>138</v>
      </c>
      <c r="AA693" t="s">
        <v>494</v>
      </c>
      <c r="AC693" t="s">
        <v>139</v>
      </c>
      <c r="AD693" t="s">
        <v>2117</v>
      </c>
      <c r="AG693" t="s">
        <v>71</v>
      </c>
      <c r="AH693" t="s">
        <v>68</v>
      </c>
      <c r="AI693" t="s">
        <v>493</v>
      </c>
    </row>
    <row r="694" spans="1:37" customFormat="1">
      <c r="A694" t="s">
        <v>23</v>
      </c>
      <c r="B694" t="s">
        <v>24</v>
      </c>
      <c r="C694" t="s">
        <v>934</v>
      </c>
      <c r="D694" t="s">
        <v>135</v>
      </c>
      <c r="E694" t="s">
        <v>2073</v>
      </c>
      <c r="F694" t="s">
        <v>931</v>
      </c>
      <c r="G694" t="s">
        <v>136</v>
      </c>
      <c r="H694" t="s">
        <v>2074</v>
      </c>
      <c r="I694" t="s">
        <v>71</v>
      </c>
      <c r="J694" t="s">
        <v>72</v>
      </c>
      <c r="K694" t="s">
        <v>65</v>
      </c>
      <c r="L694" t="s">
        <v>150</v>
      </c>
      <c r="M694" t="s">
        <v>144</v>
      </c>
      <c r="N694" t="s">
        <v>2093</v>
      </c>
      <c r="O694">
        <v>1161</v>
      </c>
      <c r="P694" t="s">
        <v>35</v>
      </c>
      <c r="R694">
        <v>1164</v>
      </c>
      <c r="S694">
        <v>1161</v>
      </c>
      <c r="T694" t="s">
        <v>1817</v>
      </c>
      <c r="U694" t="s">
        <v>2099</v>
      </c>
      <c r="V694" t="s">
        <v>27</v>
      </c>
      <c r="W694" t="s">
        <v>66</v>
      </c>
      <c r="X694" t="s">
        <v>67</v>
      </c>
      <c r="Y694" t="s">
        <v>138</v>
      </c>
      <c r="AA694" t="s">
        <v>494</v>
      </c>
      <c r="AC694" t="s">
        <v>139</v>
      </c>
      <c r="AD694" t="s">
        <v>2118</v>
      </c>
      <c r="AG694" t="s">
        <v>71</v>
      </c>
      <c r="AH694" t="s">
        <v>68</v>
      </c>
      <c r="AI694" t="s">
        <v>493</v>
      </c>
    </row>
    <row r="695" spans="1:37" customFormat="1">
      <c r="A695" t="s">
        <v>23</v>
      </c>
      <c r="B695" t="s">
        <v>24</v>
      </c>
      <c r="C695" t="s">
        <v>934</v>
      </c>
      <c r="D695" t="s">
        <v>135</v>
      </c>
      <c r="E695" t="s">
        <v>2073</v>
      </c>
      <c r="F695" t="s">
        <v>931</v>
      </c>
      <c r="G695" t="s">
        <v>136</v>
      </c>
      <c r="H695" t="s">
        <v>2074</v>
      </c>
      <c r="I695" t="s">
        <v>71</v>
      </c>
      <c r="J695" t="s">
        <v>72</v>
      </c>
      <c r="K695" t="s">
        <v>65</v>
      </c>
      <c r="L695" t="s">
        <v>150</v>
      </c>
      <c r="M695" t="s">
        <v>144</v>
      </c>
      <c r="N695" t="s">
        <v>2094</v>
      </c>
      <c r="O695">
        <v>909</v>
      </c>
      <c r="P695" t="s">
        <v>35</v>
      </c>
      <c r="R695">
        <v>912</v>
      </c>
      <c r="S695">
        <v>909</v>
      </c>
      <c r="T695" t="s">
        <v>1817</v>
      </c>
      <c r="U695" t="s">
        <v>2099</v>
      </c>
      <c r="V695" t="s">
        <v>27</v>
      </c>
      <c r="W695" t="s">
        <v>66</v>
      </c>
      <c r="X695" t="s">
        <v>67</v>
      </c>
      <c r="Y695" t="s">
        <v>138</v>
      </c>
      <c r="AA695" t="s">
        <v>494</v>
      </c>
      <c r="AC695" t="s">
        <v>139</v>
      </c>
      <c r="AD695" t="s">
        <v>2119</v>
      </c>
      <c r="AG695" t="s">
        <v>71</v>
      </c>
      <c r="AH695" t="s">
        <v>68</v>
      </c>
      <c r="AI695" t="s">
        <v>493</v>
      </c>
    </row>
    <row r="696" spans="1:37" customFormat="1">
      <c r="A696" t="s">
        <v>23</v>
      </c>
      <c r="B696" t="s">
        <v>24</v>
      </c>
      <c r="C696" t="s">
        <v>175</v>
      </c>
      <c r="D696" t="s">
        <v>135</v>
      </c>
      <c r="E696" t="s">
        <v>2095</v>
      </c>
      <c r="F696" t="s">
        <v>931</v>
      </c>
      <c r="G696" t="s">
        <v>136</v>
      </c>
      <c r="H696" t="s">
        <v>142</v>
      </c>
      <c r="I696" t="s">
        <v>156</v>
      </c>
      <c r="J696" t="s">
        <v>26</v>
      </c>
      <c r="K696" t="s">
        <v>157</v>
      </c>
      <c r="L696" t="s">
        <v>150</v>
      </c>
      <c r="M696" t="s">
        <v>144</v>
      </c>
      <c r="N696" t="s">
        <v>2120</v>
      </c>
      <c r="O696">
        <v>1</v>
      </c>
      <c r="P696" t="s">
        <v>160</v>
      </c>
      <c r="R696">
        <v>710</v>
      </c>
      <c r="S696">
        <v>707.6</v>
      </c>
      <c r="T696" t="s">
        <v>145</v>
      </c>
      <c r="U696" t="s">
        <v>2196</v>
      </c>
      <c r="V696" t="s">
        <v>27</v>
      </c>
      <c r="W696" t="s">
        <v>66</v>
      </c>
      <c r="X696" t="s">
        <v>67</v>
      </c>
      <c r="Y696" t="s">
        <v>138</v>
      </c>
      <c r="AA696" t="s">
        <v>494</v>
      </c>
      <c r="AC696" t="s">
        <v>139</v>
      </c>
      <c r="AD696" t="s">
        <v>2231</v>
      </c>
      <c r="AG696" t="s">
        <v>156</v>
      </c>
      <c r="AH696" t="s">
        <v>68</v>
      </c>
      <c r="AI696" t="s">
        <v>493</v>
      </c>
      <c r="AK696" t="s">
        <v>2121</v>
      </c>
    </row>
    <row r="697" spans="1:37" customFormat="1">
      <c r="A697" t="s">
        <v>23</v>
      </c>
      <c r="B697" t="s">
        <v>24</v>
      </c>
      <c r="C697" t="s">
        <v>175</v>
      </c>
      <c r="D697" t="s">
        <v>135</v>
      </c>
      <c r="E697" t="s">
        <v>2095</v>
      </c>
      <c r="F697" t="s">
        <v>931</v>
      </c>
      <c r="G697" t="s">
        <v>136</v>
      </c>
      <c r="H697" t="s">
        <v>142</v>
      </c>
      <c r="I697" t="s">
        <v>156</v>
      </c>
      <c r="J697" t="s">
        <v>26</v>
      </c>
      <c r="K697" t="s">
        <v>157</v>
      </c>
      <c r="L697" t="s">
        <v>150</v>
      </c>
      <c r="M697" t="s">
        <v>144</v>
      </c>
      <c r="N697" t="s">
        <v>2122</v>
      </c>
      <c r="O697">
        <v>1</v>
      </c>
      <c r="P697" t="s">
        <v>160</v>
      </c>
      <c r="R697">
        <v>714</v>
      </c>
      <c r="S697">
        <v>707.6</v>
      </c>
      <c r="T697" t="s">
        <v>145</v>
      </c>
      <c r="U697" t="s">
        <v>2196</v>
      </c>
      <c r="V697" t="s">
        <v>27</v>
      </c>
      <c r="W697" t="s">
        <v>66</v>
      </c>
      <c r="X697" t="s">
        <v>67</v>
      </c>
      <c r="Y697" t="s">
        <v>138</v>
      </c>
      <c r="AA697" t="s">
        <v>494</v>
      </c>
      <c r="AC697" t="s">
        <v>139</v>
      </c>
      <c r="AD697" t="s">
        <v>2232</v>
      </c>
      <c r="AG697" t="s">
        <v>156</v>
      </c>
      <c r="AH697" t="s">
        <v>68</v>
      </c>
      <c r="AI697" t="s">
        <v>493</v>
      </c>
      <c r="AK697" t="s">
        <v>2123</v>
      </c>
    </row>
    <row r="698" spans="1:37" customFormat="1">
      <c r="A698" t="s">
        <v>23</v>
      </c>
      <c r="B698" t="s">
        <v>24</v>
      </c>
      <c r="C698" t="s">
        <v>934</v>
      </c>
      <c r="D698" t="s">
        <v>135</v>
      </c>
      <c r="E698" t="s">
        <v>2124</v>
      </c>
      <c r="F698" t="s">
        <v>931</v>
      </c>
      <c r="G698" t="s">
        <v>136</v>
      </c>
      <c r="H698" t="s">
        <v>184</v>
      </c>
      <c r="I698" t="s">
        <v>71</v>
      </c>
      <c r="J698" t="s">
        <v>72</v>
      </c>
      <c r="K698" t="s">
        <v>65</v>
      </c>
      <c r="L698" t="s">
        <v>150</v>
      </c>
      <c r="M698" t="s">
        <v>144</v>
      </c>
      <c r="N698" t="s">
        <v>2125</v>
      </c>
      <c r="O698">
        <v>1117</v>
      </c>
      <c r="P698" t="s">
        <v>35</v>
      </c>
      <c r="R698">
        <v>1120</v>
      </c>
      <c r="S698">
        <v>1117</v>
      </c>
      <c r="T698" t="s">
        <v>1817</v>
      </c>
      <c r="U698" t="s">
        <v>2049</v>
      </c>
      <c r="V698" t="s">
        <v>27</v>
      </c>
      <c r="W698" t="s">
        <v>2230</v>
      </c>
      <c r="X698" t="s">
        <v>67</v>
      </c>
      <c r="Y698" t="s">
        <v>138</v>
      </c>
      <c r="AA698" t="s">
        <v>494</v>
      </c>
      <c r="AC698" t="s">
        <v>139</v>
      </c>
      <c r="AD698" t="s">
        <v>2126</v>
      </c>
      <c r="AG698" t="s">
        <v>71</v>
      </c>
      <c r="AH698" t="s">
        <v>68</v>
      </c>
      <c r="AI698" t="s">
        <v>493</v>
      </c>
    </row>
    <row r="699" spans="1:37" customFormat="1">
      <c r="A699" t="s">
        <v>23</v>
      </c>
      <c r="B699" t="s">
        <v>24</v>
      </c>
      <c r="C699" t="s">
        <v>175</v>
      </c>
      <c r="D699" t="s">
        <v>135</v>
      </c>
      <c r="E699" t="s">
        <v>2095</v>
      </c>
      <c r="F699" t="s">
        <v>931</v>
      </c>
      <c r="G699" t="s">
        <v>136</v>
      </c>
      <c r="H699" t="s">
        <v>142</v>
      </c>
      <c r="I699" t="s">
        <v>156</v>
      </c>
      <c r="J699" t="s">
        <v>26</v>
      </c>
      <c r="K699" t="s">
        <v>157</v>
      </c>
      <c r="L699" t="s">
        <v>150</v>
      </c>
      <c r="M699" t="s">
        <v>144</v>
      </c>
      <c r="N699" t="s">
        <v>2127</v>
      </c>
      <c r="O699">
        <v>1</v>
      </c>
      <c r="P699" t="s">
        <v>160</v>
      </c>
      <c r="R699">
        <v>714.5</v>
      </c>
      <c r="S699">
        <v>707.6</v>
      </c>
      <c r="T699" t="s">
        <v>145</v>
      </c>
      <c r="U699" t="s">
        <v>2196</v>
      </c>
      <c r="V699" t="s">
        <v>27</v>
      </c>
      <c r="W699" t="s">
        <v>66</v>
      </c>
      <c r="X699" t="s">
        <v>67</v>
      </c>
      <c r="Y699" t="s">
        <v>138</v>
      </c>
      <c r="AA699" t="s">
        <v>494</v>
      </c>
      <c r="AC699" t="s">
        <v>139</v>
      </c>
      <c r="AD699" t="s">
        <v>2233</v>
      </c>
      <c r="AG699" t="s">
        <v>156</v>
      </c>
      <c r="AH699" t="s">
        <v>68</v>
      </c>
      <c r="AI699" t="s">
        <v>493</v>
      </c>
      <c r="AK699" t="s">
        <v>2128</v>
      </c>
    </row>
    <row r="700" spans="1:37" customFormat="1">
      <c r="A700" t="s">
        <v>23</v>
      </c>
      <c r="B700" t="s">
        <v>24</v>
      </c>
      <c r="C700" t="s">
        <v>175</v>
      </c>
      <c r="D700" t="s">
        <v>135</v>
      </c>
      <c r="E700" t="s">
        <v>2095</v>
      </c>
      <c r="F700" t="s">
        <v>931</v>
      </c>
      <c r="G700" t="s">
        <v>136</v>
      </c>
      <c r="H700" t="s">
        <v>142</v>
      </c>
      <c r="I700" t="s">
        <v>156</v>
      </c>
      <c r="J700" t="s">
        <v>26</v>
      </c>
      <c r="K700" t="s">
        <v>157</v>
      </c>
      <c r="L700" t="s">
        <v>150</v>
      </c>
      <c r="M700" t="s">
        <v>144</v>
      </c>
      <c r="N700" t="s">
        <v>2129</v>
      </c>
      <c r="O700">
        <v>1</v>
      </c>
      <c r="P700" t="s">
        <v>160</v>
      </c>
      <c r="R700">
        <v>714</v>
      </c>
      <c r="S700">
        <v>707.6</v>
      </c>
      <c r="T700" t="s">
        <v>145</v>
      </c>
      <c r="U700" t="s">
        <v>2196</v>
      </c>
      <c r="V700" t="s">
        <v>27</v>
      </c>
      <c r="W700" t="s">
        <v>66</v>
      </c>
      <c r="X700" t="s">
        <v>67</v>
      </c>
      <c r="Y700" t="s">
        <v>138</v>
      </c>
      <c r="AA700" t="s">
        <v>494</v>
      </c>
      <c r="AC700" t="s">
        <v>139</v>
      </c>
      <c r="AD700" t="s">
        <v>2234</v>
      </c>
      <c r="AG700" t="s">
        <v>156</v>
      </c>
      <c r="AH700" t="s">
        <v>68</v>
      </c>
      <c r="AI700" t="s">
        <v>493</v>
      </c>
      <c r="AK700" t="s">
        <v>2130</v>
      </c>
    </row>
    <row r="701" spans="1:37" customFormat="1">
      <c r="A701" t="s">
        <v>23</v>
      </c>
      <c r="B701" t="s">
        <v>24</v>
      </c>
      <c r="C701" t="s">
        <v>175</v>
      </c>
      <c r="D701" t="s">
        <v>135</v>
      </c>
      <c r="E701" t="s">
        <v>2095</v>
      </c>
      <c r="F701" t="s">
        <v>931</v>
      </c>
      <c r="G701" t="s">
        <v>136</v>
      </c>
      <c r="H701" t="s">
        <v>142</v>
      </c>
      <c r="I701" t="s">
        <v>156</v>
      </c>
      <c r="J701" t="s">
        <v>26</v>
      </c>
      <c r="K701" t="s">
        <v>157</v>
      </c>
      <c r="L701" t="s">
        <v>150</v>
      </c>
      <c r="M701" t="s">
        <v>144</v>
      </c>
      <c r="N701" t="s">
        <v>2131</v>
      </c>
      <c r="O701">
        <v>1</v>
      </c>
      <c r="P701" t="s">
        <v>160</v>
      </c>
      <c r="R701">
        <v>714</v>
      </c>
      <c r="S701">
        <v>707.6</v>
      </c>
      <c r="T701" t="s">
        <v>145</v>
      </c>
      <c r="U701" t="s">
        <v>2196</v>
      </c>
      <c r="V701" t="s">
        <v>27</v>
      </c>
      <c r="W701" t="s">
        <v>66</v>
      </c>
      <c r="X701" t="s">
        <v>67</v>
      </c>
      <c r="Y701" t="s">
        <v>138</v>
      </c>
      <c r="AA701" t="s">
        <v>494</v>
      </c>
      <c r="AC701" t="s">
        <v>139</v>
      </c>
      <c r="AD701" t="s">
        <v>2235</v>
      </c>
      <c r="AG701" t="s">
        <v>156</v>
      </c>
      <c r="AH701" t="s">
        <v>68</v>
      </c>
      <c r="AI701" t="s">
        <v>493</v>
      </c>
      <c r="AK701" t="s">
        <v>2132</v>
      </c>
    </row>
    <row r="702" spans="1:37" customFormat="1">
      <c r="A702" t="s">
        <v>23</v>
      </c>
      <c r="B702" t="s">
        <v>24</v>
      </c>
      <c r="C702" t="s">
        <v>175</v>
      </c>
      <c r="D702" t="s">
        <v>135</v>
      </c>
      <c r="E702" t="s">
        <v>2095</v>
      </c>
      <c r="F702" t="s">
        <v>931</v>
      </c>
      <c r="G702" t="s">
        <v>136</v>
      </c>
      <c r="H702" t="s">
        <v>142</v>
      </c>
      <c r="I702" t="s">
        <v>156</v>
      </c>
      <c r="J702" t="s">
        <v>26</v>
      </c>
      <c r="K702" t="s">
        <v>157</v>
      </c>
      <c r="L702" t="s">
        <v>150</v>
      </c>
      <c r="M702" t="s">
        <v>144</v>
      </c>
      <c r="N702" t="s">
        <v>2133</v>
      </c>
      <c r="O702">
        <v>1</v>
      </c>
      <c r="P702" t="s">
        <v>160</v>
      </c>
      <c r="R702">
        <v>714</v>
      </c>
      <c r="S702">
        <v>707.6</v>
      </c>
      <c r="T702" t="s">
        <v>145</v>
      </c>
      <c r="U702" t="s">
        <v>2196</v>
      </c>
      <c r="V702" t="s">
        <v>27</v>
      </c>
      <c r="W702" t="s">
        <v>66</v>
      </c>
      <c r="X702" t="s">
        <v>67</v>
      </c>
      <c r="Y702" t="s">
        <v>138</v>
      </c>
      <c r="AA702" t="s">
        <v>494</v>
      </c>
      <c r="AC702" t="s">
        <v>139</v>
      </c>
      <c r="AD702" t="s">
        <v>2236</v>
      </c>
      <c r="AG702" t="s">
        <v>156</v>
      </c>
      <c r="AH702" t="s">
        <v>68</v>
      </c>
      <c r="AI702" t="s">
        <v>493</v>
      </c>
      <c r="AK702" t="s">
        <v>2134</v>
      </c>
    </row>
    <row r="703" spans="1:37" customFormat="1">
      <c r="A703" t="s">
        <v>23</v>
      </c>
      <c r="B703" t="s">
        <v>24</v>
      </c>
      <c r="C703" t="s">
        <v>175</v>
      </c>
      <c r="D703" t="s">
        <v>135</v>
      </c>
      <c r="E703" t="s">
        <v>2095</v>
      </c>
      <c r="F703" t="s">
        <v>931</v>
      </c>
      <c r="G703" t="s">
        <v>136</v>
      </c>
      <c r="H703" t="s">
        <v>142</v>
      </c>
      <c r="I703" t="s">
        <v>156</v>
      </c>
      <c r="J703" t="s">
        <v>26</v>
      </c>
      <c r="K703" t="s">
        <v>157</v>
      </c>
      <c r="L703" t="s">
        <v>150</v>
      </c>
      <c r="M703" t="s">
        <v>144</v>
      </c>
      <c r="N703" t="s">
        <v>2135</v>
      </c>
      <c r="O703">
        <v>1</v>
      </c>
      <c r="P703" t="s">
        <v>160</v>
      </c>
      <c r="R703">
        <v>714</v>
      </c>
      <c r="S703">
        <v>707.6</v>
      </c>
      <c r="T703" t="s">
        <v>145</v>
      </c>
      <c r="U703" t="s">
        <v>2196</v>
      </c>
      <c r="V703" t="s">
        <v>27</v>
      </c>
      <c r="W703" t="s">
        <v>66</v>
      </c>
      <c r="X703" t="s">
        <v>67</v>
      </c>
      <c r="Y703" t="s">
        <v>138</v>
      </c>
      <c r="AA703" t="s">
        <v>494</v>
      </c>
      <c r="AC703" t="s">
        <v>139</v>
      </c>
      <c r="AD703" t="s">
        <v>2237</v>
      </c>
      <c r="AG703" t="s">
        <v>156</v>
      </c>
      <c r="AH703" t="s">
        <v>68</v>
      </c>
      <c r="AI703" t="s">
        <v>493</v>
      </c>
      <c r="AK703" t="s">
        <v>2136</v>
      </c>
    </row>
    <row r="704" spans="1:37" customFormat="1">
      <c r="A704" t="s">
        <v>23</v>
      </c>
      <c r="B704" t="s">
        <v>24</v>
      </c>
      <c r="C704" t="s">
        <v>175</v>
      </c>
      <c r="D704" t="s">
        <v>135</v>
      </c>
      <c r="E704" t="s">
        <v>2095</v>
      </c>
      <c r="F704" t="s">
        <v>931</v>
      </c>
      <c r="G704" t="s">
        <v>136</v>
      </c>
      <c r="H704" t="s">
        <v>142</v>
      </c>
      <c r="I704" t="s">
        <v>156</v>
      </c>
      <c r="J704" t="s">
        <v>26</v>
      </c>
      <c r="K704" t="s">
        <v>157</v>
      </c>
      <c r="L704" t="s">
        <v>150</v>
      </c>
      <c r="M704" t="s">
        <v>144</v>
      </c>
      <c r="N704" t="s">
        <v>2137</v>
      </c>
      <c r="O704">
        <v>1</v>
      </c>
      <c r="P704" t="s">
        <v>160</v>
      </c>
      <c r="R704">
        <v>714.5</v>
      </c>
      <c r="S704">
        <v>707.6</v>
      </c>
      <c r="T704" t="s">
        <v>145</v>
      </c>
      <c r="U704" t="s">
        <v>2196</v>
      </c>
      <c r="V704" t="s">
        <v>27</v>
      </c>
      <c r="W704" t="s">
        <v>66</v>
      </c>
      <c r="X704" t="s">
        <v>67</v>
      </c>
      <c r="Y704" t="s">
        <v>138</v>
      </c>
      <c r="AA704" t="s">
        <v>494</v>
      </c>
      <c r="AC704" t="s">
        <v>139</v>
      </c>
      <c r="AD704" t="s">
        <v>2238</v>
      </c>
      <c r="AG704" t="s">
        <v>156</v>
      </c>
      <c r="AH704" t="s">
        <v>68</v>
      </c>
      <c r="AI704" t="s">
        <v>493</v>
      </c>
      <c r="AK704" t="s">
        <v>2138</v>
      </c>
    </row>
    <row r="705" spans="1:37" customFormat="1">
      <c r="A705" t="s">
        <v>23</v>
      </c>
      <c r="B705" t="s">
        <v>24</v>
      </c>
      <c r="C705" t="s">
        <v>934</v>
      </c>
      <c r="D705" t="s">
        <v>135</v>
      </c>
      <c r="E705" t="s">
        <v>2124</v>
      </c>
      <c r="F705" t="s">
        <v>931</v>
      </c>
      <c r="G705" t="s">
        <v>136</v>
      </c>
      <c r="H705" t="s">
        <v>184</v>
      </c>
      <c r="I705" t="s">
        <v>71</v>
      </c>
      <c r="J705" t="s">
        <v>72</v>
      </c>
      <c r="K705" t="s">
        <v>65</v>
      </c>
      <c r="L705" t="s">
        <v>150</v>
      </c>
      <c r="M705" t="s">
        <v>144</v>
      </c>
      <c r="N705" t="s">
        <v>2139</v>
      </c>
      <c r="O705">
        <v>1124</v>
      </c>
      <c r="P705" t="s">
        <v>35</v>
      </c>
      <c r="R705">
        <v>1127</v>
      </c>
      <c r="S705">
        <v>1124</v>
      </c>
      <c r="T705" t="s">
        <v>1817</v>
      </c>
      <c r="U705" t="s">
        <v>2049</v>
      </c>
      <c r="V705" t="s">
        <v>27</v>
      </c>
      <c r="W705" t="s">
        <v>2230</v>
      </c>
      <c r="X705" t="s">
        <v>67</v>
      </c>
      <c r="Y705" t="s">
        <v>138</v>
      </c>
      <c r="AA705" t="s">
        <v>494</v>
      </c>
      <c r="AC705" t="s">
        <v>139</v>
      </c>
      <c r="AD705" t="s">
        <v>2140</v>
      </c>
      <c r="AG705" t="s">
        <v>71</v>
      </c>
      <c r="AH705" t="s">
        <v>68</v>
      </c>
      <c r="AI705" t="s">
        <v>493</v>
      </c>
    </row>
    <row r="706" spans="1:37" customFormat="1">
      <c r="A706" t="s">
        <v>23</v>
      </c>
      <c r="B706" t="s">
        <v>24</v>
      </c>
      <c r="C706" t="s">
        <v>175</v>
      </c>
      <c r="D706" t="s">
        <v>135</v>
      </c>
      <c r="E706" t="s">
        <v>2095</v>
      </c>
      <c r="F706" t="s">
        <v>931</v>
      </c>
      <c r="G706" t="s">
        <v>136</v>
      </c>
      <c r="H706" t="s">
        <v>142</v>
      </c>
      <c r="I706" t="s">
        <v>156</v>
      </c>
      <c r="J706" t="s">
        <v>26</v>
      </c>
      <c r="K706" t="s">
        <v>157</v>
      </c>
      <c r="L706" t="s">
        <v>150</v>
      </c>
      <c r="M706" t="s">
        <v>144</v>
      </c>
      <c r="N706" t="s">
        <v>2141</v>
      </c>
      <c r="O706">
        <v>1</v>
      </c>
      <c r="P706" t="s">
        <v>160</v>
      </c>
      <c r="R706">
        <v>713.5</v>
      </c>
      <c r="S706">
        <v>707.6</v>
      </c>
      <c r="T706" t="s">
        <v>145</v>
      </c>
      <c r="U706" t="s">
        <v>2196</v>
      </c>
      <c r="V706" t="s">
        <v>27</v>
      </c>
      <c r="W706" t="s">
        <v>66</v>
      </c>
      <c r="X706" t="s">
        <v>67</v>
      </c>
      <c r="Y706" t="s">
        <v>138</v>
      </c>
      <c r="AA706" t="s">
        <v>494</v>
      </c>
      <c r="AC706" t="s">
        <v>139</v>
      </c>
      <c r="AD706" t="s">
        <v>2239</v>
      </c>
      <c r="AG706" t="s">
        <v>156</v>
      </c>
      <c r="AH706" t="s">
        <v>68</v>
      </c>
      <c r="AI706" t="s">
        <v>493</v>
      </c>
      <c r="AK706" t="s">
        <v>2142</v>
      </c>
    </row>
    <row r="707" spans="1:37" customFormat="1">
      <c r="A707" t="s">
        <v>23</v>
      </c>
      <c r="B707" t="s">
        <v>24</v>
      </c>
      <c r="C707" t="s">
        <v>934</v>
      </c>
      <c r="D707" t="s">
        <v>135</v>
      </c>
      <c r="E707" t="s">
        <v>2124</v>
      </c>
      <c r="F707" t="s">
        <v>931</v>
      </c>
      <c r="G707" t="s">
        <v>136</v>
      </c>
      <c r="H707" t="s">
        <v>184</v>
      </c>
      <c r="I707" t="s">
        <v>71</v>
      </c>
      <c r="J707" t="s">
        <v>72</v>
      </c>
      <c r="K707" t="s">
        <v>65</v>
      </c>
      <c r="L707" t="s">
        <v>150</v>
      </c>
      <c r="M707" t="s">
        <v>144</v>
      </c>
      <c r="N707" t="s">
        <v>2143</v>
      </c>
      <c r="O707">
        <v>1115</v>
      </c>
      <c r="P707" t="s">
        <v>35</v>
      </c>
      <c r="R707">
        <v>1118</v>
      </c>
      <c r="S707">
        <v>1115</v>
      </c>
      <c r="T707" t="s">
        <v>1817</v>
      </c>
      <c r="U707" t="s">
        <v>2049</v>
      </c>
      <c r="V707" t="s">
        <v>27</v>
      </c>
      <c r="W707" t="s">
        <v>2230</v>
      </c>
      <c r="X707" t="s">
        <v>67</v>
      </c>
      <c r="Y707" t="s">
        <v>138</v>
      </c>
      <c r="AA707" t="s">
        <v>494</v>
      </c>
      <c r="AC707" t="s">
        <v>139</v>
      </c>
      <c r="AD707" t="s">
        <v>2144</v>
      </c>
      <c r="AG707" t="s">
        <v>71</v>
      </c>
      <c r="AH707" t="s">
        <v>68</v>
      </c>
      <c r="AI707" t="s">
        <v>493</v>
      </c>
    </row>
    <row r="708" spans="1:37" customFormat="1">
      <c r="A708" t="s">
        <v>23</v>
      </c>
      <c r="B708" t="s">
        <v>24</v>
      </c>
      <c r="C708" t="s">
        <v>175</v>
      </c>
      <c r="D708" t="s">
        <v>135</v>
      </c>
      <c r="E708" t="s">
        <v>2095</v>
      </c>
      <c r="F708" t="s">
        <v>931</v>
      </c>
      <c r="G708" t="s">
        <v>136</v>
      </c>
      <c r="H708" t="s">
        <v>142</v>
      </c>
      <c r="I708" t="s">
        <v>156</v>
      </c>
      <c r="J708" t="s">
        <v>26</v>
      </c>
      <c r="K708" t="s">
        <v>157</v>
      </c>
      <c r="L708" t="s">
        <v>150</v>
      </c>
      <c r="M708" t="s">
        <v>144</v>
      </c>
      <c r="N708" t="s">
        <v>2145</v>
      </c>
      <c r="O708">
        <v>1</v>
      </c>
      <c r="P708" t="s">
        <v>160</v>
      </c>
      <c r="R708">
        <v>712</v>
      </c>
      <c r="S708">
        <v>707.6</v>
      </c>
      <c r="T708" t="s">
        <v>145</v>
      </c>
      <c r="U708" t="s">
        <v>2196</v>
      </c>
      <c r="V708" t="s">
        <v>27</v>
      </c>
      <c r="W708" t="s">
        <v>66</v>
      </c>
      <c r="X708" t="s">
        <v>67</v>
      </c>
      <c r="Y708" t="s">
        <v>138</v>
      </c>
      <c r="AA708" t="s">
        <v>494</v>
      </c>
      <c r="AC708" t="s">
        <v>139</v>
      </c>
      <c r="AD708" t="s">
        <v>2240</v>
      </c>
      <c r="AG708" t="s">
        <v>156</v>
      </c>
      <c r="AH708" t="s">
        <v>68</v>
      </c>
      <c r="AI708" t="s">
        <v>493</v>
      </c>
      <c r="AK708" t="s">
        <v>2146</v>
      </c>
    </row>
    <row r="709" spans="1:37" customFormat="1">
      <c r="A709" t="s">
        <v>23</v>
      </c>
      <c r="B709" t="s">
        <v>24</v>
      </c>
      <c r="C709" t="s">
        <v>175</v>
      </c>
      <c r="D709" t="s">
        <v>135</v>
      </c>
      <c r="E709" t="s">
        <v>2095</v>
      </c>
      <c r="F709" t="s">
        <v>931</v>
      </c>
      <c r="G709" t="s">
        <v>136</v>
      </c>
      <c r="H709" t="s">
        <v>142</v>
      </c>
      <c r="I709" t="s">
        <v>156</v>
      </c>
      <c r="J709" t="s">
        <v>26</v>
      </c>
      <c r="K709" t="s">
        <v>157</v>
      </c>
      <c r="L709" t="s">
        <v>150</v>
      </c>
      <c r="M709" t="s">
        <v>144</v>
      </c>
      <c r="N709" t="s">
        <v>2147</v>
      </c>
      <c r="O709">
        <v>1</v>
      </c>
      <c r="P709" t="s">
        <v>160</v>
      </c>
      <c r="R709">
        <v>712.5</v>
      </c>
      <c r="S709">
        <v>707.6</v>
      </c>
      <c r="T709" t="s">
        <v>145</v>
      </c>
      <c r="U709" t="s">
        <v>2196</v>
      </c>
      <c r="V709" t="s">
        <v>27</v>
      </c>
      <c r="W709" t="s">
        <v>66</v>
      </c>
      <c r="X709" t="s">
        <v>67</v>
      </c>
      <c r="Y709" t="s">
        <v>138</v>
      </c>
      <c r="AA709" t="s">
        <v>494</v>
      </c>
      <c r="AC709" t="s">
        <v>139</v>
      </c>
      <c r="AD709" t="s">
        <v>2241</v>
      </c>
      <c r="AG709" t="s">
        <v>156</v>
      </c>
      <c r="AH709" t="s">
        <v>68</v>
      </c>
      <c r="AI709" t="s">
        <v>493</v>
      </c>
      <c r="AK709" t="s">
        <v>2148</v>
      </c>
    </row>
    <row r="710" spans="1:37" customFormat="1">
      <c r="A710" t="s">
        <v>23</v>
      </c>
      <c r="B710" t="s">
        <v>24</v>
      </c>
      <c r="C710" t="s">
        <v>934</v>
      </c>
      <c r="D710" t="s">
        <v>135</v>
      </c>
      <c r="E710" t="s">
        <v>2124</v>
      </c>
      <c r="F710" t="s">
        <v>931</v>
      </c>
      <c r="G710" t="s">
        <v>136</v>
      </c>
      <c r="H710" t="s">
        <v>184</v>
      </c>
      <c r="I710" t="s">
        <v>71</v>
      </c>
      <c r="J710" t="s">
        <v>72</v>
      </c>
      <c r="K710" t="s">
        <v>65</v>
      </c>
      <c r="L710" t="s">
        <v>150</v>
      </c>
      <c r="M710" t="s">
        <v>144</v>
      </c>
      <c r="N710" t="s">
        <v>2149</v>
      </c>
      <c r="O710">
        <v>1133</v>
      </c>
      <c r="P710" t="s">
        <v>35</v>
      </c>
      <c r="R710">
        <v>1136</v>
      </c>
      <c r="S710">
        <v>1133</v>
      </c>
      <c r="T710" t="s">
        <v>1817</v>
      </c>
      <c r="U710" t="s">
        <v>2049</v>
      </c>
      <c r="V710" t="s">
        <v>27</v>
      </c>
      <c r="W710" t="s">
        <v>2230</v>
      </c>
      <c r="X710" t="s">
        <v>67</v>
      </c>
      <c r="Y710" t="s">
        <v>138</v>
      </c>
      <c r="AA710" t="s">
        <v>494</v>
      </c>
      <c r="AC710" t="s">
        <v>139</v>
      </c>
      <c r="AD710" t="s">
        <v>2150</v>
      </c>
      <c r="AG710" t="s">
        <v>71</v>
      </c>
      <c r="AH710" t="s">
        <v>68</v>
      </c>
      <c r="AI710" t="s">
        <v>493</v>
      </c>
    </row>
    <row r="711" spans="1:37" customFormat="1">
      <c r="A711" t="s">
        <v>23</v>
      </c>
      <c r="B711" t="s">
        <v>24</v>
      </c>
      <c r="C711" t="s">
        <v>175</v>
      </c>
      <c r="D711" t="s">
        <v>135</v>
      </c>
      <c r="E711" t="s">
        <v>2095</v>
      </c>
      <c r="F711" t="s">
        <v>931</v>
      </c>
      <c r="G711" t="s">
        <v>136</v>
      </c>
      <c r="H711" t="s">
        <v>142</v>
      </c>
      <c r="I711" t="s">
        <v>156</v>
      </c>
      <c r="J711" t="s">
        <v>26</v>
      </c>
      <c r="K711" t="s">
        <v>157</v>
      </c>
      <c r="L711" t="s">
        <v>150</v>
      </c>
      <c r="M711" t="s">
        <v>144</v>
      </c>
      <c r="N711" t="s">
        <v>2151</v>
      </c>
      <c r="O711">
        <v>1</v>
      </c>
      <c r="P711" t="s">
        <v>160</v>
      </c>
      <c r="R711">
        <v>713</v>
      </c>
      <c r="S711">
        <v>707.6</v>
      </c>
      <c r="T711" t="s">
        <v>145</v>
      </c>
      <c r="U711" t="s">
        <v>2196</v>
      </c>
      <c r="V711" t="s">
        <v>27</v>
      </c>
      <c r="W711" t="s">
        <v>66</v>
      </c>
      <c r="X711" t="s">
        <v>67</v>
      </c>
      <c r="Y711" t="s">
        <v>138</v>
      </c>
      <c r="AA711" t="s">
        <v>494</v>
      </c>
      <c r="AC711" t="s">
        <v>139</v>
      </c>
      <c r="AD711" t="s">
        <v>2242</v>
      </c>
      <c r="AG711" t="s">
        <v>156</v>
      </c>
      <c r="AH711" t="s">
        <v>68</v>
      </c>
      <c r="AI711" t="s">
        <v>493</v>
      </c>
      <c r="AK711" t="s">
        <v>2152</v>
      </c>
    </row>
    <row r="712" spans="1:37" customFormat="1">
      <c r="A712" t="s">
        <v>23</v>
      </c>
      <c r="B712" t="s">
        <v>24</v>
      </c>
      <c r="C712" t="s">
        <v>934</v>
      </c>
      <c r="D712" t="s">
        <v>135</v>
      </c>
      <c r="E712" t="s">
        <v>2124</v>
      </c>
      <c r="F712" t="s">
        <v>931</v>
      </c>
      <c r="G712" t="s">
        <v>136</v>
      </c>
      <c r="H712" t="s">
        <v>184</v>
      </c>
      <c r="I712" t="s">
        <v>71</v>
      </c>
      <c r="J712" t="s">
        <v>72</v>
      </c>
      <c r="K712" t="s">
        <v>65</v>
      </c>
      <c r="L712" t="s">
        <v>150</v>
      </c>
      <c r="M712" t="s">
        <v>144</v>
      </c>
      <c r="N712" t="s">
        <v>2153</v>
      </c>
      <c r="O712">
        <v>1172</v>
      </c>
      <c r="P712" t="s">
        <v>35</v>
      </c>
      <c r="R712">
        <v>1175</v>
      </c>
      <c r="S712">
        <v>1172</v>
      </c>
      <c r="T712" t="s">
        <v>1817</v>
      </c>
      <c r="U712" t="s">
        <v>2049</v>
      </c>
      <c r="V712" t="s">
        <v>27</v>
      </c>
      <c r="W712" t="s">
        <v>2230</v>
      </c>
      <c r="X712" t="s">
        <v>67</v>
      </c>
      <c r="Y712" t="s">
        <v>138</v>
      </c>
      <c r="AA712" t="s">
        <v>494</v>
      </c>
      <c r="AC712" t="s">
        <v>139</v>
      </c>
      <c r="AD712" t="s">
        <v>2154</v>
      </c>
      <c r="AG712" t="s">
        <v>71</v>
      </c>
      <c r="AH712" t="s">
        <v>68</v>
      </c>
      <c r="AI712" t="s">
        <v>493</v>
      </c>
    </row>
    <row r="713" spans="1:37" customFormat="1">
      <c r="A713" t="s">
        <v>23</v>
      </c>
      <c r="B713" t="s">
        <v>24</v>
      </c>
      <c r="C713" t="s">
        <v>175</v>
      </c>
      <c r="D713" t="s">
        <v>135</v>
      </c>
      <c r="E713" t="s">
        <v>2095</v>
      </c>
      <c r="F713" t="s">
        <v>931</v>
      </c>
      <c r="G713" t="s">
        <v>136</v>
      </c>
      <c r="H713" t="s">
        <v>142</v>
      </c>
      <c r="I713" t="s">
        <v>156</v>
      </c>
      <c r="J713" t="s">
        <v>26</v>
      </c>
      <c r="K713" t="s">
        <v>157</v>
      </c>
      <c r="L713" t="s">
        <v>150</v>
      </c>
      <c r="M713" t="s">
        <v>144</v>
      </c>
      <c r="N713" t="s">
        <v>2155</v>
      </c>
      <c r="O713">
        <v>1</v>
      </c>
      <c r="P713" t="s">
        <v>160</v>
      </c>
      <c r="R713">
        <v>711</v>
      </c>
      <c r="S713">
        <v>707.6</v>
      </c>
      <c r="T713" t="s">
        <v>145</v>
      </c>
      <c r="U713" t="s">
        <v>2196</v>
      </c>
      <c r="V713" t="s">
        <v>27</v>
      </c>
      <c r="W713" t="s">
        <v>66</v>
      </c>
      <c r="X713" t="s">
        <v>67</v>
      </c>
      <c r="Y713" t="s">
        <v>138</v>
      </c>
      <c r="AA713" t="s">
        <v>494</v>
      </c>
      <c r="AC713" t="s">
        <v>139</v>
      </c>
      <c r="AD713" t="s">
        <v>2243</v>
      </c>
      <c r="AG713" t="s">
        <v>156</v>
      </c>
      <c r="AH713" t="s">
        <v>68</v>
      </c>
      <c r="AI713" t="s">
        <v>493</v>
      </c>
      <c r="AK713" t="s">
        <v>2156</v>
      </c>
    </row>
    <row r="714" spans="1:37" customFormat="1">
      <c r="A714" t="s">
        <v>23</v>
      </c>
      <c r="B714" t="s">
        <v>24</v>
      </c>
      <c r="C714" t="s">
        <v>175</v>
      </c>
      <c r="D714" t="s">
        <v>135</v>
      </c>
      <c r="E714" t="s">
        <v>2095</v>
      </c>
      <c r="F714" t="s">
        <v>931</v>
      </c>
      <c r="G714" t="s">
        <v>136</v>
      </c>
      <c r="H714" t="s">
        <v>142</v>
      </c>
      <c r="I714" t="s">
        <v>156</v>
      </c>
      <c r="J714" t="s">
        <v>26</v>
      </c>
      <c r="K714" t="s">
        <v>157</v>
      </c>
      <c r="L714" t="s">
        <v>150</v>
      </c>
      <c r="M714" t="s">
        <v>144</v>
      </c>
      <c r="N714" t="s">
        <v>2157</v>
      </c>
      <c r="O714">
        <v>1</v>
      </c>
      <c r="P714" t="s">
        <v>160</v>
      </c>
      <c r="R714">
        <v>711</v>
      </c>
      <c r="S714">
        <v>707.6</v>
      </c>
      <c r="T714" t="s">
        <v>145</v>
      </c>
      <c r="U714" t="s">
        <v>2196</v>
      </c>
      <c r="V714" t="s">
        <v>27</v>
      </c>
      <c r="W714" t="s">
        <v>66</v>
      </c>
      <c r="X714" t="s">
        <v>67</v>
      </c>
      <c r="Y714" t="s">
        <v>138</v>
      </c>
      <c r="AA714" t="s">
        <v>494</v>
      </c>
      <c r="AC714" t="s">
        <v>139</v>
      </c>
      <c r="AD714" t="s">
        <v>2244</v>
      </c>
      <c r="AG714" t="s">
        <v>156</v>
      </c>
      <c r="AH714" t="s">
        <v>68</v>
      </c>
      <c r="AI714" t="s">
        <v>493</v>
      </c>
      <c r="AK714" t="s">
        <v>2158</v>
      </c>
    </row>
    <row r="715" spans="1:37" customFormat="1">
      <c r="A715" t="s">
        <v>23</v>
      </c>
      <c r="B715" t="s">
        <v>24</v>
      </c>
      <c r="C715" t="s">
        <v>934</v>
      </c>
      <c r="D715" t="s">
        <v>135</v>
      </c>
      <c r="E715" t="s">
        <v>2124</v>
      </c>
      <c r="F715" t="s">
        <v>931</v>
      </c>
      <c r="G715" t="s">
        <v>136</v>
      </c>
      <c r="H715" t="s">
        <v>184</v>
      </c>
      <c r="I715" t="s">
        <v>71</v>
      </c>
      <c r="J715" t="s">
        <v>72</v>
      </c>
      <c r="K715" t="s">
        <v>65</v>
      </c>
      <c r="L715" t="s">
        <v>150</v>
      </c>
      <c r="M715" t="s">
        <v>144</v>
      </c>
      <c r="N715" t="s">
        <v>2159</v>
      </c>
      <c r="O715">
        <v>1137</v>
      </c>
      <c r="P715" t="s">
        <v>35</v>
      </c>
      <c r="R715">
        <v>1140</v>
      </c>
      <c r="S715">
        <v>1137</v>
      </c>
      <c r="T715" t="s">
        <v>1817</v>
      </c>
      <c r="U715" t="s">
        <v>2049</v>
      </c>
      <c r="V715" t="s">
        <v>27</v>
      </c>
      <c r="W715" t="s">
        <v>2230</v>
      </c>
      <c r="X715" t="s">
        <v>67</v>
      </c>
      <c r="Y715" t="s">
        <v>138</v>
      </c>
      <c r="AA715" t="s">
        <v>494</v>
      </c>
      <c r="AC715" t="s">
        <v>139</v>
      </c>
      <c r="AD715" t="s">
        <v>2160</v>
      </c>
      <c r="AG715" t="s">
        <v>71</v>
      </c>
      <c r="AH715" t="s">
        <v>68</v>
      </c>
      <c r="AI715" t="s">
        <v>493</v>
      </c>
    </row>
    <row r="716" spans="1:37" customFormat="1">
      <c r="A716" t="s">
        <v>23</v>
      </c>
      <c r="B716" t="s">
        <v>24</v>
      </c>
      <c r="C716" t="s">
        <v>934</v>
      </c>
      <c r="D716" t="s">
        <v>135</v>
      </c>
      <c r="E716" t="s">
        <v>2124</v>
      </c>
      <c r="F716" t="s">
        <v>931</v>
      </c>
      <c r="G716" t="s">
        <v>136</v>
      </c>
      <c r="H716" t="s">
        <v>184</v>
      </c>
      <c r="I716" t="s">
        <v>71</v>
      </c>
      <c r="J716" t="s">
        <v>72</v>
      </c>
      <c r="K716" t="s">
        <v>65</v>
      </c>
      <c r="L716" t="s">
        <v>150</v>
      </c>
      <c r="M716" t="s">
        <v>144</v>
      </c>
      <c r="N716" t="s">
        <v>2161</v>
      </c>
      <c r="O716">
        <v>1121</v>
      </c>
      <c r="P716" t="s">
        <v>35</v>
      </c>
      <c r="R716">
        <v>1124</v>
      </c>
      <c r="S716">
        <v>1121</v>
      </c>
      <c r="T716" t="s">
        <v>1817</v>
      </c>
      <c r="U716" t="s">
        <v>2049</v>
      </c>
      <c r="V716" t="s">
        <v>27</v>
      </c>
      <c r="W716" t="s">
        <v>2230</v>
      </c>
      <c r="X716" t="s">
        <v>67</v>
      </c>
      <c r="Y716" t="s">
        <v>138</v>
      </c>
      <c r="AA716" t="s">
        <v>494</v>
      </c>
      <c r="AC716" t="s">
        <v>139</v>
      </c>
      <c r="AD716" t="s">
        <v>2162</v>
      </c>
      <c r="AG716" t="s">
        <v>71</v>
      </c>
      <c r="AH716" t="s">
        <v>68</v>
      </c>
      <c r="AI716" t="s">
        <v>493</v>
      </c>
    </row>
    <row r="717" spans="1:37" customFormat="1">
      <c r="A717" t="s">
        <v>23</v>
      </c>
      <c r="B717" t="s">
        <v>24</v>
      </c>
      <c r="C717" t="s">
        <v>175</v>
      </c>
      <c r="D717" t="s">
        <v>135</v>
      </c>
      <c r="E717" t="s">
        <v>2095</v>
      </c>
      <c r="F717" t="s">
        <v>931</v>
      </c>
      <c r="G717" t="s">
        <v>136</v>
      </c>
      <c r="H717" t="s">
        <v>142</v>
      </c>
      <c r="I717" t="s">
        <v>156</v>
      </c>
      <c r="J717" t="s">
        <v>26</v>
      </c>
      <c r="K717" t="s">
        <v>157</v>
      </c>
      <c r="L717" t="s">
        <v>150</v>
      </c>
      <c r="M717" t="s">
        <v>144</v>
      </c>
      <c r="N717" t="s">
        <v>2163</v>
      </c>
      <c r="O717">
        <v>1</v>
      </c>
      <c r="P717" t="s">
        <v>160</v>
      </c>
      <c r="R717">
        <v>712</v>
      </c>
      <c r="S717">
        <v>707.6</v>
      </c>
      <c r="T717" t="s">
        <v>145</v>
      </c>
      <c r="U717" t="s">
        <v>2196</v>
      </c>
      <c r="V717" t="s">
        <v>27</v>
      </c>
      <c r="W717" t="s">
        <v>66</v>
      </c>
      <c r="X717" t="s">
        <v>67</v>
      </c>
      <c r="Y717" t="s">
        <v>138</v>
      </c>
      <c r="AA717" t="s">
        <v>494</v>
      </c>
      <c r="AC717" t="s">
        <v>139</v>
      </c>
      <c r="AD717" t="s">
        <v>2245</v>
      </c>
      <c r="AG717" t="s">
        <v>156</v>
      </c>
      <c r="AH717" t="s">
        <v>68</v>
      </c>
      <c r="AI717" t="s">
        <v>493</v>
      </c>
      <c r="AK717" t="s">
        <v>2164</v>
      </c>
    </row>
    <row r="718" spans="1:37" customFormat="1">
      <c r="A718" t="s">
        <v>23</v>
      </c>
      <c r="B718" t="s">
        <v>24</v>
      </c>
      <c r="C718" t="s">
        <v>175</v>
      </c>
      <c r="D718" t="s">
        <v>135</v>
      </c>
      <c r="E718" t="s">
        <v>2095</v>
      </c>
      <c r="F718" t="s">
        <v>931</v>
      </c>
      <c r="G718" t="s">
        <v>136</v>
      </c>
      <c r="H718" t="s">
        <v>142</v>
      </c>
      <c r="I718" t="s">
        <v>156</v>
      </c>
      <c r="J718" t="s">
        <v>26</v>
      </c>
      <c r="K718" t="s">
        <v>157</v>
      </c>
      <c r="L718" t="s">
        <v>150</v>
      </c>
      <c r="M718" t="s">
        <v>144</v>
      </c>
      <c r="N718" t="s">
        <v>2165</v>
      </c>
      <c r="O718">
        <v>1</v>
      </c>
      <c r="P718" t="s">
        <v>160</v>
      </c>
      <c r="R718">
        <v>714.5</v>
      </c>
      <c r="S718">
        <v>707.6</v>
      </c>
      <c r="T718" t="s">
        <v>145</v>
      </c>
      <c r="U718" t="s">
        <v>2196</v>
      </c>
      <c r="V718" t="s">
        <v>27</v>
      </c>
      <c r="W718" t="s">
        <v>66</v>
      </c>
      <c r="X718" t="s">
        <v>67</v>
      </c>
      <c r="Y718" t="s">
        <v>138</v>
      </c>
      <c r="AA718" t="s">
        <v>494</v>
      </c>
      <c r="AC718" t="s">
        <v>139</v>
      </c>
      <c r="AD718" t="s">
        <v>2246</v>
      </c>
      <c r="AG718" t="s">
        <v>156</v>
      </c>
      <c r="AH718" t="s">
        <v>68</v>
      </c>
      <c r="AI718" t="s">
        <v>493</v>
      </c>
      <c r="AK718" t="s">
        <v>2166</v>
      </c>
    </row>
    <row r="719" spans="1:37" customFormat="1">
      <c r="A719" t="s">
        <v>23</v>
      </c>
      <c r="B719" t="s">
        <v>24</v>
      </c>
      <c r="C719" t="s">
        <v>175</v>
      </c>
      <c r="D719" t="s">
        <v>135</v>
      </c>
      <c r="E719" t="s">
        <v>2095</v>
      </c>
      <c r="F719" t="s">
        <v>931</v>
      </c>
      <c r="G719" t="s">
        <v>136</v>
      </c>
      <c r="H719" t="s">
        <v>142</v>
      </c>
      <c r="I719" t="s">
        <v>156</v>
      </c>
      <c r="J719" t="s">
        <v>26</v>
      </c>
      <c r="K719" t="s">
        <v>157</v>
      </c>
      <c r="L719" t="s">
        <v>150</v>
      </c>
      <c r="M719" t="s">
        <v>144</v>
      </c>
      <c r="N719" t="s">
        <v>2167</v>
      </c>
      <c r="O719">
        <v>1</v>
      </c>
      <c r="P719" t="s">
        <v>160</v>
      </c>
      <c r="R719">
        <v>714.5</v>
      </c>
      <c r="S719">
        <v>707.6</v>
      </c>
      <c r="T719" t="s">
        <v>145</v>
      </c>
      <c r="U719" t="s">
        <v>2196</v>
      </c>
      <c r="V719" t="s">
        <v>27</v>
      </c>
      <c r="W719" t="s">
        <v>66</v>
      </c>
      <c r="X719" t="s">
        <v>67</v>
      </c>
      <c r="Y719" t="s">
        <v>138</v>
      </c>
      <c r="AA719" t="s">
        <v>494</v>
      </c>
      <c r="AC719" t="s">
        <v>139</v>
      </c>
      <c r="AD719" t="s">
        <v>2247</v>
      </c>
      <c r="AG719" t="s">
        <v>156</v>
      </c>
      <c r="AH719" t="s">
        <v>68</v>
      </c>
      <c r="AI719" t="s">
        <v>493</v>
      </c>
      <c r="AK719" t="s">
        <v>2168</v>
      </c>
    </row>
    <row r="720" spans="1:37" customFormat="1">
      <c r="A720" t="s">
        <v>23</v>
      </c>
      <c r="B720" t="s">
        <v>24</v>
      </c>
      <c r="C720" t="s">
        <v>175</v>
      </c>
      <c r="D720" t="s">
        <v>135</v>
      </c>
      <c r="E720" t="s">
        <v>2095</v>
      </c>
      <c r="F720" t="s">
        <v>931</v>
      </c>
      <c r="G720" t="s">
        <v>136</v>
      </c>
      <c r="H720" t="s">
        <v>142</v>
      </c>
      <c r="I720" t="s">
        <v>156</v>
      </c>
      <c r="J720" t="s">
        <v>26</v>
      </c>
      <c r="K720" t="s">
        <v>157</v>
      </c>
      <c r="L720" t="s">
        <v>150</v>
      </c>
      <c r="M720" t="s">
        <v>144</v>
      </c>
      <c r="N720" t="s">
        <v>2169</v>
      </c>
      <c r="O720">
        <v>1</v>
      </c>
      <c r="P720" t="s">
        <v>160</v>
      </c>
      <c r="R720">
        <v>714.5</v>
      </c>
      <c r="S720">
        <v>707.6</v>
      </c>
      <c r="T720" t="s">
        <v>145</v>
      </c>
      <c r="U720" t="s">
        <v>2196</v>
      </c>
      <c r="V720" t="s">
        <v>27</v>
      </c>
      <c r="W720" t="s">
        <v>66</v>
      </c>
      <c r="X720" t="s">
        <v>67</v>
      </c>
      <c r="Y720" t="s">
        <v>138</v>
      </c>
      <c r="AA720" t="s">
        <v>494</v>
      </c>
      <c r="AC720" t="s">
        <v>139</v>
      </c>
      <c r="AD720" t="s">
        <v>2248</v>
      </c>
      <c r="AG720" t="s">
        <v>156</v>
      </c>
      <c r="AH720" t="s">
        <v>68</v>
      </c>
      <c r="AI720" t="s">
        <v>493</v>
      </c>
      <c r="AK720" t="s">
        <v>2170</v>
      </c>
    </row>
    <row r="721" spans="1:37" customFormat="1">
      <c r="A721" t="s">
        <v>23</v>
      </c>
      <c r="B721" t="s">
        <v>24</v>
      </c>
      <c r="C721" t="s">
        <v>175</v>
      </c>
      <c r="D721" t="s">
        <v>135</v>
      </c>
      <c r="E721" t="s">
        <v>2095</v>
      </c>
      <c r="F721" t="s">
        <v>931</v>
      </c>
      <c r="G721" t="s">
        <v>136</v>
      </c>
      <c r="H721" t="s">
        <v>142</v>
      </c>
      <c r="I721" t="s">
        <v>156</v>
      </c>
      <c r="J721" t="s">
        <v>26</v>
      </c>
      <c r="K721" t="s">
        <v>157</v>
      </c>
      <c r="L721" t="s">
        <v>150</v>
      </c>
      <c r="M721" t="s">
        <v>144</v>
      </c>
      <c r="N721" t="s">
        <v>2171</v>
      </c>
      <c r="O721">
        <v>1</v>
      </c>
      <c r="P721" t="s">
        <v>160</v>
      </c>
      <c r="R721">
        <v>714.5</v>
      </c>
      <c r="S721">
        <v>707.6</v>
      </c>
      <c r="T721" t="s">
        <v>145</v>
      </c>
      <c r="U721" t="s">
        <v>2196</v>
      </c>
      <c r="V721" t="s">
        <v>27</v>
      </c>
      <c r="W721" t="s">
        <v>66</v>
      </c>
      <c r="X721" t="s">
        <v>67</v>
      </c>
      <c r="Y721" t="s">
        <v>138</v>
      </c>
      <c r="AA721" t="s">
        <v>494</v>
      </c>
      <c r="AC721" t="s">
        <v>139</v>
      </c>
      <c r="AD721" t="s">
        <v>2249</v>
      </c>
      <c r="AG721" t="s">
        <v>156</v>
      </c>
      <c r="AH721" t="s">
        <v>68</v>
      </c>
      <c r="AI721" t="s">
        <v>493</v>
      </c>
      <c r="AK721" t="s">
        <v>2172</v>
      </c>
    </row>
    <row r="722" spans="1:37" customFormat="1">
      <c r="A722" t="s">
        <v>23</v>
      </c>
      <c r="B722" t="s">
        <v>24</v>
      </c>
      <c r="C722" t="s">
        <v>175</v>
      </c>
      <c r="D722" t="s">
        <v>135</v>
      </c>
      <c r="E722" t="s">
        <v>2095</v>
      </c>
      <c r="F722" t="s">
        <v>931</v>
      </c>
      <c r="G722" t="s">
        <v>136</v>
      </c>
      <c r="H722" t="s">
        <v>142</v>
      </c>
      <c r="I722" t="s">
        <v>156</v>
      </c>
      <c r="J722" t="s">
        <v>26</v>
      </c>
      <c r="K722" t="s">
        <v>157</v>
      </c>
      <c r="L722" t="s">
        <v>150</v>
      </c>
      <c r="M722" t="s">
        <v>144</v>
      </c>
      <c r="N722" t="s">
        <v>2173</v>
      </c>
      <c r="O722">
        <v>1</v>
      </c>
      <c r="P722" t="s">
        <v>160</v>
      </c>
      <c r="R722">
        <v>714.5</v>
      </c>
      <c r="S722">
        <v>707.6</v>
      </c>
      <c r="T722" t="s">
        <v>145</v>
      </c>
      <c r="U722" t="s">
        <v>2196</v>
      </c>
      <c r="V722" t="s">
        <v>27</v>
      </c>
      <c r="W722" t="s">
        <v>66</v>
      </c>
      <c r="X722" t="s">
        <v>67</v>
      </c>
      <c r="Y722" t="s">
        <v>138</v>
      </c>
      <c r="AA722" t="s">
        <v>494</v>
      </c>
      <c r="AC722" t="s">
        <v>139</v>
      </c>
      <c r="AD722" t="s">
        <v>2250</v>
      </c>
      <c r="AG722" t="s">
        <v>156</v>
      </c>
      <c r="AH722" t="s">
        <v>68</v>
      </c>
      <c r="AI722" t="s">
        <v>493</v>
      </c>
      <c r="AK722" t="s">
        <v>2174</v>
      </c>
    </row>
    <row r="723" spans="1:37" customFormat="1">
      <c r="A723" t="s">
        <v>23</v>
      </c>
      <c r="B723" t="s">
        <v>24</v>
      </c>
      <c r="C723" t="s">
        <v>175</v>
      </c>
      <c r="D723" t="s">
        <v>135</v>
      </c>
      <c r="E723" t="s">
        <v>2095</v>
      </c>
      <c r="F723" t="s">
        <v>931</v>
      </c>
      <c r="G723" t="s">
        <v>136</v>
      </c>
      <c r="H723" t="s">
        <v>142</v>
      </c>
      <c r="I723" t="s">
        <v>156</v>
      </c>
      <c r="J723" t="s">
        <v>26</v>
      </c>
      <c r="K723" t="s">
        <v>157</v>
      </c>
      <c r="L723" t="s">
        <v>150</v>
      </c>
      <c r="M723" t="s">
        <v>144</v>
      </c>
      <c r="N723" t="s">
        <v>2175</v>
      </c>
      <c r="O723">
        <v>1</v>
      </c>
      <c r="P723" t="s">
        <v>160</v>
      </c>
      <c r="R723">
        <v>714</v>
      </c>
      <c r="S723">
        <v>707.6</v>
      </c>
      <c r="T723" t="s">
        <v>145</v>
      </c>
      <c r="U723" t="s">
        <v>2196</v>
      </c>
      <c r="V723" t="s">
        <v>27</v>
      </c>
      <c r="W723" t="s">
        <v>66</v>
      </c>
      <c r="X723" t="s">
        <v>67</v>
      </c>
      <c r="Y723" t="s">
        <v>138</v>
      </c>
      <c r="AA723" t="s">
        <v>494</v>
      </c>
      <c r="AC723" t="s">
        <v>139</v>
      </c>
      <c r="AD723" t="s">
        <v>2251</v>
      </c>
      <c r="AG723" t="s">
        <v>156</v>
      </c>
      <c r="AH723" t="s">
        <v>68</v>
      </c>
      <c r="AI723" t="s">
        <v>493</v>
      </c>
      <c r="AK723" t="s">
        <v>2176</v>
      </c>
    </row>
    <row r="724" spans="1:37" customFormat="1">
      <c r="A724" t="s">
        <v>23</v>
      </c>
      <c r="B724" t="s">
        <v>24</v>
      </c>
      <c r="C724" t="s">
        <v>175</v>
      </c>
      <c r="D724" t="s">
        <v>135</v>
      </c>
      <c r="E724" t="s">
        <v>2095</v>
      </c>
      <c r="F724" t="s">
        <v>931</v>
      </c>
      <c r="G724" t="s">
        <v>136</v>
      </c>
      <c r="H724" t="s">
        <v>142</v>
      </c>
      <c r="I724" t="s">
        <v>156</v>
      </c>
      <c r="J724" t="s">
        <v>26</v>
      </c>
      <c r="K724" t="s">
        <v>157</v>
      </c>
      <c r="L724" t="s">
        <v>150</v>
      </c>
      <c r="M724" t="s">
        <v>144</v>
      </c>
      <c r="N724" t="s">
        <v>2177</v>
      </c>
      <c r="O724">
        <v>1</v>
      </c>
      <c r="P724" t="s">
        <v>160</v>
      </c>
      <c r="R724">
        <v>713</v>
      </c>
      <c r="S724">
        <v>707.6</v>
      </c>
      <c r="T724" t="s">
        <v>145</v>
      </c>
      <c r="U724" t="s">
        <v>2196</v>
      </c>
      <c r="V724" t="s">
        <v>27</v>
      </c>
      <c r="W724" t="s">
        <v>66</v>
      </c>
      <c r="X724" t="s">
        <v>67</v>
      </c>
      <c r="Y724" t="s">
        <v>138</v>
      </c>
      <c r="AA724" t="s">
        <v>494</v>
      </c>
      <c r="AC724" t="s">
        <v>139</v>
      </c>
      <c r="AD724" t="s">
        <v>2252</v>
      </c>
      <c r="AG724" t="s">
        <v>156</v>
      </c>
      <c r="AH724" t="s">
        <v>68</v>
      </c>
      <c r="AI724" t="s">
        <v>493</v>
      </c>
      <c r="AK724" t="s">
        <v>2178</v>
      </c>
    </row>
    <row r="725" spans="1:37" customFormat="1">
      <c r="A725" t="s">
        <v>23</v>
      </c>
      <c r="B725" t="s">
        <v>24</v>
      </c>
      <c r="C725" t="s">
        <v>934</v>
      </c>
      <c r="D725" t="s">
        <v>135</v>
      </c>
      <c r="E725" t="s">
        <v>2124</v>
      </c>
      <c r="F725" t="s">
        <v>931</v>
      </c>
      <c r="G725" t="s">
        <v>136</v>
      </c>
      <c r="H725" t="s">
        <v>184</v>
      </c>
      <c r="I725" t="s">
        <v>71</v>
      </c>
      <c r="J725" t="s">
        <v>72</v>
      </c>
      <c r="K725" t="s">
        <v>65</v>
      </c>
      <c r="L725" t="s">
        <v>150</v>
      </c>
      <c r="M725" t="s">
        <v>144</v>
      </c>
      <c r="N725" t="s">
        <v>2179</v>
      </c>
      <c r="O725">
        <v>964</v>
      </c>
      <c r="P725" t="s">
        <v>35</v>
      </c>
      <c r="R725">
        <v>967</v>
      </c>
      <c r="S725">
        <v>964</v>
      </c>
      <c r="T725" t="s">
        <v>1817</v>
      </c>
      <c r="U725" t="s">
        <v>2049</v>
      </c>
      <c r="V725" t="s">
        <v>27</v>
      </c>
      <c r="W725" t="s">
        <v>2230</v>
      </c>
      <c r="X725" t="s">
        <v>67</v>
      </c>
      <c r="Y725" t="s">
        <v>138</v>
      </c>
      <c r="AA725" t="s">
        <v>494</v>
      </c>
      <c r="AC725" t="s">
        <v>139</v>
      </c>
      <c r="AD725" t="s">
        <v>2180</v>
      </c>
      <c r="AG725" t="s">
        <v>71</v>
      </c>
      <c r="AH725" t="s">
        <v>68</v>
      </c>
      <c r="AI725" t="s">
        <v>493</v>
      </c>
    </row>
    <row r="726" spans="1:37" customFormat="1">
      <c r="A726" t="s">
        <v>23</v>
      </c>
      <c r="B726" t="s">
        <v>24</v>
      </c>
      <c r="C726" t="s">
        <v>175</v>
      </c>
      <c r="D726" t="s">
        <v>135</v>
      </c>
      <c r="E726" t="s">
        <v>2095</v>
      </c>
      <c r="F726" t="s">
        <v>931</v>
      </c>
      <c r="G726" t="s">
        <v>136</v>
      </c>
      <c r="H726" t="s">
        <v>142</v>
      </c>
      <c r="I726" t="s">
        <v>156</v>
      </c>
      <c r="J726" t="s">
        <v>26</v>
      </c>
      <c r="K726" t="s">
        <v>157</v>
      </c>
      <c r="L726" t="s">
        <v>150</v>
      </c>
      <c r="M726" t="s">
        <v>144</v>
      </c>
      <c r="N726" t="s">
        <v>2181</v>
      </c>
      <c r="O726">
        <v>1</v>
      </c>
      <c r="P726" t="s">
        <v>160</v>
      </c>
      <c r="R726">
        <v>709</v>
      </c>
      <c r="S726">
        <v>707.6</v>
      </c>
      <c r="T726" t="s">
        <v>145</v>
      </c>
      <c r="U726" t="s">
        <v>2196</v>
      </c>
      <c r="V726" t="s">
        <v>27</v>
      </c>
      <c r="W726" t="s">
        <v>66</v>
      </c>
      <c r="X726" t="s">
        <v>67</v>
      </c>
      <c r="Y726" t="s">
        <v>138</v>
      </c>
      <c r="AA726" t="s">
        <v>494</v>
      </c>
      <c r="AC726" t="s">
        <v>139</v>
      </c>
      <c r="AD726" t="s">
        <v>2253</v>
      </c>
      <c r="AG726" t="s">
        <v>156</v>
      </c>
      <c r="AH726" t="s">
        <v>68</v>
      </c>
      <c r="AI726" t="s">
        <v>493</v>
      </c>
      <c r="AK726" t="s">
        <v>2182</v>
      </c>
    </row>
    <row r="727" spans="1:37" customFormat="1">
      <c r="A727" t="s">
        <v>23</v>
      </c>
      <c r="B727" t="s">
        <v>24</v>
      </c>
      <c r="C727" t="s">
        <v>934</v>
      </c>
      <c r="D727" t="s">
        <v>135</v>
      </c>
      <c r="E727" t="s">
        <v>2124</v>
      </c>
      <c r="F727" t="s">
        <v>931</v>
      </c>
      <c r="G727" t="s">
        <v>136</v>
      </c>
      <c r="H727" t="s">
        <v>184</v>
      </c>
      <c r="I727" t="s">
        <v>71</v>
      </c>
      <c r="J727" t="s">
        <v>72</v>
      </c>
      <c r="K727" t="s">
        <v>65</v>
      </c>
      <c r="L727" t="s">
        <v>150</v>
      </c>
      <c r="M727" t="s">
        <v>144</v>
      </c>
      <c r="N727" t="s">
        <v>2183</v>
      </c>
      <c r="O727">
        <v>420</v>
      </c>
      <c r="P727" t="s">
        <v>35</v>
      </c>
      <c r="R727">
        <v>423</v>
      </c>
      <c r="S727">
        <v>420</v>
      </c>
      <c r="T727" t="s">
        <v>1817</v>
      </c>
      <c r="U727" t="s">
        <v>2049</v>
      </c>
      <c r="V727" t="s">
        <v>27</v>
      </c>
      <c r="W727" t="s">
        <v>2230</v>
      </c>
      <c r="X727" t="s">
        <v>67</v>
      </c>
      <c r="Y727" t="s">
        <v>138</v>
      </c>
      <c r="AA727" t="s">
        <v>494</v>
      </c>
      <c r="AC727" t="s">
        <v>139</v>
      </c>
      <c r="AD727" t="s">
        <v>2184</v>
      </c>
      <c r="AG727" t="s">
        <v>71</v>
      </c>
      <c r="AH727" t="s">
        <v>68</v>
      </c>
      <c r="AI727" t="s">
        <v>493</v>
      </c>
    </row>
    <row r="728" spans="1:37" customFormat="1">
      <c r="A728" t="s">
        <v>23</v>
      </c>
      <c r="B728" t="s">
        <v>24</v>
      </c>
      <c r="C728" t="s">
        <v>175</v>
      </c>
      <c r="D728" t="s">
        <v>135</v>
      </c>
      <c r="E728" t="s">
        <v>2095</v>
      </c>
      <c r="F728" t="s">
        <v>931</v>
      </c>
      <c r="G728" t="s">
        <v>136</v>
      </c>
      <c r="H728" t="s">
        <v>142</v>
      </c>
      <c r="I728" t="s">
        <v>156</v>
      </c>
      <c r="J728" t="s">
        <v>26</v>
      </c>
      <c r="K728" t="s">
        <v>157</v>
      </c>
      <c r="L728" t="s">
        <v>150</v>
      </c>
      <c r="M728" t="s">
        <v>144</v>
      </c>
      <c r="N728" t="s">
        <v>2185</v>
      </c>
      <c r="O728">
        <v>1</v>
      </c>
      <c r="P728" t="s">
        <v>160</v>
      </c>
      <c r="R728">
        <v>710</v>
      </c>
      <c r="S728">
        <v>707.6</v>
      </c>
      <c r="T728" t="s">
        <v>145</v>
      </c>
      <c r="U728" t="s">
        <v>2196</v>
      </c>
      <c r="V728" t="s">
        <v>27</v>
      </c>
      <c r="W728" t="s">
        <v>66</v>
      </c>
      <c r="X728" t="s">
        <v>67</v>
      </c>
      <c r="Y728" t="s">
        <v>138</v>
      </c>
      <c r="AA728" t="s">
        <v>494</v>
      </c>
      <c r="AC728" t="s">
        <v>139</v>
      </c>
      <c r="AD728" t="s">
        <v>2254</v>
      </c>
      <c r="AG728" t="s">
        <v>156</v>
      </c>
      <c r="AH728" t="s">
        <v>68</v>
      </c>
      <c r="AI728" t="s">
        <v>493</v>
      </c>
      <c r="AK728" t="s">
        <v>2186</v>
      </c>
    </row>
    <row r="729" spans="1:37" customFormat="1">
      <c r="A729" t="s">
        <v>23</v>
      </c>
      <c r="B729" t="s">
        <v>24</v>
      </c>
      <c r="C729" t="s">
        <v>175</v>
      </c>
      <c r="D729" t="s">
        <v>135</v>
      </c>
      <c r="E729" t="s">
        <v>2095</v>
      </c>
      <c r="F729" t="s">
        <v>931</v>
      </c>
      <c r="G729" t="s">
        <v>136</v>
      </c>
      <c r="H729" t="s">
        <v>142</v>
      </c>
      <c r="I729" t="s">
        <v>156</v>
      </c>
      <c r="J729" t="s">
        <v>26</v>
      </c>
      <c r="K729" t="s">
        <v>157</v>
      </c>
      <c r="L729" t="s">
        <v>150</v>
      </c>
      <c r="M729" t="s">
        <v>144</v>
      </c>
      <c r="N729" t="s">
        <v>2187</v>
      </c>
      <c r="O729">
        <v>1</v>
      </c>
      <c r="P729" t="s">
        <v>160</v>
      </c>
      <c r="R729">
        <v>713</v>
      </c>
      <c r="S729">
        <v>707.6</v>
      </c>
      <c r="T729" t="s">
        <v>145</v>
      </c>
      <c r="U729" t="s">
        <v>2196</v>
      </c>
      <c r="V729" t="s">
        <v>27</v>
      </c>
      <c r="W729" t="s">
        <v>66</v>
      </c>
      <c r="X729" t="s">
        <v>67</v>
      </c>
      <c r="Y729" t="s">
        <v>138</v>
      </c>
      <c r="AA729" t="s">
        <v>494</v>
      </c>
      <c r="AC729" t="s">
        <v>139</v>
      </c>
      <c r="AD729" t="s">
        <v>2255</v>
      </c>
      <c r="AG729" t="s">
        <v>156</v>
      </c>
      <c r="AH729" t="s">
        <v>68</v>
      </c>
      <c r="AI729" t="s">
        <v>493</v>
      </c>
      <c r="AK729" t="s">
        <v>2188</v>
      </c>
    </row>
    <row r="730" spans="1:37" customFormat="1">
      <c r="A730" t="s">
        <v>23</v>
      </c>
      <c r="B730" t="s">
        <v>24</v>
      </c>
      <c r="C730" t="s">
        <v>175</v>
      </c>
      <c r="D730" t="s">
        <v>135</v>
      </c>
      <c r="E730" t="s">
        <v>2095</v>
      </c>
      <c r="F730" t="s">
        <v>931</v>
      </c>
      <c r="G730" t="s">
        <v>136</v>
      </c>
      <c r="H730" t="s">
        <v>142</v>
      </c>
      <c r="I730" t="s">
        <v>156</v>
      </c>
      <c r="J730" t="s">
        <v>26</v>
      </c>
      <c r="K730" t="s">
        <v>157</v>
      </c>
      <c r="L730" t="s">
        <v>150</v>
      </c>
      <c r="M730" t="s">
        <v>144</v>
      </c>
      <c r="N730" t="s">
        <v>2189</v>
      </c>
      <c r="O730">
        <v>1</v>
      </c>
      <c r="P730" t="s">
        <v>160</v>
      </c>
      <c r="R730">
        <v>714.5</v>
      </c>
      <c r="S730">
        <v>707.6</v>
      </c>
      <c r="T730" t="s">
        <v>145</v>
      </c>
      <c r="U730" t="s">
        <v>2196</v>
      </c>
      <c r="V730" t="s">
        <v>27</v>
      </c>
      <c r="W730" t="s">
        <v>66</v>
      </c>
      <c r="X730" t="s">
        <v>67</v>
      </c>
      <c r="Y730" t="s">
        <v>138</v>
      </c>
      <c r="AA730" t="s">
        <v>494</v>
      </c>
      <c r="AC730" t="s">
        <v>139</v>
      </c>
      <c r="AD730" t="s">
        <v>2256</v>
      </c>
      <c r="AG730" t="s">
        <v>156</v>
      </c>
      <c r="AH730" t="s">
        <v>68</v>
      </c>
      <c r="AI730" t="s">
        <v>493</v>
      </c>
      <c r="AK730" t="s">
        <v>2190</v>
      </c>
    </row>
    <row r="731" spans="1:37" customFormat="1">
      <c r="A731" t="s">
        <v>23</v>
      </c>
      <c r="B731" t="s">
        <v>24</v>
      </c>
      <c r="C731" t="s">
        <v>175</v>
      </c>
      <c r="D731" t="s">
        <v>135</v>
      </c>
      <c r="E731" t="s">
        <v>2095</v>
      </c>
      <c r="F731" t="s">
        <v>931</v>
      </c>
      <c r="G731" t="s">
        <v>136</v>
      </c>
      <c r="H731" t="s">
        <v>142</v>
      </c>
      <c r="I731" t="s">
        <v>156</v>
      </c>
      <c r="J731" t="s">
        <v>26</v>
      </c>
      <c r="K731" t="s">
        <v>157</v>
      </c>
      <c r="L731" t="s">
        <v>150</v>
      </c>
      <c r="M731" t="s">
        <v>144</v>
      </c>
      <c r="N731" t="s">
        <v>2191</v>
      </c>
      <c r="O731">
        <v>1</v>
      </c>
      <c r="P731" t="s">
        <v>160</v>
      </c>
      <c r="R731">
        <v>712.5</v>
      </c>
      <c r="S731">
        <v>707.6</v>
      </c>
      <c r="T731" t="s">
        <v>145</v>
      </c>
      <c r="U731" t="s">
        <v>2196</v>
      </c>
      <c r="V731" t="s">
        <v>27</v>
      </c>
      <c r="W731" t="s">
        <v>66</v>
      </c>
      <c r="X731" t="s">
        <v>67</v>
      </c>
      <c r="Y731" t="s">
        <v>138</v>
      </c>
      <c r="AA731" t="s">
        <v>494</v>
      </c>
      <c r="AC731" t="s">
        <v>139</v>
      </c>
      <c r="AD731" t="s">
        <v>2257</v>
      </c>
      <c r="AG731" t="s">
        <v>156</v>
      </c>
      <c r="AH731" t="s">
        <v>68</v>
      </c>
      <c r="AI731" t="s">
        <v>493</v>
      </c>
      <c r="AK731" t="s">
        <v>2192</v>
      </c>
    </row>
    <row r="732" spans="1:37" customFormat="1">
      <c r="A732" t="s">
        <v>23</v>
      </c>
      <c r="B732" t="s">
        <v>24</v>
      </c>
      <c r="C732" t="s">
        <v>175</v>
      </c>
      <c r="D732" t="s">
        <v>135</v>
      </c>
      <c r="E732" t="s">
        <v>2095</v>
      </c>
      <c r="F732" t="s">
        <v>931</v>
      </c>
      <c r="G732" t="s">
        <v>136</v>
      </c>
      <c r="H732" t="s">
        <v>142</v>
      </c>
      <c r="I732" t="s">
        <v>156</v>
      </c>
      <c r="J732" t="s">
        <v>26</v>
      </c>
      <c r="K732" t="s">
        <v>157</v>
      </c>
      <c r="L732" t="s">
        <v>150</v>
      </c>
      <c r="M732" t="s">
        <v>144</v>
      </c>
      <c r="N732" t="s">
        <v>2193</v>
      </c>
      <c r="O732">
        <v>1</v>
      </c>
      <c r="P732" t="s">
        <v>160</v>
      </c>
      <c r="R732">
        <v>713</v>
      </c>
      <c r="S732">
        <v>707.6</v>
      </c>
      <c r="T732" t="s">
        <v>145</v>
      </c>
      <c r="U732" t="s">
        <v>2196</v>
      </c>
      <c r="V732" t="s">
        <v>27</v>
      </c>
      <c r="W732" t="s">
        <v>66</v>
      </c>
      <c r="X732" t="s">
        <v>67</v>
      </c>
      <c r="Y732" t="s">
        <v>138</v>
      </c>
      <c r="AA732" t="s">
        <v>494</v>
      </c>
      <c r="AC732" t="s">
        <v>139</v>
      </c>
      <c r="AD732" t="s">
        <v>2258</v>
      </c>
      <c r="AG732" t="s">
        <v>156</v>
      </c>
      <c r="AH732" t="s">
        <v>68</v>
      </c>
      <c r="AI732" t="s">
        <v>493</v>
      </c>
      <c r="AK732" t="s">
        <v>2194</v>
      </c>
    </row>
    <row r="733" spans="1:37" customFormat="1">
      <c r="A733" t="s">
        <v>23</v>
      </c>
      <c r="B733" t="s">
        <v>24</v>
      </c>
      <c r="C733" t="s">
        <v>175</v>
      </c>
      <c r="D733" t="s">
        <v>135</v>
      </c>
      <c r="E733" t="s">
        <v>2095</v>
      </c>
      <c r="F733" t="s">
        <v>931</v>
      </c>
      <c r="G733" t="s">
        <v>136</v>
      </c>
      <c r="H733" t="s">
        <v>142</v>
      </c>
      <c r="I733" t="s">
        <v>156</v>
      </c>
      <c r="J733" t="s">
        <v>26</v>
      </c>
      <c r="K733" t="s">
        <v>157</v>
      </c>
      <c r="L733" t="s">
        <v>150</v>
      </c>
      <c r="M733" t="s">
        <v>144</v>
      </c>
      <c r="N733" t="s">
        <v>2195</v>
      </c>
      <c r="O733">
        <v>1</v>
      </c>
      <c r="P733" t="s">
        <v>160</v>
      </c>
      <c r="R733">
        <v>714.5</v>
      </c>
      <c r="S733">
        <v>707.6</v>
      </c>
      <c r="T733" t="s">
        <v>145</v>
      </c>
      <c r="U733" t="s">
        <v>2196</v>
      </c>
      <c r="V733" t="s">
        <v>27</v>
      </c>
      <c r="W733" t="s">
        <v>66</v>
      </c>
      <c r="X733" t="s">
        <v>67</v>
      </c>
      <c r="Y733" t="s">
        <v>138</v>
      </c>
      <c r="AA733" t="s">
        <v>494</v>
      </c>
      <c r="AC733" t="s">
        <v>139</v>
      </c>
      <c r="AD733" t="s">
        <v>2197</v>
      </c>
      <c r="AG733" t="s">
        <v>156</v>
      </c>
      <c r="AH733" t="s">
        <v>68</v>
      </c>
      <c r="AI733" t="s">
        <v>493</v>
      </c>
      <c r="AK733" t="s">
        <v>2198</v>
      </c>
    </row>
    <row r="734" spans="1:37" customFormat="1">
      <c r="A734" t="s">
        <v>23</v>
      </c>
      <c r="B734" t="s">
        <v>24</v>
      </c>
      <c r="C734" t="s">
        <v>176</v>
      </c>
      <c r="D734" t="s">
        <v>135</v>
      </c>
      <c r="E734" t="s">
        <v>2096</v>
      </c>
      <c r="F734" t="s">
        <v>931</v>
      </c>
      <c r="G734" t="s">
        <v>136</v>
      </c>
      <c r="H734" t="s">
        <v>142</v>
      </c>
      <c r="I734" t="s">
        <v>156</v>
      </c>
      <c r="J734" t="s">
        <v>25</v>
      </c>
      <c r="K734" t="s">
        <v>157</v>
      </c>
      <c r="L734" t="s">
        <v>150</v>
      </c>
      <c r="M734" t="s">
        <v>144</v>
      </c>
      <c r="N734" t="s">
        <v>2199</v>
      </c>
      <c r="O734">
        <v>19</v>
      </c>
      <c r="P734" t="s">
        <v>159</v>
      </c>
      <c r="R734">
        <v>367</v>
      </c>
      <c r="S734">
        <v>336.11</v>
      </c>
      <c r="T734" t="s">
        <v>145</v>
      </c>
      <c r="U734" t="s">
        <v>185</v>
      </c>
      <c r="V734" t="s">
        <v>27</v>
      </c>
      <c r="W734" t="s">
        <v>66</v>
      </c>
      <c r="X734" t="s">
        <v>67</v>
      </c>
      <c r="Y734" t="s">
        <v>138</v>
      </c>
      <c r="AA734" t="s">
        <v>494</v>
      </c>
      <c r="AC734" t="s">
        <v>139</v>
      </c>
      <c r="AD734" t="s">
        <v>2200</v>
      </c>
      <c r="AG734" t="s">
        <v>156</v>
      </c>
      <c r="AH734" t="s">
        <v>68</v>
      </c>
      <c r="AI734" t="s">
        <v>493</v>
      </c>
    </row>
    <row r="735" spans="1:37" customFormat="1">
      <c r="A735" t="s">
        <v>23</v>
      </c>
      <c r="B735" t="s">
        <v>24</v>
      </c>
      <c r="C735" t="s">
        <v>1379</v>
      </c>
      <c r="D735" t="s">
        <v>135</v>
      </c>
      <c r="E735" t="s">
        <v>2201</v>
      </c>
      <c r="F735" t="s">
        <v>931</v>
      </c>
      <c r="G735" t="s">
        <v>136</v>
      </c>
      <c r="H735" t="s">
        <v>152</v>
      </c>
      <c r="I735" t="s">
        <v>156</v>
      </c>
      <c r="J735" t="s">
        <v>26</v>
      </c>
      <c r="K735" t="s">
        <v>157</v>
      </c>
      <c r="L735" t="s">
        <v>150</v>
      </c>
      <c r="M735" t="s">
        <v>144</v>
      </c>
      <c r="N735" t="s">
        <v>2202</v>
      </c>
      <c r="O735">
        <v>1</v>
      </c>
      <c r="P735" t="s">
        <v>160</v>
      </c>
      <c r="R735">
        <v>791</v>
      </c>
      <c r="S735">
        <v>786</v>
      </c>
      <c r="T735" t="s">
        <v>145</v>
      </c>
      <c r="U735" t="s">
        <v>2259</v>
      </c>
      <c r="V735" t="s">
        <v>27</v>
      </c>
      <c r="W735" t="s">
        <v>66</v>
      </c>
      <c r="X735" t="s">
        <v>67</v>
      </c>
      <c r="Y735" t="s">
        <v>138</v>
      </c>
      <c r="AA735" t="s">
        <v>494</v>
      </c>
      <c r="AC735" t="s">
        <v>139</v>
      </c>
      <c r="AD735" t="s">
        <v>2260</v>
      </c>
      <c r="AG735" t="s">
        <v>156</v>
      </c>
      <c r="AH735" t="s">
        <v>68</v>
      </c>
      <c r="AI735" t="s">
        <v>493</v>
      </c>
      <c r="AK735" t="s">
        <v>2203</v>
      </c>
    </row>
    <row r="736" spans="1:37" customFormat="1">
      <c r="A736" t="s">
        <v>23</v>
      </c>
      <c r="B736" t="s">
        <v>24</v>
      </c>
      <c r="C736" t="s">
        <v>1379</v>
      </c>
      <c r="D736" t="s">
        <v>135</v>
      </c>
      <c r="E736" t="s">
        <v>2201</v>
      </c>
      <c r="F736" t="s">
        <v>931</v>
      </c>
      <c r="G736" t="s">
        <v>136</v>
      </c>
      <c r="H736" t="s">
        <v>152</v>
      </c>
      <c r="I736" t="s">
        <v>156</v>
      </c>
      <c r="J736" t="s">
        <v>26</v>
      </c>
      <c r="K736" t="s">
        <v>157</v>
      </c>
      <c r="L736" t="s">
        <v>150</v>
      </c>
      <c r="M736" t="s">
        <v>144</v>
      </c>
      <c r="N736" t="s">
        <v>2204</v>
      </c>
      <c r="O736">
        <v>1</v>
      </c>
      <c r="P736" t="s">
        <v>160</v>
      </c>
      <c r="R736">
        <v>793</v>
      </c>
      <c r="S736">
        <v>786</v>
      </c>
      <c r="T736" t="s">
        <v>145</v>
      </c>
      <c r="U736" t="s">
        <v>2259</v>
      </c>
      <c r="V736" t="s">
        <v>27</v>
      </c>
      <c r="W736" t="s">
        <v>66</v>
      </c>
      <c r="X736" t="s">
        <v>67</v>
      </c>
      <c r="Y736" t="s">
        <v>138</v>
      </c>
      <c r="AA736" t="s">
        <v>494</v>
      </c>
      <c r="AC736" t="s">
        <v>139</v>
      </c>
      <c r="AD736" t="s">
        <v>2261</v>
      </c>
      <c r="AG736" t="s">
        <v>156</v>
      </c>
      <c r="AH736" t="s">
        <v>68</v>
      </c>
      <c r="AI736" t="s">
        <v>493</v>
      </c>
      <c r="AK736" t="s">
        <v>2205</v>
      </c>
    </row>
    <row r="737" spans="1:37" customFormat="1">
      <c r="A737" t="s">
        <v>23</v>
      </c>
      <c r="B737" t="s">
        <v>24</v>
      </c>
      <c r="C737" t="s">
        <v>1379</v>
      </c>
      <c r="D737" t="s">
        <v>135</v>
      </c>
      <c r="E737" t="s">
        <v>2201</v>
      </c>
      <c r="F737" t="s">
        <v>931</v>
      </c>
      <c r="G737" t="s">
        <v>136</v>
      </c>
      <c r="H737" t="s">
        <v>152</v>
      </c>
      <c r="I737" t="s">
        <v>156</v>
      </c>
      <c r="J737" t="s">
        <v>26</v>
      </c>
      <c r="K737" t="s">
        <v>157</v>
      </c>
      <c r="L737" t="s">
        <v>150</v>
      </c>
      <c r="M737" t="s">
        <v>144</v>
      </c>
      <c r="N737" t="s">
        <v>2206</v>
      </c>
      <c r="O737">
        <v>1</v>
      </c>
      <c r="P737" t="s">
        <v>160</v>
      </c>
      <c r="R737">
        <v>790</v>
      </c>
      <c r="S737">
        <v>786</v>
      </c>
      <c r="T737" t="s">
        <v>145</v>
      </c>
      <c r="U737" t="s">
        <v>2259</v>
      </c>
      <c r="V737" t="s">
        <v>27</v>
      </c>
      <c r="W737" t="s">
        <v>66</v>
      </c>
      <c r="X737" t="s">
        <v>67</v>
      </c>
      <c r="Y737" t="s">
        <v>138</v>
      </c>
      <c r="AA737" t="s">
        <v>494</v>
      </c>
      <c r="AC737" t="s">
        <v>139</v>
      </c>
      <c r="AD737" t="s">
        <v>2262</v>
      </c>
      <c r="AG737" t="s">
        <v>156</v>
      </c>
      <c r="AH737" t="s">
        <v>68</v>
      </c>
      <c r="AI737" t="s">
        <v>493</v>
      </c>
      <c r="AK737" t="s">
        <v>2207</v>
      </c>
    </row>
    <row r="738" spans="1:37" customFormat="1">
      <c r="A738" t="s">
        <v>23</v>
      </c>
      <c r="B738" t="s">
        <v>24</v>
      </c>
      <c r="C738" t="s">
        <v>1379</v>
      </c>
      <c r="D738" t="s">
        <v>135</v>
      </c>
      <c r="E738" t="s">
        <v>2201</v>
      </c>
      <c r="F738" t="s">
        <v>931</v>
      </c>
      <c r="G738" t="s">
        <v>136</v>
      </c>
      <c r="H738" t="s">
        <v>152</v>
      </c>
      <c r="I738" t="s">
        <v>156</v>
      </c>
      <c r="J738" t="s">
        <v>26</v>
      </c>
      <c r="K738" t="s">
        <v>157</v>
      </c>
      <c r="L738" t="s">
        <v>150</v>
      </c>
      <c r="M738" t="s">
        <v>144</v>
      </c>
      <c r="N738" t="s">
        <v>2208</v>
      </c>
      <c r="O738">
        <v>1</v>
      </c>
      <c r="P738" t="s">
        <v>160</v>
      </c>
      <c r="R738">
        <v>792</v>
      </c>
      <c r="S738">
        <v>786</v>
      </c>
      <c r="T738" t="s">
        <v>145</v>
      </c>
      <c r="U738" t="s">
        <v>2259</v>
      </c>
      <c r="V738" t="s">
        <v>27</v>
      </c>
      <c r="W738" t="s">
        <v>66</v>
      </c>
      <c r="X738" t="s">
        <v>67</v>
      </c>
      <c r="Y738" t="s">
        <v>138</v>
      </c>
      <c r="AA738" t="s">
        <v>494</v>
      </c>
      <c r="AC738" t="s">
        <v>139</v>
      </c>
      <c r="AD738" t="s">
        <v>2263</v>
      </c>
      <c r="AG738" t="s">
        <v>156</v>
      </c>
      <c r="AH738" t="s">
        <v>68</v>
      </c>
      <c r="AI738" t="s">
        <v>493</v>
      </c>
      <c r="AK738" t="s">
        <v>2209</v>
      </c>
    </row>
    <row r="739" spans="1:37" customFormat="1">
      <c r="A739" t="s">
        <v>23</v>
      </c>
      <c r="B739" t="s">
        <v>24</v>
      </c>
      <c r="C739" t="s">
        <v>1379</v>
      </c>
      <c r="D739" t="s">
        <v>135</v>
      </c>
      <c r="E739" t="s">
        <v>2201</v>
      </c>
      <c r="F739" t="s">
        <v>931</v>
      </c>
      <c r="G739" t="s">
        <v>136</v>
      </c>
      <c r="H739" t="s">
        <v>152</v>
      </c>
      <c r="I739" t="s">
        <v>156</v>
      </c>
      <c r="J739" t="s">
        <v>26</v>
      </c>
      <c r="K739" t="s">
        <v>157</v>
      </c>
      <c r="L739" t="s">
        <v>150</v>
      </c>
      <c r="M739" t="s">
        <v>144</v>
      </c>
      <c r="N739" t="s">
        <v>2210</v>
      </c>
      <c r="O739">
        <v>1</v>
      </c>
      <c r="P739" t="s">
        <v>160</v>
      </c>
      <c r="R739">
        <v>790</v>
      </c>
      <c r="S739">
        <v>786</v>
      </c>
      <c r="T739" t="s">
        <v>145</v>
      </c>
      <c r="U739" t="s">
        <v>2259</v>
      </c>
      <c r="V739" t="s">
        <v>27</v>
      </c>
      <c r="W739" t="s">
        <v>66</v>
      </c>
      <c r="X739" t="s">
        <v>67</v>
      </c>
      <c r="Y739" t="s">
        <v>138</v>
      </c>
      <c r="AA739" t="s">
        <v>494</v>
      </c>
      <c r="AC739" t="s">
        <v>139</v>
      </c>
      <c r="AD739" t="s">
        <v>2264</v>
      </c>
      <c r="AG739" t="s">
        <v>156</v>
      </c>
      <c r="AH739" t="s">
        <v>68</v>
      </c>
      <c r="AI739" t="s">
        <v>493</v>
      </c>
      <c r="AK739" t="s">
        <v>2211</v>
      </c>
    </row>
    <row r="740" spans="1:37" customFormat="1">
      <c r="A740" t="s">
        <v>23</v>
      </c>
      <c r="B740" t="s">
        <v>24</v>
      </c>
      <c r="C740" t="s">
        <v>1379</v>
      </c>
      <c r="D740" t="s">
        <v>135</v>
      </c>
      <c r="E740" t="s">
        <v>2201</v>
      </c>
      <c r="F740" t="s">
        <v>931</v>
      </c>
      <c r="G740" t="s">
        <v>136</v>
      </c>
      <c r="H740" t="s">
        <v>152</v>
      </c>
      <c r="I740" t="s">
        <v>156</v>
      </c>
      <c r="J740" t="s">
        <v>26</v>
      </c>
      <c r="K740" t="s">
        <v>157</v>
      </c>
      <c r="L740" t="s">
        <v>150</v>
      </c>
      <c r="M740" t="s">
        <v>144</v>
      </c>
      <c r="N740" t="s">
        <v>2212</v>
      </c>
      <c r="O740">
        <v>1</v>
      </c>
      <c r="P740" t="s">
        <v>160</v>
      </c>
      <c r="R740">
        <v>788</v>
      </c>
      <c r="S740">
        <v>786</v>
      </c>
      <c r="T740" t="s">
        <v>145</v>
      </c>
      <c r="U740" t="s">
        <v>2259</v>
      </c>
      <c r="V740" t="s">
        <v>27</v>
      </c>
      <c r="W740" t="s">
        <v>66</v>
      </c>
      <c r="X740" t="s">
        <v>67</v>
      </c>
      <c r="Y740" t="s">
        <v>138</v>
      </c>
      <c r="AA740" t="s">
        <v>494</v>
      </c>
      <c r="AC740" t="s">
        <v>139</v>
      </c>
      <c r="AD740" t="s">
        <v>2265</v>
      </c>
      <c r="AG740" t="s">
        <v>156</v>
      </c>
      <c r="AH740" t="s">
        <v>68</v>
      </c>
      <c r="AI740" t="s">
        <v>493</v>
      </c>
      <c r="AK740" t="s">
        <v>2213</v>
      </c>
    </row>
    <row r="741" spans="1:37" customFormat="1">
      <c r="A741" t="s">
        <v>23</v>
      </c>
      <c r="B741" t="s">
        <v>24</v>
      </c>
      <c r="C741" t="s">
        <v>1379</v>
      </c>
      <c r="D741" t="s">
        <v>135</v>
      </c>
      <c r="E741" t="s">
        <v>2201</v>
      </c>
      <c r="F741" t="s">
        <v>931</v>
      </c>
      <c r="G741" t="s">
        <v>136</v>
      </c>
      <c r="H741" t="s">
        <v>152</v>
      </c>
      <c r="I741" t="s">
        <v>156</v>
      </c>
      <c r="J741" t="s">
        <v>26</v>
      </c>
      <c r="K741" t="s">
        <v>157</v>
      </c>
      <c r="L741" t="s">
        <v>150</v>
      </c>
      <c r="M741" t="s">
        <v>144</v>
      </c>
      <c r="N741" t="s">
        <v>2214</v>
      </c>
      <c r="O741">
        <v>1</v>
      </c>
      <c r="P741" t="s">
        <v>160</v>
      </c>
      <c r="R741">
        <v>790</v>
      </c>
      <c r="S741">
        <v>786</v>
      </c>
      <c r="T741" t="s">
        <v>145</v>
      </c>
      <c r="U741" t="s">
        <v>2259</v>
      </c>
      <c r="V741" t="s">
        <v>27</v>
      </c>
      <c r="W741" t="s">
        <v>66</v>
      </c>
      <c r="X741" t="s">
        <v>67</v>
      </c>
      <c r="Y741" t="s">
        <v>138</v>
      </c>
      <c r="AA741" t="s">
        <v>494</v>
      </c>
      <c r="AC741" t="s">
        <v>139</v>
      </c>
      <c r="AD741" t="s">
        <v>2266</v>
      </c>
      <c r="AG741" t="s">
        <v>156</v>
      </c>
      <c r="AH741" t="s">
        <v>68</v>
      </c>
      <c r="AI741" t="s">
        <v>493</v>
      </c>
      <c r="AK741" t="s">
        <v>2215</v>
      </c>
    </row>
    <row r="742" spans="1:37" customFormat="1">
      <c r="A742" t="s">
        <v>23</v>
      </c>
      <c r="B742" t="s">
        <v>24</v>
      </c>
      <c r="C742" t="s">
        <v>1379</v>
      </c>
      <c r="D742" t="s">
        <v>135</v>
      </c>
      <c r="E742" t="s">
        <v>2201</v>
      </c>
      <c r="F742" t="s">
        <v>931</v>
      </c>
      <c r="G742" t="s">
        <v>136</v>
      </c>
      <c r="H742" t="s">
        <v>152</v>
      </c>
      <c r="I742" t="s">
        <v>156</v>
      </c>
      <c r="J742" t="s">
        <v>26</v>
      </c>
      <c r="K742" t="s">
        <v>157</v>
      </c>
      <c r="L742" t="s">
        <v>150</v>
      </c>
      <c r="M742" t="s">
        <v>144</v>
      </c>
      <c r="N742" t="s">
        <v>2216</v>
      </c>
      <c r="O742">
        <v>1</v>
      </c>
      <c r="P742" t="s">
        <v>160</v>
      </c>
      <c r="R742">
        <v>792</v>
      </c>
      <c r="S742">
        <v>786</v>
      </c>
      <c r="T742" t="s">
        <v>145</v>
      </c>
      <c r="U742" t="s">
        <v>2259</v>
      </c>
      <c r="V742" t="s">
        <v>27</v>
      </c>
      <c r="W742" t="s">
        <v>66</v>
      </c>
      <c r="X742" t="s">
        <v>67</v>
      </c>
      <c r="Y742" t="s">
        <v>138</v>
      </c>
      <c r="AA742" t="s">
        <v>494</v>
      </c>
      <c r="AC742" t="s">
        <v>139</v>
      </c>
      <c r="AD742" t="s">
        <v>2267</v>
      </c>
      <c r="AG742" t="s">
        <v>156</v>
      </c>
      <c r="AH742" t="s">
        <v>68</v>
      </c>
      <c r="AI742" t="s">
        <v>493</v>
      </c>
      <c r="AK742" t="s">
        <v>2217</v>
      </c>
    </row>
    <row r="743" spans="1:37" customFormat="1">
      <c r="A743" t="s">
        <v>23</v>
      </c>
      <c r="B743" t="s">
        <v>24</v>
      </c>
      <c r="C743" t="s">
        <v>1379</v>
      </c>
      <c r="D743" t="s">
        <v>135</v>
      </c>
      <c r="E743" t="s">
        <v>2201</v>
      </c>
      <c r="F743" t="s">
        <v>931</v>
      </c>
      <c r="G743" t="s">
        <v>136</v>
      </c>
      <c r="H743" t="s">
        <v>152</v>
      </c>
      <c r="I743" t="s">
        <v>156</v>
      </c>
      <c r="J743" t="s">
        <v>26</v>
      </c>
      <c r="K743" t="s">
        <v>157</v>
      </c>
      <c r="L743" t="s">
        <v>150</v>
      </c>
      <c r="M743" t="s">
        <v>144</v>
      </c>
      <c r="N743" t="s">
        <v>2218</v>
      </c>
      <c r="O743">
        <v>1</v>
      </c>
      <c r="P743" t="s">
        <v>160</v>
      </c>
      <c r="R743">
        <v>787</v>
      </c>
      <c r="S743">
        <v>786</v>
      </c>
      <c r="T743" t="s">
        <v>145</v>
      </c>
      <c r="U743" t="s">
        <v>2259</v>
      </c>
      <c r="V743" t="s">
        <v>27</v>
      </c>
      <c r="W743" t="s">
        <v>66</v>
      </c>
      <c r="X743" t="s">
        <v>67</v>
      </c>
      <c r="Y743" t="s">
        <v>138</v>
      </c>
      <c r="AA743" t="s">
        <v>494</v>
      </c>
      <c r="AC743" t="s">
        <v>139</v>
      </c>
      <c r="AD743" t="s">
        <v>2268</v>
      </c>
      <c r="AG743" t="s">
        <v>156</v>
      </c>
      <c r="AH743" t="s">
        <v>68</v>
      </c>
      <c r="AI743" t="s">
        <v>493</v>
      </c>
      <c r="AK743" t="s">
        <v>2219</v>
      </c>
    </row>
    <row r="744" spans="1:37" customFormat="1">
      <c r="A744" t="s">
        <v>23</v>
      </c>
      <c r="B744" t="s">
        <v>24</v>
      </c>
      <c r="C744" t="s">
        <v>1379</v>
      </c>
      <c r="D744" t="s">
        <v>135</v>
      </c>
      <c r="E744" t="s">
        <v>2201</v>
      </c>
      <c r="F744" t="s">
        <v>931</v>
      </c>
      <c r="G744" t="s">
        <v>136</v>
      </c>
      <c r="H744" t="s">
        <v>152</v>
      </c>
      <c r="I744" t="s">
        <v>156</v>
      </c>
      <c r="J744" t="s">
        <v>26</v>
      </c>
      <c r="K744" t="s">
        <v>157</v>
      </c>
      <c r="L744" t="s">
        <v>150</v>
      </c>
      <c r="M744" t="s">
        <v>144</v>
      </c>
      <c r="N744" t="s">
        <v>2220</v>
      </c>
      <c r="O744">
        <v>1</v>
      </c>
      <c r="P744" t="s">
        <v>160</v>
      </c>
      <c r="R744">
        <v>790</v>
      </c>
      <c r="S744">
        <v>786</v>
      </c>
      <c r="T744" t="s">
        <v>145</v>
      </c>
      <c r="U744" t="s">
        <v>2259</v>
      </c>
      <c r="V744" t="s">
        <v>27</v>
      </c>
      <c r="W744" t="s">
        <v>66</v>
      </c>
      <c r="X744" t="s">
        <v>67</v>
      </c>
      <c r="Y744" t="s">
        <v>138</v>
      </c>
      <c r="AA744" t="s">
        <v>494</v>
      </c>
      <c r="AC744" t="s">
        <v>139</v>
      </c>
      <c r="AD744" t="s">
        <v>2269</v>
      </c>
      <c r="AG744" t="s">
        <v>156</v>
      </c>
      <c r="AH744" t="s">
        <v>68</v>
      </c>
      <c r="AI744" t="s">
        <v>493</v>
      </c>
      <c r="AK744" t="s">
        <v>2221</v>
      </c>
    </row>
    <row r="745" spans="1:37" customFormat="1">
      <c r="A745" t="s">
        <v>23</v>
      </c>
      <c r="B745" t="s">
        <v>24</v>
      </c>
      <c r="C745" t="s">
        <v>1379</v>
      </c>
      <c r="D745" t="s">
        <v>135</v>
      </c>
      <c r="E745" t="s">
        <v>2201</v>
      </c>
      <c r="F745" t="s">
        <v>931</v>
      </c>
      <c r="G745" t="s">
        <v>136</v>
      </c>
      <c r="H745" t="s">
        <v>152</v>
      </c>
      <c r="I745" t="s">
        <v>156</v>
      </c>
      <c r="J745" t="s">
        <v>26</v>
      </c>
      <c r="K745" t="s">
        <v>157</v>
      </c>
      <c r="L745" t="s">
        <v>150</v>
      </c>
      <c r="M745" t="s">
        <v>144</v>
      </c>
      <c r="N745" t="s">
        <v>2222</v>
      </c>
      <c r="O745">
        <v>1</v>
      </c>
      <c r="P745" t="s">
        <v>160</v>
      </c>
      <c r="R745">
        <v>790</v>
      </c>
      <c r="S745">
        <v>786</v>
      </c>
      <c r="T745" t="s">
        <v>145</v>
      </c>
      <c r="U745" t="s">
        <v>2259</v>
      </c>
      <c r="V745" t="s">
        <v>27</v>
      </c>
      <c r="W745" t="s">
        <v>66</v>
      </c>
      <c r="X745" t="s">
        <v>67</v>
      </c>
      <c r="Y745" t="s">
        <v>138</v>
      </c>
      <c r="AA745" t="s">
        <v>494</v>
      </c>
      <c r="AC745" t="s">
        <v>139</v>
      </c>
      <c r="AD745" t="s">
        <v>2270</v>
      </c>
      <c r="AG745" t="s">
        <v>156</v>
      </c>
      <c r="AH745" t="s">
        <v>68</v>
      </c>
      <c r="AI745" t="s">
        <v>493</v>
      </c>
      <c r="AK745" t="s">
        <v>2223</v>
      </c>
    </row>
    <row r="746" spans="1:37" customFormat="1">
      <c r="A746" t="s">
        <v>23</v>
      </c>
      <c r="B746" t="s">
        <v>24</v>
      </c>
      <c r="C746" t="s">
        <v>1379</v>
      </c>
      <c r="D746" t="s">
        <v>135</v>
      </c>
      <c r="E746" t="s">
        <v>2201</v>
      </c>
      <c r="F746" t="s">
        <v>931</v>
      </c>
      <c r="G746" t="s">
        <v>136</v>
      </c>
      <c r="H746" t="s">
        <v>152</v>
      </c>
      <c r="I746" t="s">
        <v>156</v>
      </c>
      <c r="J746" t="s">
        <v>26</v>
      </c>
      <c r="K746" t="s">
        <v>157</v>
      </c>
      <c r="L746" t="s">
        <v>150</v>
      </c>
      <c r="M746" t="s">
        <v>144</v>
      </c>
      <c r="N746" t="s">
        <v>2224</v>
      </c>
      <c r="O746">
        <v>1</v>
      </c>
      <c r="P746" t="s">
        <v>160</v>
      </c>
      <c r="R746">
        <v>791</v>
      </c>
      <c r="S746">
        <v>786</v>
      </c>
      <c r="T746" t="s">
        <v>145</v>
      </c>
      <c r="U746" t="s">
        <v>2259</v>
      </c>
      <c r="V746" t="s">
        <v>27</v>
      </c>
      <c r="W746" t="s">
        <v>66</v>
      </c>
      <c r="X746" t="s">
        <v>67</v>
      </c>
      <c r="Y746" t="s">
        <v>138</v>
      </c>
      <c r="AA746" t="s">
        <v>494</v>
      </c>
      <c r="AC746" t="s">
        <v>139</v>
      </c>
      <c r="AD746" t="s">
        <v>2271</v>
      </c>
      <c r="AG746" t="s">
        <v>156</v>
      </c>
      <c r="AH746" t="s">
        <v>68</v>
      </c>
      <c r="AI746" t="s">
        <v>493</v>
      </c>
      <c r="AK746" t="s">
        <v>2225</v>
      </c>
    </row>
    <row r="747" spans="1:37" customFormat="1">
      <c r="A747" t="s">
        <v>23</v>
      </c>
      <c r="B747" t="s">
        <v>24</v>
      </c>
      <c r="C747" t="s">
        <v>1379</v>
      </c>
      <c r="D747" t="s">
        <v>135</v>
      </c>
      <c r="E747" t="s">
        <v>2201</v>
      </c>
      <c r="F747" t="s">
        <v>931</v>
      </c>
      <c r="G747" t="s">
        <v>136</v>
      </c>
      <c r="H747" t="s">
        <v>152</v>
      </c>
      <c r="I747" t="s">
        <v>156</v>
      </c>
      <c r="J747" t="s">
        <v>26</v>
      </c>
      <c r="K747" t="s">
        <v>157</v>
      </c>
      <c r="L747" t="s">
        <v>150</v>
      </c>
      <c r="M747" t="s">
        <v>144</v>
      </c>
      <c r="N747" t="s">
        <v>2226</v>
      </c>
      <c r="O747">
        <v>1</v>
      </c>
      <c r="P747" t="s">
        <v>160</v>
      </c>
      <c r="R747">
        <v>791</v>
      </c>
      <c r="S747">
        <v>786</v>
      </c>
      <c r="T747" t="s">
        <v>145</v>
      </c>
      <c r="U747" t="s">
        <v>2259</v>
      </c>
      <c r="V747" t="s">
        <v>27</v>
      </c>
      <c r="W747" t="s">
        <v>66</v>
      </c>
      <c r="X747" t="s">
        <v>67</v>
      </c>
      <c r="Y747" t="s">
        <v>138</v>
      </c>
      <c r="AA747" t="s">
        <v>494</v>
      </c>
      <c r="AC747" t="s">
        <v>139</v>
      </c>
      <c r="AD747" t="s">
        <v>2272</v>
      </c>
      <c r="AG747" t="s">
        <v>156</v>
      </c>
      <c r="AH747" t="s">
        <v>68</v>
      </c>
      <c r="AI747" t="s">
        <v>493</v>
      </c>
      <c r="AK747" t="s">
        <v>2227</v>
      </c>
    </row>
    <row r="748" spans="1:37" customFormat="1">
      <c r="A748" t="s">
        <v>23</v>
      </c>
      <c r="B748" t="s">
        <v>24</v>
      </c>
      <c r="C748" t="s">
        <v>1379</v>
      </c>
      <c r="D748" t="s">
        <v>135</v>
      </c>
      <c r="E748" t="s">
        <v>2201</v>
      </c>
      <c r="F748" t="s">
        <v>931</v>
      </c>
      <c r="G748" t="s">
        <v>136</v>
      </c>
      <c r="H748" t="s">
        <v>152</v>
      </c>
      <c r="I748" t="s">
        <v>156</v>
      </c>
      <c r="J748" t="s">
        <v>26</v>
      </c>
      <c r="K748" t="s">
        <v>157</v>
      </c>
      <c r="L748" t="s">
        <v>150</v>
      </c>
      <c r="M748" t="s">
        <v>144</v>
      </c>
      <c r="N748" t="s">
        <v>2273</v>
      </c>
      <c r="O748">
        <v>1</v>
      </c>
      <c r="P748" t="s">
        <v>160</v>
      </c>
      <c r="R748">
        <v>793</v>
      </c>
      <c r="S748">
        <v>786</v>
      </c>
      <c r="T748" t="s">
        <v>145</v>
      </c>
      <c r="U748" t="s">
        <v>2259</v>
      </c>
      <c r="V748" t="s">
        <v>27</v>
      </c>
      <c r="W748" t="s">
        <v>66</v>
      </c>
      <c r="X748" t="s">
        <v>67</v>
      </c>
      <c r="Y748" t="s">
        <v>138</v>
      </c>
      <c r="AA748" t="s">
        <v>494</v>
      </c>
      <c r="AC748" t="s">
        <v>139</v>
      </c>
      <c r="AD748" t="s">
        <v>2274</v>
      </c>
      <c r="AG748" t="s">
        <v>156</v>
      </c>
      <c r="AH748" t="s">
        <v>68</v>
      </c>
      <c r="AI748" t="s">
        <v>493</v>
      </c>
      <c r="AK748" t="s">
        <v>2275</v>
      </c>
    </row>
    <row r="749" spans="1:37" customFormat="1">
      <c r="A749" t="s">
        <v>23</v>
      </c>
      <c r="B749" t="s">
        <v>24</v>
      </c>
      <c r="C749" t="s">
        <v>174</v>
      </c>
      <c r="D749" t="s">
        <v>135</v>
      </c>
      <c r="E749" t="s">
        <v>2229</v>
      </c>
      <c r="F749" t="s">
        <v>931</v>
      </c>
      <c r="G749" t="s">
        <v>136</v>
      </c>
      <c r="H749" t="s">
        <v>152</v>
      </c>
      <c r="I749" t="s">
        <v>156</v>
      </c>
      <c r="J749" t="s">
        <v>25</v>
      </c>
      <c r="K749" t="s">
        <v>157</v>
      </c>
      <c r="L749" t="s">
        <v>150</v>
      </c>
      <c r="M749" t="s">
        <v>144</v>
      </c>
      <c r="N749" t="s">
        <v>2276</v>
      </c>
      <c r="O749">
        <v>29</v>
      </c>
      <c r="P749" t="s">
        <v>159</v>
      </c>
      <c r="R749">
        <v>603</v>
      </c>
      <c r="S749">
        <v>569.85</v>
      </c>
      <c r="T749" t="s">
        <v>145</v>
      </c>
      <c r="U749" t="s">
        <v>185</v>
      </c>
      <c r="V749" t="s">
        <v>27</v>
      </c>
      <c r="W749" t="s">
        <v>66</v>
      </c>
      <c r="X749" t="s">
        <v>67</v>
      </c>
      <c r="Y749" t="s">
        <v>138</v>
      </c>
      <c r="AA749" t="s">
        <v>494</v>
      </c>
      <c r="AC749" t="s">
        <v>139</v>
      </c>
      <c r="AD749" t="s">
        <v>2277</v>
      </c>
      <c r="AG749" t="s">
        <v>156</v>
      </c>
      <c r="AH749" t="s">
        <v>68</v>
      </c>
      <c r="AI749" t="s">
        <v>493</v>
      </c>
    </row>
    <row r="750" spans="1:37" customFormat="1">
      <c r="A750" t="s">
        <v>23</v>
      </c>
      <c r="B750" t="s">
        <v>24</v>
      </c>
      <c r="C750" t="s">
        <v>175</v>
      </c>
      <c r="D750" t="s">
        <v>135</v>
      </c>
      <c r="E750" t="s">
        <v>2278</v>
      </c>
      <c r="F750" t="s">
        <v>931</v>
      </c>
      <c r="G750" t="s">
        <v>136</v>
      </c>
      <c r="H750" t="s">
        <v>142</v>
      </c>
      <c r="I750" t="s">
        <v>156</v>
      </c>
      <c r="J750" t="s">
        <v>26</v>
      </c>
      <c r="K750" t="s">
        <v>157</v>
      </c>
      <c r="L750" t="s">
        <v>143</v>
      </c>
      <c r="M750" t="s">
        <v>144</v>
      </c>
      <c r="N750" t="s">
        <v>2279</v>
      </c>
      <c r="O750">
        <v>1</v>
      </c>
      <c r="P750" t="s">
        <v>160</v>
      </c>
      <c r="R750">
        <v>714</v>
      </c>
      <c r="S750">
        <v>711.2</v>
      </c>
      <c r="T750" t="s">
        <v>145</v>
      </c>
      <c r="U750" t="s">
        <v>2422</v>
      </c>
      <c r="V750" t="s">
        <v>27</v>
      </c>
      <c r="W750" t="s">
        <v>66</v>
      </c>
      <c r="X750" t="s">
        <v>67</v>
      </c>
      <c r="Y750" t="s">
        <v>138</v>
      </c>
      <c r="AA750" t="s">
        <v>494</v>
      </c>
      <c r="AC750" t="s">
        <v>139</v>
      </c>
      <c r="AD750" t="s">
        <v>2423</v>
      </c>
      <c r="AG750" t="s">
        <v>156</v>
      </c>
      <c r="AH750" t="s">
        <v>68</v>
      </c>
      <c r="AI750" t="s">
        <v>493</v>
      </c>
      <c r="AK750" t="s">
        <v>2280</v>
      </c>
    </row>
    <row r="751" spans="1:37" customFormat="1">
      <c r="A751" t="s">
        <v>23</v>
      </c>
      <c r="B751" t="s">
        <v>24</v>
      </c>
      <c r="C751" t="s">
        <v>175</v>
      </c>
      <c r="D751" t="s">
        <v>135</v>
      </c>
      <c r="E751" t="s">
        <v>2278</v>
      </c>
      <c r="F751" t="s">
        <v>931</v>
      </c>
      <c r="G751" t="s">
        <v>136</v>
      </c>
      <c r="H751" t="s">
        <v>142</v>
      </c>
      <c r="I751" t="s">
        <v>156</v>
      </c>
      <c r="J751" t="s">
        <v>26</v>
      </c>
      <c r="K751" t="s">
        <v>157</v>
      </c>
      <c r="L751" t="s">
        <v>143</v>
      </c>
      <c r="M751" t="s">
        <v>144</v>
      </c>
      <c r="N751" t="s">
        <v>2281</v>
      </c>
      <c r="O751">
        <v>1</v>
      </c>
      <c r="P751" t="s">
        <v>160</v>
      </c>
      <c r="R751">
        <v>715</v>
      </c>
      <c r="S751">
        <v>711.2</v>
      </c>
      <c r="T751" t="s">
        <v>145</v>
      </c>
      <c r="U751" t="s">
        <v>2422</v>
      </c>
      <c r="V751" t="s">
        <v>27</v>
      </c>
      <c r="W751" t="s">
        <v>66</v>
      </c>
      <c r="X751" t="s">
        <v>67</v>
      </c>
      <c r="Y751" t="s">
        <v>138</v>
      </c>
      <c r="AA751" t="s">
        <v>494</v>
      </c>
      <c r="AC751" t="s">
        <v>139</v>
      </c>
      <c r="AD751" t="s">
        <v>2424</v>
      </c>
      <c r="AG751" t="s">
        <v>156</v>
      </c>
      <c r="AH751" t="s">
        <v>68</v>
      </c>
      <c r="AI751" t="s">
        <v>493</v>
      </c>
      <c r="AK751" t="s">
        <v>2282</v>
      </c>
    </row>
    <row r="752" spans="1:37" customFormat="1">
      <c r="A752" t="s">
        <v>23</v>
      </c>
      <c r="B752" t="s">
        <v>24</v>
      </c>
      <c r="C752" t="s">
        <v>175</v>
      </c>
      <c r="D752" t="s">
        <v>135</v>
      </c>
      <c r="E752" t="s">
        <v>2278</v>
      </c>
      <c r="F752" t="s">
        <v>931</v>
      </c>
      <c r="G752" t="s">
        <v>136</v>
      </c>
      <c r="H752" t="s">
        <v>142</v>
      </c>
      <c r="I752" t="s">
        <v>156</v>
      </c>
      <c r="J752" t="s">
        <v>26</v>
      </c>
      <c r="K752" t="s">
        <v>157</v>
      </c>
      <c r="L752" t="s">
        <v>143</v>
      </c>
      <c r="M752" t="s">
        <v>144</v>
      </c>
      <c r="N752" t="s">
        <v>2283</v>
      </c>
      <c r="O752">
        <v>1</v>
      </c>
      <c r="P752" t="s">
        <v>160</v>
      </c>
      <c r="R752">
        <v>715.5</v>
      </c>
      <c r="S752">
        <v>711.2</v>
      </c>
      <c r="T752" t="s">
        <v>145</v>
      </c>
      <c r="U752" t="s">
        <v>2422</v>
      </c>
      <c r="V752" t="s">
        <v>27</v>
      </c>
      <c r="W752" t="s">
        <v>66</v>
      </c>
      <c r="X752" t="s">
        <v>67</v>
      </c>
      <c r="Y752" t="s">
        <v>138</v>
      </c>
      <c r="AA752" t="s">
        <v>494</v>
      </c>
      <c r="AC752" t="s">
        <v>139</v>
      </c>
      <c r="AD752" t="s">
        <v>2425</v>
      </c>
      <c r="AG752" t="s">
        <v>156</v>
      </c>
      <c r="AH752" t="s">
        <v>68</v>
      </c>
      <c r="AI752" t="s">
        <v>493</v>
      </c>
      <c r="AK752" t="s">
        <v>2284</v>
      </c>
    </row>
    <row r="753" spans="1:37" customFormat="1">
      <c r="A753" t="s">
        <v>23</v>
      </c>
      <c r="B753" t="s">
        <v>24</v>
      </c>
      <c r="C753" t="s">
        <v>175</v>
      </c>
      <c r="D753" t="s">
        <v>135</v>
      </c>
      <c r="E753" t="s">
        <v>2278</v>
      </c>
      <c r="F753" t="s">
        <v>931</v>
      </c>
      <c r="G753" t="s">
        <v>136</v>
      </c>
      <c r="H753" t="s">
        <v>142</v>
      </c>
      <c r="I753" t="s">
        <v>156</v>
      </c>
      <c r="J753" t="s">
        <v>26</v>
      </c>
      <c r="K753" t="s">
        <v>157</v>
      </c>
      <c r="L753" t="s">
        <v>143</v>
      </c>
      <c r="M753" t="s">
        <v>144</v>
      </c>
      <c r="N753" t="s">
        <v>2285</v>
      </c>
      <c r="O753">
        <v>1</v>
      </c>
      <c r="P753" t="s">
        <v>160</v>
      </c>
      <c r="R753">
        <v>716</v>
      </c>
      <c r="S753">
        <v>711.2</v>
      </c>
      <c r="T753" t="s">
        <v>145</v>
      </c>
      <c r="U753" t="s">
        <v>2422</v>
      </c>
      <c r="V753" t="s">
        <v>27</v>
      </c>
      <c r="W753" t="s">
        <v>66</v>
      </c>
      <c r="X753" t="s">
        <v>67</v>
      </c>
      <c r="Y753" t="s">
        <v>138</v>
      </c>
      <c r="AA753" t="s">
        <v>494</v>
      </c>
      <c r="AC753" t="s">
        <v>139</v>
      </c>
      <c r="AD753" t="s">
        <v>2426</v>
      </c>
      <c r="AG753" t="s">
        <v>156</v>
      </c>
      <c r="AH753" t="s">
        <v>68</v>
      </c>
      <c r="AI753" t="s">
        <v>493</v>
      </c>
      <c r="AK753" t="s">
        <v>2286</v>
      </c>
    </row>
    <row r="754" spans="1:37" customFormat="1">
      <c r="A754" t="s">
        <v>23</v>
      </c>
      <c r="B754" t="s">
        <v>24</v>
      </c>
      <c r="C754" t="s">
        <v>175</v>
      </c>
      <c r="D754" t="s">
        <v>135</v>
      </c>
      <c r="E754" t="s">
        <v>2278</v>
      </c>
      <c r="F754" t="s">
        <v>931</v>
      </c>
      <c r="G754" t="s">
        <v>136</v>
      </c>
      <c r="H754" t="s">
        <v>142</v>
      </c>
      <c r="I754" t="s">
        <v>156</v>
      </c>
      <c r="J754" t="s">
        <v>26</v>
      </c>
      <c r="K754" t="s">
        <v>157</v>
      </c>
      <c r="L754" t="s">
        <v>143</v>
      </c>
      <c r="M754" t="s">
        <v>144</v>
      </c>
      <c r="N754" t="s">
        <v>2287</v>
      </c>
      <c r="O754">
        <v>1</v>
      </c>
      <c r="P754" t="s">
        <v>160</v>
      </c>
      <c r="R754">
        <v>717</v>
      </c>
      <c r="S754">
        <v>711.2</v>
      </c>
      <c r="T754" t="s">
        <v>145</v>
      </c>
      <c r="U754" t="s">
        <v>2422</v>
      </c>
      <c r="V754" t="s">
        <v>27</v>
      </c>
      <c r="W754" t="s">
        <v>66</v>
      </c>
      <c r="X754" t="s">
        <v>67</v>
      </c>
      <c r="Y754" t="s">
        <v>138</v>
      </c>
      <c r="AA754" t="s">
        <v>494</v>
      </c>
      <c r="AC754" t="s">
        <v>139</v>
      </c>
      <c r="AD754" t="s">
        <v>2427</v>
      </c>
      <c r="AG754" t="s">
        <v>156</v>
      </c>
      <c r="AH754" t="s">
        <v>68</v>
      </c>
      <c r="AI754" t="s">
        <v>493</v>
      </c>
      <c r="AK754" t="s">
        <v>2288</v>
      </c>
    </row>
    <row r="755" spans="1:37" customFormat="1">
      <c r="A755" t="s">
        <v>23</v>
      </c>
      <c r="B755" t="s">
        <v>24</v>
      </c>
      <c r="C755" t="s">
        <v>175</v>
      </c>
      <c r="D755" t="s">
        <v>135</v>
      </c>
      <c r="E755" t="s">
        <v>2278</v>
      </c>
      <c r="F755" t="s">
        <v>931</v>
      </c>
      <c r="G755" t="s">
        <v>136</v>
      </c>
      <c r="H755" t="s">
        <v>142</v>
      </c>
      <c r="I755" t="s">
        <v>156</v>
      </c>
      <c r="J755" t="s">
        <v>26</v>
      </c>
      <c r="K755" t="s">
        <v>157</v>
      </c>
      <c r="L755" t="s">
        <v>143</v>
      </c>
      <c r="M755" t="s">
        <v>144</v>
      </c>
      <c r="N755" t="s">
        <v>2289</v>
      </c>
      <c r="O755">
        <v>1</v>
      </c>
      <c r="P755" t="s">
        <v>160</v>
      </c>
      <c r="R755">
        <v>716</v>
      </c>
      <c r="S755">
        <v>711.2</v>
      </c>
      <c r="T755" t="s">
        <v>145</v>
      </c>
      <c r="U755" t="s">
        <v>2422</v>
      </c>
      <c r="V755" t="s">
        <v>27</v>
      </c>
      <c r="W755" t="s">
        <v>66</v>
      </c>
      <c r="X755" t="s">
        <v>67</v>
      </c>
      <c r="Y755" t="s">
        <v>138</v>
      </c>
      <c r="AA755" t="s">
        <v>494</v>
      </c>
      <c r="AC755" t="s">
        <v>139</v>
      </c>
      <c r="AD755" t="s">
        <v>2428</v>
      </c>
      <c r="AG755" t="s">
        <v>156</v>
      </c>
      <c r="AH755" t="s">
        <v>68</v>
      </c>
      <c r="AI755" t="s">
        <v>493</v>
      </c>
      <c r="AK755" t="s">
        <v>2290</v>
      </c>
    </row>
    <row r="756" spans="1:37" customFormat="1">
      <c r="A756" t="s">
        <v>23</v>
      </c>
      <c r="B756" t="s">
        <v>24</v>
      </c>
      <c r="C756" t="s">
        <v>175</v>
      </c>
      <c r="D756" t="s">
        <v>135</v>
      </c>
      <c r="E756" t="s">
        <v>2278</v>
      </c>
      <c r="F756" t="s">
        <v>931</v>
      </c>
      <c r="G756" t="s">
        <v>136</v>
      </c>
      <c r="H756" t="s">
        <v>142</v>
      </c>
      <c r="I756" t="s">
        <v>156</v>
      </c>
      <c r="J756" t="s">
        <v>26</v>
      </c>
      <c r="K756" t="s">
        <v>157</v>
      </c>
      <c r="L756" t="s">
        <v>143</v>
      </c>
      <c r="M756" t="s">
        <v>144</v>
      </c>
      <c r="N756" t="s">
        <v>2291</v>
      </c>
      <c r="O756">
        <v>1</v>
      </c>
      <c r="P756" t="s">
        <v>160</v>
      </c>
      <c r="R756">
        <v>718</v>
      </c>
      <c r="S756">
        <v>711.2</v>
      </c>
      <c r="T756" t="s">
        <v>145</v>
      </c>
      <c r="U756" t="s">
        <v>2422</v>
      </c>
      <c r="V756" t="s">
        <v>27</v>
      </c>
      <c r="W756" t="s">
        <v>66</v>
      </c>
      <c r="X756" t="s">
        <v>67</v>
      </c>
      <c r="Y756" t="s">
        <v>138</v>
      </c>
      <c r="AA756" t="s">
        <v>494</v>
      </c>
      <c r="AC756" t="s">
        <v>139</v>
      </c>
      <c r="AD756" t="s">
        <v>2429</v>
      </c>
      <c r="AG756" t="s">
        <v>156</v>
      </c>
      <c r="AH756" t="s">
        <v>68</v>
      </c>
      <c r="AI756" t="s">
        <v>493</v>
      </c>
      <c r="AK756" t="s">
        <v>2292</v>
      </c>
    </row>
    <row r="757" spans="1:37" customFormat="1">
      <c r="A757" t="s">
        <v>23</v>
      </c>
      <c r="B757" t="s">
        <v>24</v>
      </c>
      <c r="C757" t="s">
        <v>175</v>
      </c>
      <c r="D757" t="s">
        <v>135</v>
      </c>
      <c r="E757" t="s">
        <v>2278</v>
      </c>
      <c r="F757" t="s">
        <v>931</v>
      </c>
      <c r="G757" t="s">
        <v>136</v>
      </c>
      <c r="H757" t="s">
        <v>142</v>
      </c>
      <c r="I757" t="s">
        <v>156</v>
      </c>
      <c r="J757" t="s">
        <v>26</v>
      </c>
      <c r="K757" t="s">
        <v>157</v>
      </c>
      <c r="L757" t="s">
        <v>143</v>
      </c>
      <c r="M757" t="s">
        <v>144</v>
      </c>
      <c r="N757" t="s">
        <v>2293</v>
      </c>
      <c r="O757">
        <v>1</v>
      </c>
      <c r="P757" t="s">
        <v>160</v>
      </c>
      <c r="R757">
        <v>716</v>
      </c>
      <c r="S757">
        <v>711.2</v>
      </c>
      <c r="T757" t="s">
        <v>145</v>
      </c>
      <c r="U757" t="s">
        <v>2422</v>
      </c>
      <c r="V757" t="s">
        <v>27</v>
      </c>
      <c r="W757" t="s">
        <v>66</v>
      </c>
      <c r="X757" t="s">
        <v>67</v>
      </c>
      <c r="Y757" t="s">
        <v>138</v>
      </c>
      <c r="AA757" t="s">
        <v>494</v>
      </c>
      <c r="AC757" t="s">
        <v>139</v>
      </c>
      <c r="AD757" t="s">
        <v>2430</v>
      </c>
      <c r="AG757" t="s">
        <v>156</v>
      </c>
      <c r="AH757" t="s">
        <v>68</v>
      </c>
      <c r="AI757" t="s">
        <v>493</v>
      </c>
      <c r="AK757" t="s">
        <v>2294</v>
      </c>
    </row>
    <row r="758" spans="1:37" customFormat="1">
      <c r="A758" t="s">
        <v>23</v>
      </c>
      <c r="B758" t="s">
        <v>24</v>
      </c>
      <c r="C758" t="s">
        <v>175</v>
      </c>
      <c r="D758" t="s">
        <v>135</v>
      </c>
      <c r="E758" t="s">
        <v>2278</v>
      </c>
      <c r="F758" t="s">
        <v>931</v>
      </c>
      <c r="G758" t="s">
        <v>136</v>
      </c>
      <c r="H758" t="s">
        <v>142</v>
      </c>
      <c r="I758" t="s">
        <v>156</v>
      </c>
      <c r="J758" t="s">
        <v>26</v>
      </c>
      <c r="K758" t="s">
        <v>157</v>
      </c>
      <c r="L758" t="s">
        <v>143</v>
      </c>
      <c r="M758" t="s">
        <v>144</v>
      </c>
      <c r="N758" t="s">
        <v>2295</v>
      </c>
      <c r="O758">
        <v>1</v>
      </c>
      <c r="P758" t="s">
        <v>160</v>
      </c>
      <c r="R758">
        <v>713</v>
      </c>
      <c r="S758">
        <v>711.2</v>
      </c>
      <c r="T758" t="s">
        <v>145</v>
      </c>
      <c r="U758" t="s">
        <v>2422</v>
      </c>
      <c r="V758" t="s">
        <v>27</v>
      </c>
      <c r="W758" t="s">
        <v>66</v>
      </c>
      <c r="X758" t="s">
        <v>67</v>
      </c>
      <c r="Y758" t="s">
        <v>138</v>
      </c>
      <c r="AA758" t="s">
        <v>494</v>
      </c>
      <c r="AC758" t="s">
        <v>139</v>
      </c>
      <c r="AD758" t="s">
        <v>2431</v>
      </c>
      <c r="AG758" t="s">
        <v>156</v>
      </c>
      <c r="AH758" t="s">
        <v>68</v>
      </c>
      <c r="AI758" t="s">
        <v>493</v>
      </c>
      <c r="AK758" t="s">
        <v>2296</v>
      </c>
    </row>
    <row r="759" spans="1:37" customFormat="1">
      <c r="A759" t="s">
        <v>23</v>
      </c>
      <c r="B759" t="s">
        <v>24</v>
      </c>
      <c r="C759" t="s">
        <v>175</v>
      </c>
      <c r="D759" t="s">
        <v>135</v>
      </c>
      <c r="E759" t="s">
        <v>2278</v>
      </c>
      <c r="F759" t="s">
        <v>931</v>
      </c>
      <c r="G759" t="s">
        <v>136</v>
      </c>
      <c r="H759" t="s">
        <v>142</v>
      </c>
      <c r="I759" t="s">
        <v>156</v>
      </c>
      <c r="J759" t="s">
        <v>26</v>
      </c>
      <c r="K759" t="s">
        <v>157</v>
      </c>
      <c r="L759" t="s">
        <v>143</v>
      </c>
      <c r="M759" t="s">
        <v>144</v>
      </c>
      <c r="N759" t="s">
        <v>2297</v>
      </c>
      <c r="O759">
        <v>1</v>
      </c>
      <c r="P759" t="s">
        <v>160</v>
      </c>
      <c r="R759">
        <v>715</v>
      </c>
      <c r="S759">
        <v>711.2</v>
      </c>
      <c r="T759" t="s">
        <v>145</v>
      </c>
      <c r="U759" t="s">
        <v>2422</v>
      </c>
      <c r="V759" t="s">
        <v>27</v>
      </c>
      <c r="W759" t="s">
        <v>66</v>
      </c>
      <c r="X759" t="s">
        <v>67</v>
      </c>
      <c r="Y759" t="s">
        <v>138</v>
      </c>
      <c r="AA759" t="s">
        <v>494</v>
      </c>
      <c r="AC759" t="s">
        <v>139</v>
      </c>
      <c r="AD759" t="s">
        <v>2432</v>
      </c>
      <c r="AG759" t="s">
        <v>156</v>
      </c>
      <c r="AH759" t="s">
        <v>68</v>
      </c>
      <c r="AI759" t="s">
        <v>493</v>
      </c>
      <c r="AK759" t="s">
        <v>2298</v>
      </c>
    </row>
    <row r="760" spans="1:37" customFormat="1">
      <c r="A760" t="s">
        <v>23</v>
      </c>
      <c r="B760" t="s">
        <v>24</v>
      </c>
      <c r="C760" t="s">
        <v>175</v>
      </c>
      <c r="D760" t="s">
        <v>135</v>
      </c>
      <c r="E760" t="s">
        <v>2278</v>
      </c>
      <c r="F760" t="s">
        <v>931</v>
      </c>
      <c r="G760" t="s">
        <v>136</v>
      </c>
      <c r="H760" t="s">
        <v>142</v>
      </c>
      <c r="I760" t="s">
        <v>156</v>
      </c>
      <c r="J760" t="s">
        <v>26</v>
      </c>
      <c r="K760" t="s">
        <v>157</v>
      </c>
      <c r="L760" t="s">
        <v>143</v>
      </c>
      <c r="M760" t="s">
        <v>144</v>
      </c>
      <c r="N760" t="s">
        <v>2299</v>
      </c>
      <c r="O760">
        <v>1</v>
      </c>
      <c r="P760" t="s">
        <v>160</v>
      </c>
      <c r="R760">
        <v>717</v>
      </c>
      <c r="S760">
        <v>711.2</v>
      </c>
      <c r="T760" t="s">
        <v>145</v>
      </c>
      <c r="U760" t="s">
        <v>2422</v>
      </c>
      <c r="V760" t="s">
        <v>27</v>
      </c>
      <c r="W760" t="s">
        <v>66</v>
      </c>
      <c r="X760" t="s">
        <v>67</v>
      </c>
      <c r="Y760" t="s">
        <v>138</v>
      </c>
      <c r="AA760" t="s">
        <v>494</v>
      </c>
      <c r="AC760" t="s">
        <v>139</v>
      </c>
      <c r="AD760" t="s">
        <v>2433</v>
      </c>
      <c r="AG760" t="s">
        <v>156</v>
      </c>
      <c r="AH760" t="s">
        <v>68</v>
      </c>
      <c r="AI760" t="s">
        <v>493</v>
      </c>
      <c r="AK760" t="s">
        <v>2300</v>
      </c>
    </row>
    <row r="761" spans="1:37" customFormat="1">
      <c r="A761" t="s">
        <v>23</v>
      </c>
      <c r="B761" t="s">
        <v>24</v>
      </c>
      <c r="C761" t="s">
        <v>175</v>
      </c>
      <c r="D761" t="s">
        <v>135</v>
      </c>
      <c r="E761" t="s">
        <v>2278</v>
      </c>
      <c r="F761" t="s">
        <v>931</v>
      </c>
      <c r="G761" t="s">
        <v>136</v>
      </c>
      <c r="H761" t="s">
        <v>142</v>
      </c>
      <c r="I761" t="s">
        <v>156</v>
      </c>
      <c r="J761" t="s">
        <v>26</v>
      </c>
      <c r="K761" t="s">
        <v>157</v>
      </c>
      <c r="L761" t="s">
        <v>143</v>
      </c>
      <c r="M761" t="s">
        <v>144</v>
      </c>
      <c r="N761" t="s">
        <v>2301</v>
      </c>
      <c r="O761">
        <v>1</v>
      </c>
      <c r="P761" t="s">
        <v>160</v>
      </c>
      <c r="R761">
        <v>714</v>
      </c>
      <c r="S761">
        <v>711.2</v>
      </c>
      <c r="T761" t="s">
        <v>145</v>
      </c>
      <c r="U761" t="s">
        <v>2422</v>
      </c>
      <c r="V761" t="s">
        <v>27</v>
      </c>
      <c r="W761" t="s">
        <v>66</v>
      </c>
      <c r="X761" t="s">
        <v>67</v>
      </c>
      <c r="Y761" t="s">
        <v>138</v>
      </c>
      <c r="AA761" t="s">
        <v>494</v>
      </c>
      <c r="AC761" t="s">
        <v>139</v>
      </c>
      <c r="AD761" t="s">
        <v>2434</v>
      </c>
      <c r="AG761" t="s">
        <v>156</v>
      </c>
      <c r="AH761" t="s">
        <v>68</v>
      </c>
      <c r="AI761" t="s">
        <v>493</v>
      </c>
      <c r="AK761" t="s">
        <v>2302</v>
      </c>
    </row>
    <row r="762" spans="1:37" customFormat="1">
      <c r="A762" t="s">
        <v>23</v>
      </c>
      <c r="B762" t="s">
        <v>24</v>
      </c>
      <c r="C762" t="s">
        <v>175</v>
      </c>
      <c r="D762" t="s">
        <v>135</v>
      </c>
      <c r="E762" t="s">
        <v>2278</v>
      </c>
      <c r="F762" t="s">
        <v>931</v>
      </c>
      <c r="G762" t="s">
        <v>136</v>
      </c>
      <c r="H762" t="s">
        <v>142</v>
      </c>
      <c r="I762" t="s">
        <v>156</v>
      </c>
      <c r="J762" t="s">
        <v>26</v>
      </c>
      <c r="K762" t="s">
        <v>157</v>
      </c>
      <c r="L762" t="s">
        <v>143</v>
      </c>
      <c r="M762" t="s">
        <v>144</v>
      </c>
      <c r="N762" t="s">
        <v>2303</v>
      </c>
      <c r="O762">
        <v>1</v>
      </c>
      <c r="P762" t="s">
        <v>160</v>
      </c>
      <c r="R762">
        <v>715</v>
      </c>
      <c r="S762">
        <v>711.2</v>
      </c>
      <c r="T762" t="s">
        <v>145</v>
      </c>
      <c r="U762" t="s">
        <v>2422</v>
      </c>
      <c r="V762" t="s">
        <v>27</v>
      </c>
      <c r="W762" t="s">
        <v>66</v>
      </c>
      <c r="X762" t="s">
        <v>67</v>
      </c>
      <c r="Y762" t="s">
        <v>138</v>
      </c>
      <c r="AA762" t="s">
        <v>494</v>
      </c>
      <c r="AC762" t="s">
        <v>139</v>
      </c>
      <c r="AD762" t="s">
        <v>2435</v>
      </c>
      <c r="AG762" t="s">
        <v>156</v>
      </c>
      <c r="AH762" t="s">
        <v>68</v>
      </c>
      <c r="AI762" t="s">
        <v>493</v>
      </c>
      <c r="AK762" t="s">
        <v>2304</v>
      </c>
    </row>
    <row r="763" spans="1:37" customFormat="1">
      <c r="A763" t="s">
        <v>23</v>
      </c>
      <c r="B763" t="s">
        <v>24</v>
      </c>
      <c r="C763" t="s">
        <v>175</v>
      </c>
      <c r="D763" t="s">
        <v>135</v>
      </c>
      <c r="E763" t="s">
        <v>2278</v>
      </c>
      <c r="F763" t="s">
        <v>931</v>
      </c>
      <c r="G763" t="s">
        <v>136</v>
      </c>
      <c r="H763" t="s">
        <v>142</v>
      </c>
      <c r="I763" t="s">
        <v>156</v>
      </c>
      <c r="J763" t="s">
        <v>26</v>
      </c>
      <c r="K763" t="s">
        <v>157</v>
      </c>
      <c r="L763" t="s">
        <v>143</v>
      </c>
      <c r="M763" t="s">
        <v>144</v>
      </c>
      <c r="N763" t="s">
        <v>2305</v>
      </c>
      <c r="O763">
        <v>1</v>
      </c>
      <c r="P763" t="s">
        <v>160</v>
      </c>
      <c r="R763">
        <v>715</v>
      </c>
      <c r="S763">
        <v>711.2</v>
      </c>
      <c r="T763" t="s">
        <v>145</v>
      </c>
      <c r="U763" t="s">
        <v>2422</v>
      </c>
      <c r="V763" t="s">
        <v>27</v>
      </c>
      <c r="W763" t="s">
        <v>66</v>
      </c>
      <c r="X763" t="s">
        <v>67</v>
      </c>
      <c r="Y763" t="s">
        <v>138</v>
      </c>
      <c r="AA763" t="s">
        <v>494</v>
      </c>
      <c r="AC763" t="s">
        <v>139</v>
      </c>
      <c r="AD763" t="s">
        <v>2436</v>
      </c>
      <c r="AG763" t="s">
        <v>156</v>
      </c>
      <c r="AH763" t="s">
        <v>68</v>
      </c>
      <c r="AI763" t="s">
        <v>493</v>
      </c>
      <c r="AK763" t="s">
        <v>2306</v>
      </c>
    </row>
    <row r="764" spans="1:37" customFormat="1">
      <c r="A764" t="s">
        <v>23</v>
      </c>
      <c r="B764" t="s">
        <v>24</v>
      </c>
      <c r="C764" t="s">
        <v>929</v>
      </c>
      <c r="D764" t="s">
        <v>135</v>
      </c>
      <c r="E764" t="s">
        <v>1905</v>
      </c>
      <c r="F764" t="s">
        <v>1906</v>
      </c>
      <c r="G764" t="s">
        <v>136</v>
      </c>
      <c r="H764" t="s">
        <v>493</v>
      </c>
      <c r="I764" t="s">
        <v>932</v>
      </c>
      <c r="J764" t="s">
        <v>933</v>
      </c>
      <c r="K764" t="s">
        <v>65</v>
      </c>
      <c r="L764" t="s">
        <v>1450</v>
      </c>
      <c r="M764" t="s">
        <v>137</v>
      </c>
      <c r="N764" t="s">
        <v>2307</v>
      </c>
      <c r="O764">
        <v>1045</v>
      </c>
      <c r="P764" t="s">
        <v>35</v>
      </c>
      <c r="R764">
        <v>1048</v>
      </c>
      <c r="S764">
        <v>1045</v>
      </c>
      <c r="T764" t="s">
        <v>493</v>
      </c>
      <c r="U764" t="s">
        <v>493</v>
      </c>
      <c r="V764" t="s">
        <v>27</v>
      </c>
      <c r="W764" t="s">
        <v>66</v>
      </c>
      <c r="X764" t="s">
        <v>67</v>
      </c>
      <c r="Y764" t="s">
        <v>138</v>
      </c>
      <c r="AA764" t="s">
        <v>494</v>
      </c>
      <c r="AC764" t="s">
        <v>139</v>
      </c>
      <c r="AD764" t="s">
        <v>2437</v>
      </c>
      <c r="AG764" t="s">
        <v>493</v>
      </c>
      <c r="AH764" t="s">
        <v>68</v>
      </c>
      <c r="AI764" t="s">
        <v>493</v>
      </c>
    </row>
    <row r="765" spans="1:37" customFormat="1">
      <c r="A765" t="s">
        <v>23</v>
      </c>
      <c r="B765" t="s">
        <v>24</v>
      </c>
      <c r="C765" t="s">
        <v>929</v>
      </c>
      <c r="D765" t="s">
        <v>135</v>
      </c>
      <c r="E765" t="s">
        <v>1905</v>
      </c>
      <c r="F765" t="s">
        <v>1906</v>
      </c>
      <c r="G765" t="s">
        <v>136</v>
      </c>
      <c r="H765" t="s">
        <v>493</v>
      </c>
      <c r="I765" t="s">
        <v>932</v>
      </c>
      <c r="J765" t="s">
        <v>933</v>
      </c>
      <c r="K765" t="s">
        <v>65</v>
      </c>
      <c r="L765" t="s">
        <v>1450</v>
      </c>
      <c r="M765" t="s">
        <v>137</v>
      </c>
      <c r="N765" t="s">
        <v>2309</v>
      </c>
      <c r="O765">
        <v>1049</v>
      </c>
      <c r="P765" t="s">
        <v>35</v>
      </c>
      <c r="R765">
        <v>1052</v>
      </c>
      <c r="S765">
        <v>1049</v>
      </c>
      <c r="T765" t="s">
        <v>493</v>
      </c>
      <c r="U765" t="s">
        <v>493</v>
      </c>
      <c r="V765" t="s">
        <v>27</v>
      </c>
      <c r="W765" t="s">
        <v>66</v>
      </c>
      <c r="X765" t="s">
        <v>67</v>
      </c>
      <c r="Y765" t="s">
        <v>138</v>
      </c>
      <c r="AA765" t="s">
        <v>494</v>
      </c>
      <c r="AC765" t="s">
        <v>139</v>
      </c>
      <c r="AD765" t="s">
        <v>2438</v>
      </c>
      <c r="AG765" t="s">
        <v>493</v>
      </c>
      <c r="AH765" t="s">
        <v>68</v>
      </c>
      <c r="AI765" t="s">
        <v>493</v>
      </c>
    </row>
    <row r="766" spans="1:37" customFormat="1">
      <c r="A766" t="s">
        <v>23</v>
      </c>
      <c r="B766" t="s">
        <v>24</v>
      </c>
      <c r="C766" t="s">
        <v>929</v>
      </c>
      <c r="D766" t="s">
        <v>135</v>
      </c>
      <c r="E766" t="s">
        <v>1905</v>
      </c>
      <c r="F766" t="s">
        <v>1906</v>
      </c>
      <c r="G766" t="s">
        <v>136</v>
      </c>
      <c r="H766" t="s">
        <v>493</v>
      </c>
      <c r="I766" t="s">
        <v>932</v>
      </c>
      <c r="J766" t="s">
        <v>933</v>
      </c>
      <c r="K766" t="s">
        <v>65</v>
      </c>
      <c r="L766" t="s">
        <v>1450</v>
      </c>
      <c r="M766" t="s">
        <v>137</v>
      </c>
      <c r="N766" t="s">
        <v>2310</v>
      </c>
      <c r="O766">
        <v>1069</v>
      </c>
      <c r="P766" t="s">
        <v>35</v>
      </c>
      <c r="R766">
        <v>1072</v>
      </c>
      <c r="S766">
        <v>1069</v>
      </c>
      <c r="T766" t="s">
        <v>493</v>
      </c>
      <c r="U766" t="s">
        <v>493</v>
      </c>
      <c r="V766" t="s">
        <v>27</v>
      </c>
      <c r="W766" t="s">
        <v>66</v>
      </c>
      <c r="X766" t="s">
        <v>67</v>
      </c>
      <c r="Y766" t="s">
        <v>138</v>
      </c>
      <c r="AA766" t="s">
        <v>494</v>
      </c>
      <c r="AC766" t="s">
        <v>139</v>
      </c>
      <c r="AD766" t="s">
        <v>2439</v>
      </c>
      <c r="AG766" t="s">
        <v>493</v>
      </c>
      <c r="AH766" t="s">
        <v>68</v>
      </c>
      <c r="AI766" t="s">
        <v>493</v>
      </c>
    </row>
    <row r="767" spans="1:37" customFormat="1">
      <c r="A767" t="s">
        <v>23</v>
      </c>
      <c r="B767" t="s">
        <v>24</v>
      </c>
      <c r="C767" t="s">
        <v>929</v>
      </c>
      <c r="D767" t="s">
        <v>135</v>
      </c>
      <c r="E767" t="s">
        <v>1905</v>
      </c>
      <c r="F767" t="s">
        <v>1906</v>
      </c>
      <c r="G767" t="s">
        <v>136</v>
      </c>
      <c r="H767" t="s">
        <v>493</v>
      </c>
      <c r="I767" t="s">
        <v>932</v>
      </c>
      <c r="J767" t="s">
        <v>933</v>
      </c>
      <c r="K767" t="s">
        <v>65</v>
      </c>
      <c r="L767" t="s">
        <v>1450</v>
      </c>
      <c r="M767" t="s">
        <v>137</v>
      </c>
      <c r="N767" t="s">
        <v>2311</v>
      </c>
      <c r="O767">
        <v>197</v>
      </c>
      <c r="P767" t="s">
        <v>35</v>
      </c>
      <c r="R767">
        <v>200</v>
      </c>
      <c r="S767">
        <v>197</v>
      </c>
      <c r="T767" t="s">
        <v>493</v>
      </c>
      <c r="U767" t="s">
        <v>493</v>
      </c>
      <c r="V767" t="s">
        <v>27</v>
      </c>
      <c r="W767" t="s">
        <v>66</v>
      </c>
      <c r="X767" t="s">
        <v>67</v>
      </c>
      <c r="Y767" t="s">
        <v>138</v>
      </c>
      <c r="AA767" t="s">
        <v>494</v>
      </c>
      <c r="AC767" t="s">
        <v>139</v>
      </c>
      <c r="AD767" t="s">
        <v>2440</v>
      </c>
      <c r="AG767" t="s">
        <v>493</v>
      </c>
      <c r="AH767" t="s">
        <v>68</v>
      </c>
      <c r="AI767" t="s">
        <v>493</v>
      </c>
    </row>
    <row r="768" spans="1:37" customFormat="1">
      <c r="A768" t="s">
        <v>23</v>
      </c>
      <c r="B768" t="s">
        <v>24</v>
      </c>
      <c r="C768" t="s">
        <v>929</v>
      </c>
      <c r="D768" t="s">
        <v>135</v>
      </c>
      <c r="E768" t="s">
        <v>1905</v>
      </c>
      <c r="F768" t="s">
        <v>1906</v>
      </c>
      <c r="G768" t="s">
        <v>136</v>
      </c>
      <c r="H768" t="s">
        <v>493</v>
      </c>
      <c r="I768" t="s">
        <v>932</v>
      </c>
      <c r="J768" t="s">
        <v>933</v>
      </c>
      <c r="K768" t="s">
        <v>65</v>
      </c>
      <c r="L768" t="s">
        <v>1450</v>
      </c>
      <c r="M768" t="s">
        <v>137</v>
      </c>
      <c r="N768" t="s">
        <v>2312</v>
      </c>
      <c r="O768">
        <v>1045</v>
      </c>
      <c r="P768" t="s">
        <v>35</v>
      </c>
      <c r="R768">
        <v>1048</v>
      </c>
      <c r="S768">
        <v>1045</v>
      </c>
      <c r="T768" t="s">
        <v>493</v>
      </c>
      <c r="U768" t="s">
        <v>493</v>
      </c>
      <c r="V768" t="s">
        <v>27</v>
      </c>
      <c r="W768" t="s">
        <v>66</v>
      </c>
      <c r="X768" t="s">
        <v>67</v>
      </c>
      <c r="Y768" t="s">
        <v>138</v>
      </c>
      <c r="AA768" t="s">
        <v>494</v>
      </c>
      <c r="AC768" t="s">
        <v>139</v>
      </c>
      <c r="AD768" t="s">
        <v>2441</v>
      </c>
      <c r="AG768" t="s">
        <v>493</v>
      </c>
      <c r="AH768" t="s">
        <v>68</v>
      </c>
      <c r="AI768" t="s">
        <v>493</v>
      </c>
    </row>
    <row r="769" spans="1:35" customFormat="1">
      <c r="A769" t="s">
        <v>23</v>
      </c>
      <c r="B769" t="s">
        <v>24</v>
      </c>
      <c r="C769" t="s">
        <v>929</v>
      </c>
      <c r="D769" t="s">
        <v>135</v>
      </c>
      <c r="E769" t="s">
        <v>1905</v>
      </c>
      <c r="F769" t="s">
        <v>1906</v>
      </c>
      <c r="G769" t="s">
        <v>136</v>
      </c>
      <c r="H769" t="s">
        <v>493</v>
      </c>
      <c r="I769" t="s">
        <v>932</v>
      </c>
      <c r="J769" t="s">
        <v>933</v>
      </c>
      <c r="K769" t="s">
        <v>65</v>
      </c>
      <c r="L769" t="s">
        <v>1450</v>
      </c>
      <c r="M769" t="s">
        <v>137</v>
      </c>
      <c r="N769" t="s">
        <v>2313</v>
      </c>
      <c r="O769">
        <v>1049</v>
      </c>
      <c r="P769" t="s">
        <v>35</v>
      </c>
      <c r="R769">
        <v>1052</v>
      </c>
      <c r="S769">
        <v>1049</v>
      </c>
      <c r="T769" t="s">
        <v>493</v>
      </c>
      <c r="U769" t="s">
        <v>493</v>
      </c>
      <c r="V769" t="s">
        <v>27</v>
      </c>
      <c r="W769" t="s">
        <v>66</v>
      </c>
      <c r="X769" t="s">
        <v>67</v>
      </c>
      <c r="Y769" t="s">
        <v>138</v>
      </c>
      <c r="AA769" t="s">
        <v>494</v>
      </c>
      <c r="AC769" t="s">
        <v>139</v>
      </c>
      <c r="AD769" t="s">
        <v>2442</v>
      </c>
      <c r="AG769" t="s">
        <v>493</v>
      </c>
      <c r="AH769" t="s">
        <v>68</v>
      </c>
      <c r="AI769" t="s">
        <v>493</v>
      </c>
    </row>
    <row r="770" spans="1:35" customFormat="1">
      <c r="A770" t="s">
        <v>23</v>
      </c>
      <c r="B770" t="s">
        <v>24</v>
      </c>
      <c r="C770" t="s">
        <v>929</v>
      </c>
      <c r="D770" t="s">
        <v>135</v>
      </c>
      <c r="E770" t="s">
        <v>1905</v>
      </c>
      <c r="F770" t="s">
        <v>1906</v>
      </c>
      <c r="G770" t="s">
        <v>136</v>
      </c>
      <c r="H770" t="s">
        <v>493</v>
      </c>
      <c r="I770" t="s">
        <v>932</v>
      </c>
      <c r="J770" t="s">
        <v>933</v>
      </c>
      <c r="K770" t="s">
        <v>65</v>
      </c>
      <c r="L770" t="s">
        <v>1450</v>
      </c>
      <c r="M770" t="s">
        <v>137</v>
      </c>
      <c r="N770" t="s">
        <v>2314</v>
      </c>
      <c r="O770">
        <v>1201</v>
      </c>
      <c r="P770" t="s">
        <v>35</v>
      </c>
      <c r="R770">
        <v>1204</v>
      </c>
      <c r="S770">
        <v>1201</v>
      </c>
      <c r="T770" t="s">
        <v>493</v>
      </c>
      <c r="U770" t="s">
        <v>493</v>
      </c>
      <c r="V770" t="s">
        <v>27</v>
      </c>
      <c r="W770" t="s">
        <v>66</v>
      </c>
      <c r="X770" t="s">
        <v>67</v>
      </c>
      <c r="Y770" t="s">
        <v>138</v>
      </c>
      <c r="AA770" t="s">
        <v>494</v>
      </c>
      <c r="AC770" t="s">
        <v>139</v>
      </c>
      <c r="AD770" t="s">
        <v>2443</v>
      </c>
      <c r="AG770" t="s">
        <v>493</v>
      </c>
      <c r="AH770" t="s">
        <v>68</v>
      </c>
      <c r="AI770" t="s">
        <v>493</v>
      </c>
    </row>
    <row r="771" spans="1:35" customFormat="1">
      <c r="A771" t="s">
        <v>23</v>
      </c>
      <c r="B771" t="s">
        <v>24</v>
      </c>
      <c r="C771" t="s">
        <v>929</v>
      </c>
      <c r="D771" t="s">
        <v>135</v>
      </c>
      <c r="E771" t="s">
        <v>1905</v>
      </c>
      <c r="F771" t="s">
        <v>1906</v>
      </c>
      <c r="G771" t="s">
        <v>136</v>
      </c>
      <c r="H771" t="s">
        <v>493</v>
      </c>
      <c r="I771" t="s">
        <v>932</v>
      </c>
      <c r="J771" t="s">
        <v>933</v>
      </c>
      <c r="K771" t="s">
        <v>65</v>
      </c>
      <c r="L771" t="s">
        <v>1450</v>
      </c>
      <c r="M771" t="s">
        <v>137</v>
      </c>
      <c r="N771" t="s">
        <v>2315</v>
      </c>
      <c r="O771">
        <v>1200</v>
      </c>
      <c r="P771" t="s">
        <v>35</v>
      </c>
      <c r="R771">
        <v>1203</v>
      </c>
      <c r="S771">
        <v>1200</v>
      </c>
      <c r="T771" t="s">
        <v>493</v>
      </c>
      <c r="U771" t="s">
        <v>493</v>
      </c>
      <c r="V771" t="s">
        <v>27</v>
      </c>
      <c r="W771" t="s">
        <v>66</v>
      </c>
      <c r="X771" t="s">
        <v>67</v>
      </c>
      <c r="Y771" t="s">
        <v>138</v>
      </c>
      <c r="AA771" t="s">
        <v>494</v>
      </c>
      <c r="AC771" t="s">
        <v>139</v>
      </c>
      <c r="AD771" t="s">
        <v>2444</v>
      </c>
      <c r="AG771" t="s">
        <v>493</v>
      </c>
      <c r="AH771" t="s">
        <v>68</v>
      </c>
      <c r="AI771" t="s">
        <v>493</v>
      </c>
    </row>
    <row r="772" spans="1:35" customFormat="1">
      <c r="A772" t="s">
        <v>23</v>
      </c>
      <c r="B772" t="s">
        <v>24</v>
      </c>
      <c r="C772" t="s">
        <v>929</v>
      </c>
      <c r="D772" t="s">
        <v>135</v>
      </c>
      <c r="E772" t="s">
        <v>1905</v>
      </c>
      <c r="F772" t="s">
        <v>1906</v>
      </c>
      <c r="G772" t="s">
        <v>136</v>
      </c>
      <c r="H772" t="s">
        <v>493</v>
      </c>
      <c r="I772" t="s">
        <v>932</v>
      </c>
      <c r="J772" t="s">
        <v>933</v>
      </c>
      <c r="K772" t="s">
        <v>65</v>
      </c>
      <c r="L772" t="s">
        <v>1450</v>
      </c>
      <c r="M772" t="s">
        <v>137</v>
      </c>
      <c r="N772" t="s">
        <v>2316</v>
      </c>
      <c r="O772">
        <v>1200</v>
      </c>
      <c r="P772" t="s">
        <v>35</v>
      </c>
      <c r="R772">
        <v>1203</v>
      </c>
      <c r="S772">
        <v>1200</v>
      </c>
      <c r="T772" t="s">
        <v>493</v>
      </c>
      <c r="U772" t="s">
        <v>493</v>
      </c>
      <c r="V772" t="s">
        <v>27</v>
      </c>
      <c r="W772" t="s">
        <v>66</v>
      </c>
      <c r="X772" t="s">
        <v>67</v>
      </c>
      <c r="Y772" t="s">
        <v>138</v>
      </c>
      <c r="AA772" t="s">
        <v>494</v>
      </c>
      <c r="AC772" t="s">
        <v>139</v>
      </c>
      <c r="AD772" t="s">
        <v>2445</v>
      </c>
      <c r="AG772" t="s">
        <v>493</v>
      </c>
      <c r="AH772" t="s">
        <v>68</v>
      </c>
      <c r="AI772" t="s">
        <v>493</v>
      </c>
    </row>
    <row r="773" spans="1:35" customFormat="1">
      <c r="A773" t="s">
        <v>23</v>
      </c>
      <c r="B773" t="s">
        <v>24</v>
      </c>
      <c r="C773" t="s">
        <v>929</v>
      </c>
      <c r="D773" t="s">
        <v>135</v>
      </c>
      <c r="E773" t="s">
        <v>1905</v>
      </c>
      <c r="F773" t="s">
        <v>1906</v>
      </c>
      <c r="G773" t="s">
        <v>136</v>
      </c>
      <c r="H773" t="s">
        <v>493</v>
      </c>
      <c r="I773" t="s">
        <v>932</v>
      </c>
      <c r="J773" t="s">
        <v>933</v>
      </c>
      <c r="K773" t="s">
        <v>65</v>
      </c>
      <c r="L773" t="s">
        <v>1450</v>
      </c>
      <c r="M773" t="s">
        <v>137</v>
      </c>
      <c r="N773" t="s">
        <v>2317</v>
      </c>
      <c r="O773">
        <v>1199</v>
      </c>
      <c r="P773" t="s">
        <v>35</v>
      </c>
      <c r="R773">
        <v>1202</v>
      </c>
      <c r="S773">
        <v>1199</v>
      </c>
      <c r="T773" t="s">
        <v>493</v>
      </c>
      <c r="U773" t="s">
        <v>493</v>
      </c>
      <c r="V773" t="s">
        <v>27</v>
      </c>
      <c r="W773" t="s">
        <v>66</v>
      </c>
      <c r="X773" t="s">
        <v>67</v>
      </c>
      <c r="Y773" t="s">
        <v>138</v>
      </c>
      <c r="AA773" t="s">
        <v>494</v>
      </c>
      <c r="AC773" t="s">
        <v>139</v>
      </c>
      <c r="AD773" t="s">
        <v>2446</v>
      </c>
      <c r="AG773" t="s">
        <v>493</v>
      </c>
      <c r="AH773" t="s">
        <v>68</v>
      </c>
      <c r="AI773" t="s">
        <v>493</v>
      </c>
    </row>
    <row r="774" spans="1:35" customFormat="1">
      <c r="A774" t="s">
        <v>23</v>
      </c>
      <c r="B774" t="s">
        <v>24</v>
      </c>
      <c r="C774" t="s">
        <v>929</v>
      </c>
      <c r="D774" t="s">
        <v>135</v>
      </c>
      <c r="E774" t="s">
        <v>1905</v>
      </c>
      <c r="F774" t="s">
        <v>1906</v>
      </c>
      <c r="G774" t="s">
        <v>136</v>
      </c>
      <c r="H774" t="s">
        <v>493</v>
      </c>
      <c r="I774" t="s">
        <v>932</v>
      </c>
      <c r="J774" t="s">
        <v>933</v>
      </c>
      <c r="K774" t="s">
        <v>65</v>
      </c>
      <c r="L774" t="s">
        <v>1450</v>
      </c>
      <c r="M774" t="s">
        <v>137</v>
      </c>
      <c r="N774" t="s">
        <v>2318</v>
      </c>
      <c r="O774">
        <v>1200</v>
      </c>
      <c r="P774" t="s">
        <v>35</v>
      </c>
      <c r="R774">
        <v>1203</v>
      </c>
      <c r="S774">
        <v>1200</v>
      </c>
      <c r="T774" t="s">
        <v>493</v>
      </c>
      <c r="U774" t="s">
        <v>493</v>
      </c>
      <c r="V774" t="s">
        <v>27</v>
      </c>
      <c r="W774" t="s">
        <v>66</v>
      </c>
      <c r="X774" t="s">
        <v>67</v>
      </c>
      <c r="Y774" t="s">
        <v>138</v>
      </c>
      <c r="AA774" t="s">
        <v>494</v>
      </c>
      <c r="AC774" t="s">
        <v>139</v>
      </c>
      <c r="AD774" t="s">
        <v>2447</v>
      </c>
      <c r="AG774" t="s">
        <v>493</v>
      </c>
      <c r="AH774" t="s">
        <v>68</v>
      </c>
      <c r="AI774" t="s">
        <v>493</v>
      </c>
    </row>
    <row r="775" spans="1:35" customFormat="1">
      <c r="A775" t="s">
        <v>23</v>
      </c>
      <c r="B775" t="s">
        <v>24</v>
      </c>
      <c r="C775" t="s">
        <v>929</v>
      </c>
      <c r="D775" t="s">
        <v>135</v>
      </c>
      <c r="E775" t="s">
        <v>1905</v>
      </c>
      <c r="F775" t="s">
        <v>1906</v>
      </c>
      <c r="G775" t="s">
        <v>136</v>
      </c>
      <c r="H775" t="s">
        <v>493</v>
      </c>
      <c r="I775" t="s">
        <v>932</v>
      </c>
      <c r="J775" t="s">
        <v>933</v>
      </c>
      <c r="K775" t="s">
        <v>65</v>
      </c>
      <c r="L775" t="s">
        <v>1450</v>
      </c>
      <c r="M775" t="s">
        <v>137</v>
      </c>
      <c r="N775" t="s">
        <v>2319</v>
      </c>
      <c r="O775">
        <v>1199</v>
      </c>
      <c r="P775" t="s">
        <v>35</v>
      </c>
      <c r="R775">
        <v>1202</v>
      </c>
      <c r="S775">
        <v>1199</v>
      </c>
      <c r="T775" t="s">
        <v>493</v>
      </c>
      <c r="U775" t="s">
        <v>493</v>
      </c>
      <c r="V775" t="s">
        <v>27</v>
      </c>
      <c r="W775" t="s">
        <v>66</v>
      </c>
      <c r="X775" t="s">
        <v>67</v>
      </c>
      <c r="Y775" t="s">
        <v>138</v>
      </c>
      <c r="AA775" t="s">
        <v>494</v>
      </c>
      <c r="AC775" t="s">
        <v>139</v>
      </c>
      <c r="AD775" t="s">
        <v>2448</v>
      </c>
      <c r="AG775" t="s">
        <v>493</v>
      </c>
      <c r="AH775" t="s">
        <v>68</v>
      </c>
      <c r="AI775" t="s">
        <v>493</v>
      </c>
    </row>
    <row r="776" spans="1:35" customFormat="1">
      <c r="A776" t="s">
        <v>23</v>
      </c>
      <c r="B776" t="s">
        <v>24</v>
      </c>
      <c r="C776" t="s">
        <v>929</v>
      </c>
      <c r="D776" t="s">
        <v>135</v>
      </c>
      <c r="E776" t="s">
        <v>1905</v>
      </c>
      <c r="F776" t="s">
        <v>1906</v>
      </c>
      <c r="G776" t="s">
        <v>136</v>
      </c>
      <c r="H776" t="s">
        <v>493</v>
      </c>
      <c r="I776" t="s">
        <v>932</v>
      </c>
      <c r="J776" t="s">
        <v>933</v>
      </c>
      <c r="K776" t="s">
        <v>65</v>
      </c>
      <c r="L776" t="s">
        <v>1450</v>
      </c>
      <c r="M776" t="s">
        <v>137</v>
      </c>
      <c r="N776" t="s">
        <v>2320</v>
      </c>
      <c r="O776">
        <v>1198</v>
      </c>
      <c r="P776" t="s">
        <v>35</v>
      </c>
      <c r="R776">
        <v>1201</v>
      </c>
      <c r="S776">
        <v>1198</v>
      </c>
      <c r="T776" t="s">
        <v>493</v>
      </c>
      <c r="U776" t="s">
        <v>493</v>
      </c>
      <c r="V776" t="s">
        <v>27</v>
      </c>
      <c r="W776" t="s">
        <v>66</v>
      </c>
      <c r="X776" t="s">
        <v>67</v>
      </c>
      <c r="Y776" t="s">
        <v>138</v>
      </c>
      <c r="AA776" t="s">
        <v>494</v>
      </c>
      <c r="AC776" t="s">
        <v>139</v>
      </c>
      <c r="AD776" t="s">
        <v>2449</v>
      </c>
      <c r="AG776" t="s">
        <v>493</v>
      </c>
      <c r="AH776" t="s">
        <v>68</v>
      </c>
      <c r="AI776" t="s">
        <v>493</v>
      </c>
    </row>
    <row r="777" spans="1:35" customFormat="1">
      <c r="A777" t="s">
        <v>23</v>
      </c>
      <c r="B777" t="s">
        <v>24</v>
      </c>
      <c r="C777" t="s">
        <v>929</v>
      </c>
      <c r="D777" t="s">
        <v>135</v>
      </c>
      <c r="E777" t="s">
        <v>1905</v>
      </c>
      <c r="F777" t="s">
        <v>1906</v>
      </c>
      <c r="G777" t="s">
        <v>136</v>
      </c>
      <c r="H777" t="s">
        <v>493</v>
      </c>
      <c r="I777" t="s">
        <v>932</v>
      </c>
      <c r="J777" t="s">
        <v>933</v>
      </c>
      <c r="K777" t="s">
        <v>65</v>
      </c>
      <c r="L777" t="s">
        <v>1450</v>
      </c>
      <c r="M777" t="s">
        <v>137</v>
      </c>
      <c r="N777" t="s">
        <v>2321</v>
      </c>
      <c r="O777">
        <v>1198</v>
      </c>
      <c r="P777" t="s">
        <v>35</v>
      </c>
      <c r="R777">
        <v>1201</v>
      </c>
      <c r="S777">
        <v>1198</v>
      </c>
      <c r="T777" t="s">
        <v>493</v>
      </c>
      <c r="U777" t="s">
        <v>493</v>
      </c>
      <c r="V777" t="s">
        <v>27</v>
      </c>
      <c r="W777" t="s">
        <v>66</v>
      </c>
      <c r="X777" t="s">
        <v>67</v>
      </c>
      <c r="Y777" t="s">
        <v>138</v>
      </c>
      <c r="AA777" t="s">
        <v>494</v>
      </c>
      <c r="AC777" t="s">
        <v>139</v>
      </c>
      <c r="AD777" t="s">
        <v>2450</v>
      </c>
      <c r="AG777" t="s">
        <v>493</v>
      </c>
      <c r="AH777" t="s">
        <v>68</v>
      </c>
      <c r="AI777" t="s">
        <v>493</v>
      </c>
    </row>
    <row r="778" spans="1:35" customFormat="1">
      <c r="A778" t="s">
        <v>23</v>
      </c>
      <c r="B778" t="s">
        <v>24</v>
      </c>
      <c r="C778" t="s">
        <v>929</v>
      </c>
      <c r="D778" t="s">
        <v>135</v>
      </c>
      <c r="E778" t="s">
        <v>1905</v>
      </c>
      <c r="F778" t="s">
        <v>1906</v>
      </c>
      <c r="G778" t="s">
        <v>136</v>
      </c>
      <c r="H778" t="s">
        <v>493</v>
      </c>
      <c r="I778" t="s">
        <v>932</v>
      </c>
      <c r="J778" t="s">
        <v>933</v>
      </c>
      <c r="K778" t="s">
        <v>65</v>
      </c>
      <c r="L778" t="s">
        <v>1450</v>
      </c>
      <c r="M778" t="s">
        <v>137</v>
      </c>
      <c r="N778" t="s">
        <v>2322</v>
      </c>
      <c r="O778">
        <v>1199</v>
      </c>
      <c r="P778" t="s">
        <v>35</v>
      </c>
      <c r="R778">
        <v>1202</v>
      </c>
      <c r="S778">
        <v>1199</v>
      </c>
      <c r="T778" t="s">
        <v>493</v>
      </c>
      <c r="U778" t="s">
        <v>493</v>
      </c>
      <c r="V778" t="s">
        <v>27</v>
      </c>
      <c r="W778" t="s">
        <v>66</v>
      </c>
      <c r="X778" t="s">
        <v>67</v>
      </c>
      <c r="Y778" t="s">
        <v>138</v>
      </c>
      <c r="AA778" t="s">
        <v>494</v>
      </c>
      <c r="AC778" t="s">
        <v>139</v>
      </c>
      <c r="AD778" t="s">
        <v>2451</v>
      </c>
      <c r="AG778" t="s">
        <v>493</v>
      </c>
      <c r="AH778" t="s">
        <v>68</v>
      </c>
      <c r="AI778" t="s">
        <v>493</v>
      </c>
    </row>
    <row r="779" spans="1:35" customFormat="1">
      <c r="A779" t="s">
        <v>23</v>
      </c>
      <c r="B779" t="s">
        <v>24</v>
      </c>
      <c r="C779" t="s">
        <v>929</v>
      </c>
      <c r="D779" t="s">
        <v>135</v>
      </c>
      <c r="E779" t="s">
        <v>1905</v>
      </c>
      <c r="F779" t="s">
        <v>1906</v>
      </c>
      <c r="G779" t="s">
        <v>136</v>
      </c>
      <c r="H779" t="s">
        <v>493</v>
      </c>
      <c r="I779" t="s">
        <v>932</v>
      </c>
      <c r="J779" t="s">
        <v>933</v>
      </c>
      <c r="K779" t="s">
        <v>65</v>
      </c>
      <c r="L779" t="s">
        <v>1450</v>
      </c>
      <c r="M779" t="s">
        <v>137</v>
      </c>
      <c r="N779" t="s">
        <v>2323</v>
      </c>
      <c r="O779">
        <v>1198</v>
      </c>
      <c r="P779" t="s">
        <v>35</v>
      </c>
      <c r="R779">
        <v>1201</v>
      </c>
      <c r="S779">
        <v>1198</v>
      </c>
      <c r="T779" t="s">
        <v>493</v>
      </c>
      <c r="U779" t="s">
        <v>493</v>
      </c>
      <c r="V779" t="s">
        <v>27</v>
      </c>
      <c r="W779" t="s">
        <v>66</v>
      </c>
      <c r="X779" t="s">
        <v>67</v>
      </c>
      <c r="Y779" t="s">
        <v>138</v>
      </c>
      <c r="AA779" t="s">
        <v>494</v>
      </c>
      <c r="AC779" t="s">
        <v>139</v>
      </c>
      <c r="AD779" t="s">
        <v>2452</v>
      </c>
      <c r="AG779" t="s">
        <v>493</v>
      </c>
      <c r="AH779" t="s">
        <v>68</v>
      </c>
      <c r="AI779" t="s">
        <v>493</v>
      </c>
    </row>
    <row r="780" spans="1:35" customFormat="1">
      <c r="A780" t="s">
        <v>23</v>
      </c>
      <c r="B780" t="s">
        <v>24</v>
      </c>
      <c r="C780" t="s">
        <v>929</v>
      </c>
      <c r="D780" t="s">
        <v>135</v>
      </c>
      <c r="E780" t="s">
        <v>1905</v>
      </c>
      <c r="F780" t="s">
        <v>1906</v>
      </c>
      <c r="G780" t="s">
        <v>136</v>
      </c>
      <c r="H780" t="s">
        <v>493</v>
      </c>
      <c r="I780" t="s">
        <v>932</v>
      </c>
      <c r="J780" t="s">
        <v>933</v>
      </c>
      <c r="K780" t="s">
        <v>65</v>
      </c>
      <c r="L780" t="s">
        <v>1450</v>
      </c>
      <c r="M780" t="s">
        <v>137</v>
      </c>
      <c r="N780" t="s">
        <v>2324</v>
      </c>
      <c r="O780">
        <v>1197</v>
      </c>
      <c r="P780" t="s">
        <v>35</v>
      </c>
      <c r="R780">
        <v>1200</v>
      </c>
      <c r="S780">
        <v>1197</v>
      </c>
      <c r="T780" t="s">
        <v>493</v>
      </c>
      <c r="U780" t="s">
        <v>493</v>
      </c>
      <c r="V780" t="s">
        <v>27</v>
      </c>
      <c r="W780" t="s">
        <v>66</v>
      </c>
      <c r="X780" t="s">
        <v>67</v>
      </c>
      <c r="Y780" t="s">
        <v>138</v>
      </c>
      <c r="AA780" t="s">
        <v>494</v>
      </c>
      <c r="AC780" t="s">
        <v>139</v>
      </c>
      <c r="AD780" t="s">
        <v>2453</v>
      </c>
      <c r="AG780" t="s">
        <v>493</v>
      </c>
      <c r="AH780" t="s">
        <v>68</v>
      </c>
      <c r="AI780" t="s">
        <v>493</v>
      </c>
    </row>
    <row r="781" spans="1:35" customFormat="1">
      <c r="A781" t="s">
        <v>23</v>
      </c>
      <c r="B781" t="s">
        <v>24</v>
      </c>
      <c r="C781" t="s">
        <v>929</v>
      </c>
      <c r="D781" t="s">
        <v>135</v>
      </c>
      <c r="E781" t="s">
        <v>1905</v>
      </c>
      <c r="F781" t="s">
        <v>1906</v>
      </c>
      <c r="G781" t="s">
        <v>136</v>
      </c>
      <c r="H781" t="s">
        <v>493</v>
      </c>
      <c r="I781" t="s">
        <v>932</v>
      </c>
      <c r="J781" t="s">
        <v>933</v>
      </c>
      <c r="K781" t="s">
        <v>65</v>
      </c>
      <c r="L781" t="s">
        <v>1450</v>
      </c>
      <c r="M781" t="s">
        <v>137</v>
      </c>
      <c r="N781" t="s">
        <v>2325</v>
      </c>
      <c r="O781">
        <v>1202</v>
      </c>
      <c r="P781" t="s">
        <v>35</v>
      </c>
      <c r="R781">
        <v>1205</v>
      </c>
      <c r="S781">
        <v>1202</v>
      </c>
      <c r="T781" t="s">
        <v>493</v>
      </c>
      <c r="U781" t="s">
        <v>493</v>
      </c>
      <c r="V781" t="s">
        <v>27</v>
      </c>
      <c r="W781" t="s">
        <v>66</v>
      </c>
      <c r="X781" t="s">
        <v>67</v>
      </c>
      <c r="Y781" t="s">
        <v>138</v>
      </c>
      <c r="AA781" t="s">
        <v>494</v>
      </c>
      <c r="AC781" t="s">
        <v>139</v>
      </c>
      <c r="AD781" t="s">
        <v>2454</v>
      </c>
      <c r="AG781" t="s">
        <v>493</v>
      </c>
      <c r="AH781" t="s">
        <v>68</v>
      </c>
      <c r="AI781" t="s">
        <v>493</v>
      </c>
    </row>
    <row r="782" spans="1:35" customFormat="1">
      <c r="A782" t="s">
        <v>23</v>
      </c>
      <c r="B782" t="s">
        <v>24</v>
      </c>
      <c r="C782" t="s">
        <v>929</v>
      </c>
      <c r="D782" t="s">
        <v>135</v>
      </c>
      <c r="E782" t="s">
        <v>1905</v>
      </c>
      <c r="F782" t="s">
        <v>1906</v>
      </c>
      <c r="G782" t="s">
        <v>136</v>
      </c>
      <c r="H782" t="s">
        <v>493</v>
      </c>
      <c r="I782" t="s">
        <v>932</v>
      </c>
      <c r="J782" t="s">
        <v>933</v>
      </c>
      <c r="K782" t="s">
        <v>65</v>
      </c>
      <c r="L782" t="s">
        <v>1450</v>
      </c>
      <c r="M782" t="s">
        <v>137</v>
      </c>
      <c r="N782" t="s">
        <v>2326</v>
      </c>
      <c r="O782">
        <v>1202</v>
      </c>
      <c r="P782" t="s">
        <v>35</v>
      </c>
      <c r="R782">
        <v>1205</v>
      </c>
      <c r="S782">
        <v>1202</v>
      </c>
      <c r="T782" t="s">
        <v>493</v>
      </c>
      <c r="U782" t="s">
        <v>493</v>
      </c>
      <c r="V782" t="s">
        <v>27</v>
      </c>
      <c r="W782" t="s">
        <v>66</v>
      </c>
      <c r="X782" t="s">
        <v>67</v>
      </c>
      <c r="Y782" t="s">
        <v>138</v>
      </c>
      <c r="AA782" t="s">
        <v>494</v>
      </c>
      <c r="AC782" t="s">
        <v>139</v>
      </c>
      <c r="AD782" t="s">
        <v>2455</v>
      </c>
      <c r="AG782" t="s">
        <v>493</v>
      </c>
      <c r="AH782" t="s">
        <v>68</v>
      </c>
      <c r="AI782" t="s">
        <v>493</v>
      </c>
    </row>
    <row r="783" spans="1:35" customFormat="1">
      <c r="A783" t="s">
        <v>23</v>
      </c>
      <c r="B783" t="s">
        <v>24</v>
      </c>
      <c r="C783" t="s">
        <v>929</v>
      </c>
      <c r="D783" t="s">
        <v>135</v>
      </c>
      <c r="E783" t="s">
        <v>1905</v>
      </c>
      <c r="F783" t="s">
        <v>1906</v>
      </c>
      <c r="G783" t="s">
        <v>136</v>
      </c>
      <c r="H783" t="s">
        <v>493</v>
      </c>
      <c r="I783" t="s">
        <v>932</v>
      </c>
      <c r="J783" t="s">
        <v>933</v>
      </c>
      <c r="K783" t="s">
        <v>65</v>
      </c>
      <c r="L783" t="s">
        <v>1450</v>
      </c>
      <c r="M783" t="s">
        <v>137</v>
      </c>
      <c r="N783" t="s">
        <v>2327</v>
      </c>
      <c r="O783">
        <v>1198</v>
      </c>
      <c r="P783" t="s">
        <v>35</v>
      </c>
      <c r="R783">
        <v>1201</v>
      </c>
      <c r="S783">
        <v>1198</v>
      </c>
      <c r="T783" t="s">
        <v>493</v>
      </c>
      <c r="U783" t="s">
        <v>493</v>
      </c>
      <c r="V783" t="s">
        <v>27</v>
      </c>
      <c r="W783" t="s">
        <v>66</v>
      </c>
      <c r="X783" t="s">
        <v>67</v>
      </c>
      <c r="Y783" t="s">
        <v>138</v>
      </c>
      <c r="AA783" t="s">
        <v>494</v>
      </c>
      <c r="AC783" t="s">
        <v>139</v>
      </c>
      <c r="AD783" t="s">
        <v>2456</v>
      </c>
      <c r="AG783" t="s">
        <v>493</v>
      </c>
      <c r="AH783" t="s">
        <v>68</v>
      </c>
      <c r="AI783" t="s">
        <v>493</v>
      </c>
    </row>
    <row r="784" spans="1:35" customFormat="1">
      <c r="A784" t="s">
        <v>23</v>
      </c>
      <c r="B784" t="s">
        <v>24</v>
      </c>
      <c r="C784" t="s">
        <v>929</v>
      </c>
      <c r="D784" t="s">
        <v>135</v>
      </c>
      <c r="E784" t="s">
        <v>1905</v>
      </c>
      <c r="F784" t="s">
        <v>1906</v>
      </c>
      <c r="G784" t="s">
        <v>136</v>
      </c>
      <c r="H784" t="s">
        <v>493</v>
      </c>
      <c r="I784" t="s">
        <v>932</v>
      </c>
      <c r="J784" t="s">
        <v>933</v>
      </c>
      <c r="K784" t="s">
        <v>65</v>
      </c>
      <c r="L784" t="s">
        <v>1450</v>
      </c>
      <c r="M784" t="s">
        <v>137</v>
      </c>
      <c r="N784" t="s">
        <v>2328</v>
      </c>
      <c r="O784">
        <v>1200</v>
      </c>
      <c r="P784" t="s">
        <v>35</v>
      </c>
      <c r="R784">
        <v>1203</v>
      </c>
      <c r="S784">
        <v>1200</v>
      </c>
      <c r="T784" t="s">
        <v>493</v>
      </c>
      <c r="U784" t="s">
        <v>493</v>
      </c>
      <c r="V784" t="s">
        <v>27</v>
      </c>
      <c r="W784" t="s">
        <v>66</v>
      </c>
      <c r="X784" t="s">
        <v>67</v>
      </c>
      <c r="Y784" t="s">
        <v>138</v>
      </c>
      <c r="AA784" t="s">
        <v>494</v>
      </c>
      <c r="AC784" t="s">
        <v>139</v>
      </c>
      <c r="AD784" t="s">
        <v>2457</v>
      </c>
      <c r="AG784" t="s">
        <v>493</v>
      </c>
      <c r="AH784" t="s">
        <v>68</v>
      </c>
      <c r="AI784" t="s">
        <v>493</v>
      </c>
    </row>
    <row r="785" spans="1:35" customFormat="1">
      <c r="A785" t="s">
        <v>23</v>
      </c>
      <c r="B785" t="s">
        <v>24</v>
      </c>
      <c r="C785" t="s">
        <v>929</v>
      </c>
      <c r="D785" t="s">
        <v>135</v>
      </c>
      <c r="E785" t="s">
        <v>1905</v>
      </c>
      <c r="F785" t="s">
        <v>1906</v>
      </c>
      <c r="G785" t="s">
        <v>136</v>
      </c>
      <c r="H785" t="s">
        <v>493</v>
      </c>
      <c r="I785" t="s">
        <v>932</v>
      </c>
      <c r="J785" t="s">
        <v>933</v>
      </c>
      <c r="K785" t="s">
        <v>65</v>
      </c>
      <c r="L785" t="s">
        <v>1450</v>
      </c>
      <c r="M785" t="s">
        <v>137</v>
      </c>
      <c r="N785" t="s">
        <v>2329</v>
      </c>
      <c r="O785">
        <v>1197</v>
      </c>
      <c r="P785" t="s">
        <v>35</v>
      </c>
      <c r="R785">
        <v>1200</v>
      </c>
      <c r="S785">
        <v>1197</v>
      </c>
      <c r="T785" t="s">
        <v>493</v>
      </c>
      <c r="U785" t="s">
        <v>493</v>
      </c>
      <c r="V785" t="s">
        <v>27</v>
      </c>
      <c r="W785" t="s">
        <v>66</v>
      </c>
      <c r="X785" t="s">
        <v>67</v>
      </c>
      <c r="Y785" t="s">
        <v>138</v>
      </c>
      <c r="AA785" t="s">
        <v>494</v>
      </c>
      <c r="AC785" t="s">
        <v>139</v>
      </c>
      <c r="AD785" t="s">
        <v>2458</v>
      </c>
      <c r="AG785" t="s">
        <v>493</v>
      </c>
      <c r="AH785" t="s">
        <v>68</v>
      </c>
      <c r="AI785" t="s">
        <v>493</v>
      </c>
    </row>
    <row r="786" spans="1:35" customFormat="1">
      <c r="A786" t="s">
        <v>23</v>
      </c>
      <c r="B786" t="s">
        <v>24</v>
      </c>
      <c r="C786" t="s">
        <v>929</v>
      </c>
      <c r="D786" t="s">
        <v>135</v>
      </c>
      <c r="E786" t="s">
        <v>1905</v>
      </c>
      <c r="F786" t="s">
        <v>1906</v>
      </c>
      <c r="G786" t="s">
        <v>136</v>
      </c>
      <c r="H786" t="s">
        <v>493</v>
      </c>
      <c r="I786" t="s">
        <v>932</v>
      </c>
      <c r="J786" t="s">
        <v>933</v>
      </c>
      <c r="K786" t="s">
        <v>65</v>
      </c>
      <c r="L786" t="s">
        <v>1450</v>
      </c>
      <c r="M786" t="s">
        <v>137</v>
      </c>
      <c r="N786" t="s">
        <v>2330</v>
      </c>
      <c r="O786">
        <v>1181</v>
      </c>
      <c r="P786" t="s">
        <v>35</v>
      </c>
      <c r="R786">
        <v>1184</v>
      </c>
      <c r="S786">
        <v>1181</v>
      </c>
      <c r="T786" t="s">
        <v>493</v>
      </c>
      <c r="U786" t="s">
        <v>493</v>
      </c>
      <c r="V786" t="s">
        <v>27</v>
      </c>
      <c r="W786" t="s">
        <v>66</v>
      </c>
      <c r="X786" t="s">
        <v>67</v>
      </c>
      <c r="Y786" t="s">
        <v>138</v>
      </c>
      <c r="AA786" t="s">
        <v>494</v>
      </c>
      <c r="AC786" t="s">
        <v>139</v>
      </c>
      <c r="AD786" t="s">
        <v>2459</v>
      </c>
      <c r="AG786" t="s">
        <v>493</v>
      </c>
      <c r="AH786" t="s">
        <v>68</v>
      </c>
      <c r="AI786" t="s">
        <v>493</v>
      </c>
    </row>
    <row r="787" spans="1:35" customFormat="1">
      <c r="A787" t="s">
        <v>23</v>
      </c>
      <c r="B787" t="s">
        <v>24</v>
      </c>
      <c r="C787" t="s">
        <v>929</v>
      </c>
      <c r="D787" t="s">
        <v>135</v>
      </c>
      <c r="E787" t="s">
        <v>1905</v>
      </c>
      <c r="F787" t="s">
        <v>1906</v>
      </c>
      <c r="G787" t="s">
        <v>136</v>
      </c>
      <c r="H787" t="s">
        <v>493</v>
      </c>
      <c r="I787" t="s">
        <v>932</v>
      </c>
      <c r="J787" t="s">
        <v>933</v>
      </c>
      <c r="K787" t="s">
        <v>65</v>
      </c>
      <c r="L787" t="s">
        <v>1450</v>
      </c>
      <c r="M787" t="s">
        <v>137</v>
      </c>
      <c r="N787" t="s">
        <v>2331</v>
      </c>
      <c r="O787">
        <v>1195</v>
      </c>
      <c r="P787" t="s">
        <v>35</v>
      </c>
      <c r="R787">
        <v>1198</v>
      </c>
      <c r="S787">
        <v>1195</v>
      </c>
      <c r="T787" t="s">
        <v>493</v>
      </c>
      <c r="U787" t="s">
        <v>493</v>
      </c>
      <c r="V787" t="s">
        <v>27</v>
      </c>
      <c r="W787" t="s">
        <v>66</v>
      </c>
      <c r="X787" t="s">
        <v>67</v>
      </c>
      <c r="Y787" t="s">
        <v>138</v>
      </c>
      <c r="AA787" t="s">
        <v>494</v>
      </c>
      <c r="AC787" t="s">
        <v>139</v>
      </c>
      <c r="AD787" t="s">
        <v>2460</v>
      </c>
      <c r="AG787" t="s">
        <v>493</v>
      </c>
      <c r="AH787" t="s">
        <v>68</v>
      </c>
      <c r="AI787" t="s">
        <v>493</v>
      </c>
    </row>
    <row r="788" spans="1:35" customFormat="1">
      <c r="A788" t="s">
        <v>23</v>
      </c>
      <c r="B788" t="s">
        <v>24</v>
      </c>
      <c r="C788" t="s">
        <v>929</v>
      </c>
      <c r="D788" t="s">
        <v>135</v>
      </c>
      <c r="E788" t="s">
        <v>1905</v>
      </c>
      <c r="F788" t="s">
        <v>1906</v>
      </c>
      <c r="G788" t="s">
        <v>136</v>
      </c>
      <c r="H788" t="s">
        <v>493</v>
      </c>
      <c r="I788" t="s">
        <v>932</v>
      </c>
      <c r="J788" t="s">
        <v>933</v>
      </c>
      <c r="K788" t="s">
        <v>65</v>
      </c>
      <c r="L788" t="s">
        <v>1450</v>
      </c>
      <c r="M788" t="s">
        <v>137</v>
      </c>
      <c r="N788" t="s">
        <v>2332</v>
      </c>
      <c r="O788">
        <v>1198</v>
      </c>
      <c r="P788" t="s">
        <v>35</v>
      </c>
      <c r="R788">
        <v>1201</v>
      </c>
      <c r="S788">
        <v>1198</v>
      </c>
      <c r="T788" t="s">
        <v>493</v>
      </c>
      <c r="U788" t="s">
        <v>493</v>
      </c>
      <c r="V788" t="s">
        <v>27</v>
      </c>
      <c r="W788" t="s">
        <v>66</v>
      </c>
      <c r="X788" t="s">
        <v>67</v>
      </c>
      <c r="Y788" t="s">
        <v>138</v>
      </c>
      <c r="AA788" t="s">
        <v>494</v>
      </c>
      <c r="AC788" t="s">
        <v>139</v>
      </c>
      <c r="AD788" t="s">
        <v>2461</v>
      </c>
      <c r="AG788" t="s">
        <v>493</v>
      </c>
      <c r="AH788" t="s">
        <v>68</v>
      </c>
      <c r="AI788" t="s">
        <v>493</v>
      </c>
    </row>
    <row r="789" spans="1:35" customFormat="1">
      <c r="A789" t="s">
        <v>23</v>
      </c>
      <c r="B789" t="s">
        <v>24</v>
      </c>
      <c r="C789" t="s">
        <v>929</v>
      </c>
      <c r="D789" t="s">
        <v>135</v>
      </c>
      <c r="E789" t="s">
        <v>1905</v>
      </c>
      <c r="F789" t="s">
        <v>1906</v>
      </c>
      <c r="G789" t="s">
        <v>136</v>
      </c>
      <c r="H789" t="s">
        <v>493</v>
      </c>
      <c r="I789" t="s">
        <v>932</v>
      </c>
      <c r="J789" t="s">
        <v>933</v>
      </c>
      <c r="K789" t="s">
        <v>65</v>
      </c>
      <c r="L789" t="s">
        <v>1450</v>
      </c>
      <c r="M789" t="s">
        <v>137</v>
      </c>
      <c r="N789" t="s">
        <v>2333</v>
      </c>
      <c r="O789">
        <v>1197</v>
      </c>
      <c r="P789" t="s">
        <v>35</v>
      </c>
      <c r="R789">
        <v>1200</v>
      </c>
      <c r="S789">
        <v>1197</v>
      </c>
      <c r="T789" t="s">
        <v>493</v>
      </c>
      <c r="U789" t="s">
        <v>493</v>
      </c>
      <c r="V789" t="s">
        <v>27</v>
      </c>
      <c r="W789" t="s">
        <v>66</v>
      </c>
      <c r="X789" t="s">
        <v>67</v>
      </c>
      <c r="Y789" t="s">
        <v>138</v>
      </c>
      <c r="AA789" t="s">
        <v>494</v>
      </c>
      <c r="AC789" t="s">
        <v>139</v>
      </c>
      <c r="AD789" t="s">
        <v>2462</v>
      </c>
      <c r="AG789" t="s">
        <v>493</v>
      </c>
      <c r="AH789" t="s">
        <v>68</v>
      </c>
      <c r="AI789" t="s">
        <v>493</v>
      </c>
    </row>
    <row r="790" spans="1:35" customFormat="1">
      <c r="A790" t="s">
        <v>23</v>
      </c>
      <c r="B790" t="s">
        <v>24</v>
      </c>
      <c r="C790" t="s">
        <v>929</v>
      </c>
      <c r="D790" t="s">
        <v>135</v>
      </c>
      <c r="E790" t="s">
        <v>1905</v>
      </c>
      <c r="F790" t="s">
        <v>1906</v>
      </c>
      <c r="G790" t="s">
        <v>136</v>
      </c>
      <c r="H790" t="s">
        <v>493</v>
      </c>
      <c r="I790" t="s">
        <v>932</v>
      </c>
      <c r="J790" t="s">
        <v>933</v>
      </c>
      <c r="K790" t="s">
        <v>65</v>
      </c>
      <c r="L790" t="s">
        <v>1450</v>
      </c>
      <c r="M790" t="s">
        <v>137</v>
      </c>
      <c r="N790" t="s">
        <v>2334</v>
      </c>
      <c r="O790">
        <v>1197</v>
      </c>
      <c r="P790" t="s">
        <v>35</v>
      </c>
      <c r="R790">
        <v>1200</v>
      </c>
      <c r="S790">
        <v>1197</v>
      </c>
      <c r="T790" t="s">
        <v>493</v>
      </c>
      <c r="U790" t="s">
        <v>493</v>
      </c>
      <c r="V790" t="s">
        <v>27</v>
      </c>
      <c r="W790" t="s">
        <v>66</v>
      </c>
      <c r="X790" t="s">
        <v>67</v>
      </c>
      <c r="Y790" t="s">
        <v>138</v>
      </c>
      <c r="AA790" t="s">
        <v>494</v>
      </c>
      <c r="AC790" t="s">
        <v>139</v>
      </c>
      <c r="AD790" t="s">
        <v>2463</v>
      </c>
      <c r="AG790" t="s">
        <v>493</v>
      </c>
      <c r="AH790" t="s">
        <v>68</v>
      </c>
      <c r="AI790" t="s">
        <v>493</v>
      </c>
    </row>
    <row r="791" spans="1:35" customFormat="1">
      <c r="A791" t="s">
        <v>23</v>
      </c>
      <c r="B791" t="s">
        <v>24</v>
      </c>
      <c r="C791" t="s">
        <v>929</v>
      </c>
      <c r="D791" t="s">
        <v>135</v>
      </c>
      <c r="E791" t="s">
        <v>1905</v>
      </c>
      <c r="F791" t="s">
        <v>1906</v>
      </c>
      <c r="G791" t="s">
        <v>136</v>
      </c>
      <c r="H791" t="s">
        <v>493</v>
      </c>
      <c r="I791" t="s">
        <v>932</v>
      </c>
      <c r="J791" t="s">
        <v>933</v>
      </c>
      <c r="K791" t="s">
        <v>65</v>
      </c>
      <c r="L791" t="s">
        <v>1450</v>
      </c>
      <c r="M791" t="s">
        <v>137</v>
      </c>
      <c r="N791" t="s">
        <v>2335</v>
      </c>
      <c r="O791">
        <v>1196</v>
      </c>
      <c r="P791" t="s">
        <v>35</v>
      </c>
      <c r="R791">
        <v>1199</v>
      </c>
      <c r="S791">
        <v>1196</v>
      </c>
      <c r="T791" t="s">
        <v>493</v>
      </c>
      <c r="U791" t="s">
        <v>493</v>
      </c>
      <c r="V791" t="s">
        <v>27</v>
      </c>
      <c r="W791" t="s">
        <v>66</v>
      </c>
      <c r="X791" t="s">
        <v>67</v>
      </c>
      <c r="Y791" t="s">
        <v>138</v>
      </c>
      <c r="AA791" t="s">
        <v>494</v>
      </c>
      <c r="AC791" t="s">
        <v>139</v>
      </c>
      <c r="AD791" t="s">
        <v>2464</v>
      </c>
      <c r="AG791" t="s">
        <v>493</v>
      </c>
      <c r="AH791" t="s">
        <v>68</v>
      </c>
      <c r="AI791" t="s">
        <v>493</v>
      </c>
    </row>
    <row r="792" spans="1:35" customFormat="1">
      <c r="A792" t="s">
        <v>23</v>
      </c>
      <c r="B792" t="s">
        <v>24</v>
      </c>
      <c r="C792" t="s">
        <v>929</v>
      </c>
      <c r="D792" t="s">
        <v>135</v>
      </c>
      <c r="E792" t="s">
        <v>1905</v>
      </c>
      <c r="F792" t="s">
        <v>1906</v>
      </c>
      <c r="G792" t="s">
        <v>136</v>
      </c>
      <c r="H792" t="s">
        <v>493</v>
      </c>
      <c r="I792" t="s">
        <v>932</v>
      </c>
      <c r="J792" t="s">
        <v>933</v>
      </c>
      <c r="K792" t="s">
        <v>65</v>
      </c>
      <c r="L792" t="s">
        <v>1450</v>
      </c>
      <c r="M792" t="s">
        <v>137</v>
      </c>
      <c r="N792" t="s">
        <v>2336</v>
      </c>
      <c r="O792">
        <v>556</v>
      </c>
      <c r="P792" t="s">
        <v>35</v>
      </c>
      <c r="R792">
        <v>559</v>
      </c>
      <c r="S792">
        <v>556</v>
      </c>
      <c r="T792" t="s">
        <v>493</v>
      </c>
      <c r="U792" t="s">
        <v>493</v>
      </c>
      <c r="V792" t="s">
        <v>27</v>
      </c>
      <c r="W792" t="s">
        <v>66</v>
      </c>
      <c r="X792" t="s">
        <v>67</v>
      </c>
      <c r="Y792" t="s">
        <v>138</v>
      </c>
      <c r="AA792" t="s">
        <v>494</v>
      </c>
      <c r="AC792" t="s">
        <v>139</v>
      </c>
      <c r="AD792" t="s">
        <v>2465</v>
      </c>
      <c r="AG792" t="s">
        <v>493</v>
      </c>
      <c r="AH792" t="s">
        <v>68</v>
      </c>
      <c r="AI792" t="s">
        <v>493</v>
      </c>
    </row>
    <row r="793" spans="1:35" customFormat="1">
      <c r="A793" t="s">
        <v>23</v>
      </c>
      <c r="B793" t="s">
        <v>24</v>
      </c>
      <c r="C793" t="s">
        <v>929</v>
      </c>
      <c r="D793" t="s">
        <v>135</v>
      </c>
      <c r="E793" t="s">
        <v>1905</v>
      </c>
      <c r="F793" t="s">
        <v>1906</v>
      </c>
      <c r="G793" t="s">
        <v>136</v>
      </c>
      <c r="H793" t="s">
        <v>493</v>
      </c>
      <c r="I793" t="s">
        <v>932</v>
      </c>
      <c r="J793" t="s">
        <v>933</v>
      </c>
      <c r="K793" t="s">
        <v>65</v>
      </c>
      <c r="L793" t="s">
        <v>1450</v>
      </c>
      <c r="M793" t="s">
        <v>137</v>
      </c>
      <c r="N793" t="s">
        <v>2338</v>
      </c>
      <c r="O793">
        <v>1197</v>
      </c>
      <c r="P793" t="s">
        <v>35</v>
      </c>
      <c r="R793">
        <v>1200</v>
      </c>
      <c r="S793">
        <v>1197</v>
      </c>
      <c r="T793" t="s">
        <v>493</v>
      </c>
      <c r="U793" t="s">
        <v>493</v>
      </c>
      <c r="V793" t="s">
        <v>27</v>
      </c>
      <c r="W793" t="s">
        <v>66</v>
      </c>
      <c r="X793" t="s">
        <v>67</v>
      </c>
      <c r="Y793" t="s">
        <v>138</v>
      </c>
      <c r="AA793" t="s">
        <v>494</v>
      </c>
      <c r="AC793" t="s">
        <v>139</v>
      </c>
      <c r="AD793" t="s">
        <v>2466</v>
      </c>
      <c r="AG793" t="s">
        <v>493</v>
      </c>
      <c r="AH793" t="s">
        <v>68</v>
      </c>
      <c r="AI793" t="s">
        <v>493</v>
      </c>
    </row>
    <row r="794" spans="1:35" customFormat="1">
      <c r="A794" t="s">
        <v>23</v>
      </c>
      <c r="B794" t="s">
        <v>24</v>
      </c>
      <c r="C794" t="s">
        <v>929</v>
      </c>
      <c r="D794" t="s">
        <v>135</v>
      </c>
      <c r="E794" t="s">
        <v>1905</v>
      </c>
      <c r="F794" t="s">
        <v>1906</v>
      </c>
      <c r="G794" t="s">
        <v>136</v>
      </c>
      <c r="H794" t="s">
        <v>493</v>
      </c>
      <c r="I794" t="s">
        <v>932</v>
      </c>
      <c r="J794" t="s">
        <v>933</v>
      </c>
      <c r="K794" t="s">
        <v>65</v>
      </c>
      <c r="L794" t="s">
        <v>162</v>
      </c>
      <c r="M794" t="s">
        <v>144</v>
      </c>
      <c r="N794" t="s">
        <v>2339</v>
      </c>
      <c r="O794">
        <v>1200</v>
      </c>
      <c r="P794" t="s">
        <v>35</v>
      </c>
      <c r="R794">
        <v>1203</v>
      </c>
      <c r="S794">
        <v>1200</v>
      </c>
      <c r="T794" t="s">
        <v>493</v>
      </c>
      <c r="U794" t="s">
        <v>493</v>
      </c>
      <c r="V794" t="s">
        <v>67</v>
      </c>
      <c r="W794" t="s">
        <v>66</v>
      </c>
      <c r="X794" t="s">
        <v>67</v>
      </c>
      <c r="Y794" t="s">
        <v>935</v>
      </c>
      <c r="AA794" t="s">
        <v>494</v>
      </c>
      <c r="AC794" t="s">
        <v>139</v>
      </c>
      <c r="AD794" t="s">
        <v>2337</v>
      </c>
      <c r="AF794" t="s">
        <v>2308</v>
      </c>
      <c r="AG794" t="s">
        <v>493</v>
      </c>
      <c r="AI794" t="s">
        <v>493</v>
      </c>
    </row>
    <row r="795" spans="1:35" customFormat="1">
      <c r="A795" t="s">
        <v>23</v>
      </c>
      <c r="B795" t="s">
        <v>24</v>
      </c>
      <c r="C795" t="s">
        <v>929</v>
      </c>
      <c r="D795" t="s">
        <v>135</v>
      </c>
      <c r="E795" t="s">
        <v>1905</v>
      </c>
      <c r="F795" t="s">
        <v>1906</v>
      </c>
      <c r="G795" t="s">
        <v>136</v>
      </c>
      <c r="H795" t="s">
        <v>493</v>
      </c>
      <c r="I795" t="s">
        <v>932</v>
      </c>
      <c r="J795" t="s">
        <v>933</v>
      </c>
      <c r="K795" t="s">
        <v>65</v>
      </c>
      <c r="L795" t="s">
        <v>1450</v>
      </c>
      <c r="M795" t="s">
        <v>137</v>
      </c>
      <c r="N795" t="s">
        <v>2340</v>
      </c>
      <c r="O795">
        <v>1198</v>
      </c>
      <c r="P795" t="s">
        <v>35</v>
      </c>
      <c r="R795">
        <v>1201</v>
      </c>
      <c r="S795">
        <v>1198</v>
      </c>
      <c r="T795" t="s">
        <v>493</v>
      </c>
      <c r="U795" t="s">
        <v>493</v>
      </c>
      <c r="V795" t="s">
        <v>27</v>
      </c>
      <c r="W795" t="s">
        <v>66</v>
      </c>
      <c r="X795" t="s">
        <v>67</v>
      </c>
      <c r="Y795" t="s">
        <v>138</v>
      </c>
      <c r="AA795" t="s">
        <v>494</v>
      </c>
      <c r="AC795" t="s">
        <v>139</v>
      </c>
      <c r="AD795" t="s">
        <v>2467</v>
      </c>
      <c r="AG795" t="s">
        <v>493</v>
      </c>
      <c r="AH795" t="s">
        <v>68</v>
      </c>
      <c r="AI795" t="s">
        <v>493</v>
      </c>
    </row>
    <row r="796" spans="1:35" customFormat="1">
      <c r="A796" t="s">
        <v>23</v>
      </c>
      <c r="B796" t="s">
        <v>24</v>
      </c>
      <c r="C796" t="s">
        <v>929</v>
      </c>
      <c r="D796" t="s">
        <v>135</v>
      </c>
      <c r="E796" t="s">
        <v>1905</v>
      </c>
      <c r="F796" t="s">
        <v>1906</v>
      </c>
      <c r="G796" t="s">
        <v>136</v>
      </c>
      <c r="H796" t="s">
        <v>493</v>
      </c>
      <c r="I796" t="s">
        <v>932</v>
      </c>
      <c r="J796" t="s">
        <v>933</v>
      </c>
      <c r="K796" t="s">
        <v>65</v>
      </c>
      <c r="L796" t="s">
        <v>162</v>
      </c>
      <c r="M796" t="s">
        <v>144</v>
      </c>
      <c r="N796" t="s">
        <v>2342</v>
      </c>
      <c r="O796">
        <v>1200</v>
      </c>
      <c r="P796" t="s">
        <v>35</v>
      </c>
      <c r="R796">
        <v>1203</v>
      </c>
      <c r="S796">
        <v>1200</v>
      </c>
      <c r="T796" t="s">
        <v>493</v>
      </c>
      <c r="U796" t="s">
        <v>493</v>
      </c>
      <c r="V796" t="s">
        <v>67</v>
      </c>
      <c r="W796" t="s">
        <v>66</v>
      </c>
      <c r="X796" t="s">
        <v>67</v>
      </c>
      <c r="Y796" t="s">
        <v>935</v>
      </c>
      <c r="AA796" t="s">
        <v>494</v>
      </c>
      <c r="AC796" t="s">
        <v>139</v>
      </c>
      <c r="AD796" t="s">
        <v>2341</v>
      </c>
      <c r="AF796" t="s">
        <v>2308</v>
      </c>
      <c r="AG796" t="s">
        <v>493</v>
      </c>
      <c r="AI796" t="s">
        <v>493</v>
      </c>
    </row>
    <row r="797" spans="1:35" customFormat="1">
      <c r="A797" t="s">
        <v>23</v>
      </c>
      <c r="B797" t="s">
        <v>24</v>
      </c>
      <c r="C797" t="s">
        <v>929</v>
      </c>
      <c r="D797" t="s">
        <v>135</v>
      </c>
      <c r="E797" t="s">
        <v>1905</v>
      </c>
      <c r="F797" t="s">
        <v>1906</v>
      </c>
      <c r="G797" t="s">
        <v>136</v>
      </c>
      <c r="H797" t="s">
        <v>493</v>
      </c>
      <c r="I797" t="s">
        <v>932</v>
      </c>
      <c r="J797" t="s">
        <v>933</v>
      </c>
      <c r="K797" t="s">
        <v>65</v>
      </c>
      <c r="L797" t="s">
        <v>1450</v>
      </c>
      <c r="M797" t="s">
        <v>137</v>
      </c>
      <c r="N797" t="s">
        <v>2343</v>
      </c>
      <c r="O797">
        <v>1198</v>
      </c>
      <c r="P797" t="s">
        <v>35</v>
      </c>
      <c r="R797">
        <v>1201</v>
      </c>
      <c r="S797">
        <v>1198</v>
      </c>
      <c r="T797" t="s">
        <v>493</v>
      </c>
      <c r="U797" t="s">
        <v>493</v>
      </c>
      <c r="V797" t="s">
        <v>27</v>
      </c>
      <c r="W797" t="s">
        <v>66</v>
      </c>
      <c r="X797" t="s">
        <v>67</v>
      </c>
      <c r="Y797" t="s">
        <v>138</v>
      </c>
      <c r="AA797" t="s">
        <v>494</v>
      </c>
      <c r="AC797" t="s">
        <v>139</v>
      </c>
      <c r="AD797" t="s">
        <v>2468</v>
      </c>
      <c r="AG797" t="s">
        <v>493</v>
      </c>
      <c r="AH797" t="s">
        <v>68</v>
      </c>
      <c r="AI797" t="s">
        <v>493</v>
      </c>
    </row>
    <row r="798" spans="1:35" customFormat="1">
      <c r="A798" t="s">
        <v>23</v>
      </c>
      <c r="B798" t="s">
        <v>24</v>
      </c>
      <c r="C798" t="s">
        <v>929</v>
      </c>
      <c r="D798" t="s">
        <v>135</v>
      </c>
      <c r="E798" t="s">
        <v>1905</v>
      </c>
      <c r="F798" t="s">
        <v>1906</v>
      </c>
      <c r="G798" t="s">
        <v>136</v>
      </c>
      <c r="H798" t="s">
        <v>493</v>
      </c>
      <c r="I798" t="s">
        <v>932</v>
      </c>
      <c r="J798" t="s">
        <v>933</v>
      </c>
      <c r="K798" t="s">
        <v>65</v>
      </c>
      <c r="L798" t="s">
        <v>1450</v>
      </c>
      <c r="M798" t="s">
        <v>137</v>
      </c>
      <c r="N798" t="s">
        <v>2344</v>
      </c>
      <c r="O798">
        <v>1202</v>
      </c>
      <c r="P798" t="s">
        <v>35</v>
      </c>
      <c r="R798">
        <v>1205</v>
      </c>
      <c r="S798">
        <v>1202</v>
      </c>
      <c r="T798" t="s">
        <v>493</v>
      </c>
      <c r="U798" t="s">
        <v>493</v>
      </c>
      <c r="V798" t="s">
        <v>27</v>
      </c>
      <c r="W798" t="s">
        <v>66</v>
      </c>
      <c r="X798" t="s">
        <v>67</v>
      </c>
      <c r="Y798" t="s">
        <v>138</v>
      </c>
      <c r="AA798" t="s">
        <v>494</v>
      </c>
      <c r="AC798" t="s">
        <v>139</v>
      </c>
      <c r="AD798" t="s">
        <v>2469</v>
      </c>
      <c r="AG798" t="s">
        <v>493</v>
      </c>
      <c r="AH798" t="s">
        <v>68</v>
      </c>
      <c r="AI798" t="s">
        <v>493</v>
      </c>
    </row>
    <row r="799" spans="1:35" customFormat="1">
      <c r="A799" t="s">
        <v>23</v>
      </c>
      <c r="B799" t="s">
        <v>24</v>
      </c>
      <c r="C799" t="s">
        <v>929</v>
      </c>
      <c r="D799" t="s">
        <v>135</v>
      </c>
      <c r="E799" t="s">
        <v>1905</v>
      </c>
      <c r="F799" t="s">
        <v>1906</v>
      </c>
      <c r="G799" t="s">
        <v>136</v>
      </c>
      <c r="H799" t="s">
        <v>493</v>
      </c>
      <c r="I799" t="s">
        <v>932</v>
      </c>
      <c r="J799" t="s">
        <v>933</v>
      </c>
      <c r="K799" t="s">
        <v>65</v>
      </c>
      <c r="L799" t="s">
        <v>1450</v>
      </c>
      <c r="M799" t="s">
        <v>137</v>
      </c>
      <c r="N799" t="s">
        <v>2345</v>
      </c>
      <c r="O799">
        <v>1200</v>
      </c>
      <c r="P799" t="s">
        <v>35</v>
      </c>
      <c r="R799">
        <v>1203</v>
      </c>
      <c r="S799">
        <v>1200</v>
      </c>
      <c r="T799" t="s">
        <v>493</v>
      </c>
      <c r="U799" t="s">
        <v>493</v>
      </c>
      <c r="V799" t="s">
        <v>27</v>
      </c>
      <c r="W799" t="s">
        <v>66</v>
      </c>
      <c r="X799" t="s">
        <v>67</v>
      </c>
      <c r="Y799" t="s">
        <v>138</v>
      </c>
      <c r="AA799" t="s">
        <v>494</v>
      </c>
      <c r="AC799" t="s">
        <v>139</v>
      </c>
      <c r="AD799" t="s">
        <v>2470</v>
      </c>
      <c r="AG799" t="s">
        <v>493</v>
      </c>
      <c r="AH799" t="s">
        <v>68</v>
      </c>
      <c r="AI799" t="s">
        <v>493</v>
      </c>
    </row>
    <row r="800" spans="1:35" customFormat="1">
      <c r="A800" t="s">
        <v>23</v>
      </c>
      <c r="B800" t="s">
        <v>24</v>
      </c>
      <c r="C800" t="s">
        <v>929</v>
      </c>
      <c r="D800" t="s">
        <v>135</v>
      </c>
      <c r="E800" t="s">
        <v>1905</v>
      </c>
      <c r="F800" t="s">
        <v>1906</v>
      </c>
      <c r="G800" t="s">
        <v>136</v>
      </c>
      <c r="H800" t="s">
        <v>493</v>
      </c>
      <c r="I800" t="s">
        <v>932</v>
      </c>
      <c r="J800" t="s">
        <v>933</v>
      </c>
      <c r="K800" t="s">
        <v>65</v>
      </c>
      <c r="L800" t="s">
        <v>1450</v>
      </c>
      <c r="M800" t="s">
        <v>137</v>
      </c>
      <c r="N800" t="s">
        <v>2346</v>
      </c>
      <c r="O800">
        <v>1201</v>
      </c>
      <c r="P800" t="s">
        <v>35</v>
      </c>
      <c r="R800">
        <v>1204</v>
      </c>
      <c r="S800">
        <v>1201</v>
      </c>
      <c r="T800" t="s">
        <v>493</v>
      </c>
      <c r="U800" t="s">
        <v>493</v>
      </c>
      <c r="V800" t="s">
        <v>27</v>
      </c>
      <c r="W800" t="s">
        <v>66</v>
      </c>
      <c r="X800" t="s">
        <v>67</v>
      </c>
      <c r="Y800" t="s">
        <v>138</v>
      </c>
      <c r="AA800" t="s">
        <v>494</v>
      </c>
      <c r="AC800" t="s">
        <v>139</v>
      </c>
      <c r="AD800" t="s">
        <v>2471</v>
      </c>
      <c r="AG800" t="s">
        <v>493</v>
      </c>
      <c r="AH800" t="s">
        <v>68</v>
      </c>
      <c r="AI800" t="s">
        <v>493</v>
      </c>
    </row>
    <row r="801" spans="1:37" customFormat="1">
      <c r="A801" t="s">
        <v>23</v>
      </c>
      <c r="B801" t="s">
        <v>24</v>
      </c>
      <c r="C801" t="s">
        <v>929</v>
      </c>
      <c r="D801" t="s">
        <v>135</v>
      </c>
      <c r="E801" t="s">
        <v>1905</v>
      </c>
      <c r="F801" t="s">
        <v>1906</v>
      </c>
      <c r="G801" t="s">
        <v>136</v>
      </c>
      <c r="H801" t="s">
        <v>493</v>
      </c>
      <c r="I801" t="s">
        <v>932</v>
      </c>
      <c r="J801" t="s">
        <v>933</v>
      </c>
      <c r="K801" t="s">
        <v>65</v>
      </c>
      <c r="L801" t="s">
        <v>1450</v>
      </c>
      <c r="M801" t="s">
        <v>137</v>
      </c>
      <c r="N801" t="s">
        <v>2347</v>
      </c>
      <c r="O801">
        <v>1199</v>
      </c>
      <c r="P801" t="s">
        <v>35</v>
      </c>
      <c r="R801">
        <v>1202</v>
      </c>
      <c r="S801">
        <v>1199</v>
      </c>
      <c r="T801" t="s">
        <v>493</v>
      </c>
      <c r="U801" t="s">
        <v>493</v>
      </c>
      <c r="V801" t="s">
        <v>27</v>
      </c>
      <c r="W801" t="s">
        <v>66</v>
      </c>
      <c r="X801" t="s">
        <v>67</v>
      </c>
      <c r="Y801" t="s">
        <v>138</v>
      </c>
      <c r="AA801" t="s">
        <v>494</v>
      </c>
      <c r="AC801" t="s">
        <v>139</v>
      </c>
      <c r="AD801" t="s">
        <v>2472</v>
      </c>
      <c r="AG801" t="s">
        <v>493</v>
      </c>
      <c r="AH801" t="s">
        <v>68</v>
      </c>
      <c r="AI801" t="s">
        <v>493</v>
      </c>
    </row>
    <row r="802" spans="1:37" customFormat="1">
      <c r="A802" t="s">
        <v>23</v>
      </c>
      <c r="B802" t="s">
        <v>24</v>
      </c>
      <c r="C802" t="s">
        <v>929</v>
      </c>
      <c r="D802" t="s">
        <v>135</v>
      </c>
      <c r="E802" t="s">
        <v>1905</v>
      </c>
      <c r="F802" t="s">
        <v>1906</v>
      </c>
      <c r="G802" t="s">
        <v>136</v>
      </c>
      <c r="H802" t="s">
        <v>493</v>
      </c>
      <c r="I802" t="s">
        <v>932</v>
      </c>
      <c r="J802" t="s">
        <v>933</v>
      </c>
      <c r="K802" t="s">
        <v>65</v>
      </c>
      <c r="L802" t="s">
        <v>1450</v>
      </c>
      <c r="M802" t="s">
        <v>137</v>
      </c>
      <c r="N802" t="s">
        <v>2348</v>
      </c>
      <c r="O802">
        <v>1201</v>
      </c>
      <c r="P802" t="s">
        <v>35</v>
      </c>
      <c r="R802">
        <v>1204</v>
      </c>
      <c r="S802">
        <v>1201</v>
      </c>
      <c r="T802" t="s">
        <v>493</v>
      </c>
      <c r="U802" t="s">
        <v>493</v>
      </c>
      <c r="V802" t="s">
        <v>27</v>
      </c>
      <c r="W802" t="s">
        <v>66</v>
      </c>
      <c r="X802" t="s">
        <v>67</v>
      </c>
      <c r="Y802" t="s">
        <v>138</v>
      </c>
      <c r="AA802" t="s">
        <v>494</v>
      </c>
      <c r="AC802" t="s">
        <v>139</v>
      </c>
      <c r="AD802" t="s">
        <v>2473</v>
      </c>
      <c r="AG802" t="s">
        <v>493</v>
      </c>
      <c r="AH802" t="s">
        <v>68</v>
      </c>
      <c r="AI802" t="s">
        <v>493</v>
      </c>
    </row>
    <row r="803" spans="1:37" customFormat="1">
      <c r="A803" t="s">
        <v>23</v>
      </c>
      <c r="B803" t="s">
        <v>24</v>
      </c>
      <c r="C803" t="s">
        <v>929</v>
      </c>
      <c r="D803" t="s">
        <v>135</v>
      </c>
      <c r="E803" t="s">
        <v>1905</v>
      </c>
      <c r="F803" t="s">
        <v>1906</v>
      </c>
      <c r="G803" t="s">
        <v>136</v>
      </c>
      <c r="H803" t="s">
        <v>493</v>
      </c>
      <c r="I803" t="s">
        <v>932</v>
      </c>
      <c r="J803" t="s">
        <v>933</v>
      </c>
      <c r="K803" t="s">
        <v>65</v>
      </c>
      <c r="L803" t="s">
        <v>1450</v>
      </c>
      <c r="M803" t="s">
        <v>137</v>
      </c>
      <c r="N803" t="s">
        <v>2349</v>
      </c>
      <c r="O803">
        <v>1200</v>
      </c>
      <c r="P803" t="s">
        <v>35</v>
      </c>
      <c r="R803">
        <v>1203</v>
      </c>
      <c r="S803">
        <v>1200</v>
      </c>
      <c r="T803" t="s">
        <v>493</v>
      </c>
      <c r="U803" t="s">
        <v>493</v>
      </c>
      <c r="V803" t="s">
        <v>27</v>
      </c>
      <c r="W803" t="s">
        <v>66</v>
      </c>
      <c r="X803" t="s">
        <v>67</v>
      </c>
      <c r="Y803" t="s">
        <v>138</v>
      </c>
      <c r="AA803" t="s">
        <v>494</v>
      </c>
      <c r="AC803" t="s">
        <v>139</v>
      </c>
      <c r="AD803" t="s">
        <v>2474</v>
      </c>
      <c r="AG803" t="s">
        <v>493</v>
      </c>
      <c r="AH803" t="s">
        <v>68</v>
      </c>
      <c r="AI803" t="s">
        <v>493</v>
      </c>
    </row>
    <row r="804" spans="1:37" customFormat="1">
      <c r="A804" t="s">
        <v>23</v>
      </c>
      <c r="B804" t="s">
        <v>24</v>
      </c>
      <c r="C804" t="s">
        <v>175</v>
      </c>
      <c r="D804" t="s">
        <v>135</v>
      </c>
      <c r="E804" t="s">
        <v>2278</v>
      </c>
      <c r="F804" t="s">
        <v>931</v>
      </c>
      <c r="G804" t="s">
        <v>136</v>
      </c>
      <c r="H804" t="s">
        <v>142</v>
      </c>
      <c r="I804" t="s">
        <v>156</v>
      </c>
      <c r="J804" t="s">
        <v>26</v>
      </c>
      <c r="K804" t="s">
        <v>157</v>
      </c>
      <c r="L804" t="s">
        <v>143</v>
      </c>
      <c r="M804" t="s">
        <v>144</v>
      </c>
      <c r="N804" t="s">
        <v>2350</v>
      </c>
      <c r="O804">
        <v>1</v>
      </c>
      <c r="P804" t="s">
        <v>160</v>
      </c>
      <c r="R804">
        <v>716</v>
      </c>
      <c r="S804">
        <v>711.2</v>
      </c>
      <c r="T804" t="s">
        <v>145</v>
      </c>
      <c r="U804" t="s">
        <v>2422</v>
      </c>
      <c r="V804" t="s">
        <v>27</v>
      </c>
      <c r="W804" t="s">
        <v>66</v>
      </c>
      <c r="X804" t="s">
        <v>67</v>
      </c>
      <c r="Y804" t="s">
        <v>138</v>
      </c>
      <c r="AA804" t="s">
        <v>494</v>
      </c>
      <c r="AC804" t="s">
        <v>139</v>
      </c>
      <c r="AD804" t="s">
        <v>2475</v>
      </c>
      <c r="AG804" t="s">
        <v>156</v>
      </c>
      <c r="AH804" t="s">
        <v>68</v>
      </c>
      <c r="AI804" t="s">
        <v>493</v>
      </c>
      <c r="AK804" t="s">
        <v>2351</v>
      </c>
    </row>
    <row r="805" spans="1:37" customFormat="1">
      <c r="A805" t="s">
        <v>23</v>
      </c>
      <c r="B805" t="s">
        <v>24</v>
      </c>
      <c r="C805" t="s">
        <v>175</v>
      </c>
      <c r="D805" t="s">
        <v>135</v>
      </c>
      <c r="E805" t="s">
        <v>2278</v>
      </c>
      <c r="F805" t="s">
        <v>931</v>
      </c>
      <c r="G805" t="s">
        <v>136</v>
      </c>
      <c r="H805" t="s">
        <v>142</v>
      </c>
      <c r="I805" t="s">
        <v>156</v>
      </c>
      <c r="J805" t="s">
        <v>26</v>
      </c>
      <c r="K805" t="s">
        <v>157</v>
      </c>
      <c r="L805" t="s">
        <v>143</v>
      </c>
      <c r="M805" t="s">
        <v>144</v>
      </c>
      <c r="N805" t="s">
        <v>2352</v>
      </c>
      <c r="O805">
        <v>1</v>
      </c>
      <c r="P805" t="s">
        <v>160</v>
      </c>
      <c r="R805">
        <v>716</v>
      </c>
      <c r="S805">
        <v>711.2</v>
      </c>
      <c r="T805" t="s">
        <v>145</v>
      </c>
      <c r="U805" t="s">
        <v>2422</v>
      </c>
      <c r="V805" t="s">
        <v>27</v>
      </c>
      <c r="W805" t="s">
        <v>66</v>
      </c>
      <c r="X805" t="s">
        <v>67</v>
      </c>
      <c r="Y805" t="s">
        <v>138</v>
      </c>
      <c r="AA805" t="s">
        <v>494</v>
      </c>
      <c r="AC805" t="s">
        <v>139</v>
      </c>
      <c r="AD805" t="s">
        <v>2476</v>
      </c>
      <c r="AG805" t="s">
        <v>156</v>
      </c>
      <c r="AH805" t="s">
        <v>68</v>
      </c>
      <c r="AI805" t="s">
        <v>493</v>
      </c>
      <c r="AK805" t="s">
        <v>2353</v>
      </c>
    </row>
    <row r="806" spans="1:37" customFormat="1">
      <c r="A806" t="s">
        <v>23</v>
      </c>
      <c r="B806" t="s">
        <v>24</v>
      </c>
      <c r="C806" t="s">
        <v>175</v>
      </c>
      <c r="D806" t="s">
        <v>135</v>
      </c>
      <c r="E806" t="s">
        <v>2278</v>
      </c>
      <c r="F806" t="s">
        <v>931</v>
      </c>
      <c r="G806" t="s">
        <v>136</v>
      </c>
      <c r="H806" t="s">
        <v>142</v>
      </c>
      <c r="I806" t="s">
        <v>156</v>
      </c>
      <c r="J806" t="s">
        <v>26</v>
      </c>
      <c r="K806" t="s">
        <v>157</v>
      </c>
      <c r="L806" t="s">
        <v>143</v>
      </c>
      <c r="M806" t="s">
        <v>144</v>
      </c>
      <c r="N806" t="s">
        <v>2354</v>
      </c>
      <c r="O806">
        <v>1</v>
      </c>
      <c r="P806" t="s">
        <v>160</v>
      </c>
      <c r="R806">
        <v>718</v>
      </c>
      <c r="S806">
        <v>711.2</v>
      </c>
      <c r="T806" t="s">
        <v>145</v>
      </c>
      <c r="U806" t="s">
        <v>2422</v>
      </c>
      <c r="V806" t="s">
        <v>27</v>
      </c>
      <c r="W806" t="s">
        <v>66</v>
      </c>
      <c r="X806" t="s">
        <v>67</v>
      </c>
      <c r="Y806" t="s">
        <v>138</v>
      </c>
      <c r="AA806" t="s">
        <v>494</v>
      </c>
      <c r="AC806" t="s">
        <v>139</v>
      </c>
      <c r="AD806" t="s">
        <v>2477</v>
      </c>
      <c r="AG806" t="s">
        <v>156</v>
      </c>
      <c r="AH806" t="s">
        <v>68</v>
      </c>
      <c r="AI806" t="s">
        <v>493</v>
      </c>
      <c r="AK806" t="s">
        <v>2355</v>
      </c>
    </row>
    <row r="807" spans="1:37" customFormat="1">
      <c r="A807" t="s">
        <v>23</v>
      </c>
      <c r="B807" t="s">
        <v>24</v>
      </c>
      <c r="C807" t="s">
        <v>175</v>
      </c>
      <c r="D807" t="s">
        <v>135</v>
      </c>
      <c r="E807" t="s">
        <v>2278</v>
      </c>
      <c r="F807" t="s">
        <v>931</v>
      </c>
      <c r="G807" t="s">
        <v>136</v>
      </c>
      <c r="H807" t="s">
        <v>142</v>
      </c>
      <c r="I807" t="s">
        <v>156</v>
      </c>
      <c r="J807" t="s">
        <v>26</v>
      </c>
      <c r="K807" t="s">
        <v>157</v>
      </c>
      <c r="L807" t="s">
        <v>143</v>
      </c>
      <c r="M807" t="s">
        <v>144</v>
      </c>
      <c r="N807" t="s">
        <v>2356</v>
      </c>
      <c r="O807">
        <v>1</v>
      </c>
      <c r="P807" t="s">
        <v>160</v>
      </c>
      <c r="R807">
        <v>718</v>
      </c>
      <c r="S807">
        <v>711.2</v>
      </c>
      <c r="T807" t="s">
        <v>145</v>
      </c>
      <c r="U807" t="s">
        <v>2422</v>
      </c>
      <c r="V807" t="s">
        <v>27</v>
      </c>
      <c r="W807" t="s">
        <v>66</v>
      </c>
      <c r="X807" t="s">
        <v>67</v>
      </c>
      <c r="Y807" t="s">
        <v>138</v>
      </c>
      <c r="AA807" t="s">
        <v>494</v>
      </c>
      <c r="AC807" t="s">
        <v>139</v>
      </c>
      <c r="AD807" t="s">
        <v>2478</v>
      </c>
      <c r="AG807" t="s">
        <v>156</v>
      </c>
      <c r="AH807" t="s">
        <v>68</v>
      </c>
      <c r="AI807" t="s">
        <v>493</v>
      </c>
      <c r="AK807" t="s">
        <v>2357</v>
      </c>
    </row>
    <row r="808" spans="1:37" customFormat="1">
      <c r="A808" t="s">
        <v>23</v>
      </c>
      <c r="B808" t="s">
        <v>24</v>
      </c>
      <c r="C808" t="s">
        <v>175</v>
      </c>
      <c r="D808" t="s">
        <v>135</v>
      </c>
      <c r="E808" t="s">
        <v>2278</v>
      </c>
      <c r="F808" t="s">
        <v>931</v>
      </c>
      <c r="G808" t="s">
        <v>136</v>
      </c>
      <c r="H808" t="s">
        <v>142</v>
      </c>
      <c r="I808" t="s">
        <v>156</v>
      </c>
      <c r="J808" t="s">
        <v>26</v>
      </c>
      <c r="K808" t="s">
        <v>157</v>
      </c>
      <c r="L808" t="s">
        <v>143</v>
      </c>
      <c r="M808" t="s">
        <v>144</v>
      </c>
      <c r="N808" t="s">
        <v>2358</v>
      </c>
      <c r="O808">
        <v>1</v>
      </c>
      <c r="P808" t="s">
        <v>160</v>
      </c>
      <c r="R808">
        <v>718</v>
      </c>
      <c r="S808">
        <v>711.2</v>
      </c>
      <c r="T808" t="s">
        <v>145</v>
      </c>
      <c r="U808" t="s">
        <v>2422</v>
      </c>
      <c r="V808" t="s">
        <v>27</v>
      </c>
      <c r="W808" t="s">
        <v>66</v>
      </c>
      <c r="X808" t="s">
        <v>67</v>
      </c>
      <c r="Y808" t="s">
        <v>138</v>
      </c>
      <c r="AA808" t="s">
        <v>494</v>
      </c>
      <c r="AC808" t="s">
        <v>139</v>
      </c>
      <c r="AD808" t="s">
        <v>2479</v>
      </c>
      <c r="AG808" t="s">
        <v>156</v>
      </c>
      <c r="AH808" t="s">
        <v>68</v>
      </c>
      <c r="AI808" t="s">
        <v>493</v>
      </c>
      <c r="AK808" t="s">
        <v>2357</v>
      </c>
    </row>
    <row r="809" spans="1:37" customFormat="1">
      <c r="A809" t="s">
        <v>23</v>
      </c>
      <c r="B809" t="s">
        <v>24</v>
      </c>
      <c r="C809" t="s">
        <v>175</v>
      </c>
      <c r="D809" t="s">
        <v>135</v>
      </c>
      <c r="E809" t="s">
        <v>2278</v>
      </c>
      <c r="F809" t="s">
        <v>931</v>
      </c>
      <c r="G809" t="s">
        <v>136</v>
      </c>
      <c r="H809" t="s">
        <v>142</v>
      </c>
      <c r="I809" t="s">
        <v>156</v>
      </c>
      <c r="J809" t="s">
        <v>26</v>
      </c>
      <c r="K809" t="s">
        <v>157</v>
      </c>
      <c r="L809" t="s">
        <v>143</v>
      </c>
      <c r="M809" t="s">
        <v>144</v>
      </c>
      <c r="N809" t="s">
        <v>2359</v>
      </c>
      <c r="O809">
        <v>1</v>
      </c>
      <c r="P809" t="s">
        <v>160</v>
      </c>
      <c r="R809">
        <v>718</v>
      </c>
      <c r="S809">
        <v>711.2</v>
      </c>
      <c r="T809" t="s">
        <v>145</v>
      </c>
      <c r="U809" t="s">
        <v>2422</v>
      </c>
      <c r="V809" t="s">
        <v>27</v>
      </c>
      <c r="W809" t="s">
        <v>66</v>
      </c>
      <c r="X809" t="s">
        <v>67</v>
      </c>
      <c r="Y809" t="s">
        <v>138</v>
      </c>
      <c r="AA809" t="s">
        <v>494</v>
      </c>
      <c r="AC809" t="s">
        <v>139</v>
      </c>
      <c r="AD809" t="s">
        <v>2480</v>
      </c>
      <c r="AG809" t="s">
        <v>156</v>
      </c>
      <c r="AH809" t="s">
        <v>68</v>
      </c>
      <c r="AI809" t="s">
        <v>493</v>
      </c>
      <c r="AK809" t="s">
        <v>2360</v>
      </c>
    </row>
    <row r="810" spans="1:37" customFormat="1">
      <c r="A810" t="s">
        <v>23</v>
      </c>
      <c r="B810" t="s">
        <v>24</v>
      </c>
      <c r="C810" t="s">
        <v>175</v>
      </c>
      <c r="D810" t="s">
        <v>135</v>
      </c>
      <c r="E810" t="s">
        <v>2278</v>
      </c>
      <c r="F810" t="s">
        <v>931</v>
      </c>
      <c r="G810" t="s">
        <v>136</v>
      </c>
      <c r="H810" t="s">
        <v>142</v>
      </c>
      <c r="I810" t="s">
        <v>156</v>
      </c>
      <c r="J810" t="s">
        <v>26</v>
      </c>
      <c r="K810" t="s">
        <v>157</v>
      </c>
      <c r="L810" t="s">
        <v>143</v>
      </c>
      <c r="M810" t="s">
        <v>144</v>
      </c>
      <c r="N810" t="s">
        <v>2361</v>
      </c>
      <c r="O810">
        <v>1</v>
      </c>
      <c r="P810" t="s">
        <v>160</v>
      </c>
      <c r="R810">
        <v>718</v>
      </c>
      <c r="S810">
        <v>711.2</v>
      </c>
      <c r="T810" t="s">
        <v>145</v>
      </c>
      <c r="U810" t="s">
        <v>2422</v>
      </c>
      <c r="V810" t="s">
        <v>27</v>
      </c>
      <c r="W810" t="s">
        <v>66</v>
      </c>
      <c r="X810" t="s">
        <v>67</v>
      </c>
      <c r="Y810" t="s">
        <v>138</v>
      </c>
      <c r="AA810" t="s">
        <v>494</v>
      </c>
      <c r="AC810" t="s">
        <v>139</v>
      </c>
      <c r="AD810" t="s">
        <v>2481</v>
      </c>
      <c r="AG810" t="s">
        <v>156</v>
      </c>
      <c r="AH810" t="s">
        <v>68</v>
      </c>
      <c r="AI810" t="s">
        <v>493</v>
      </c>
      <c r="AK810" t="s">
        <v>2362</v>
      </c>
    </row>
    <row r="811" spans="1:37" customFormat="1">
      <c r="A811" t="s">
        <v>23</v>
      </c>
      <c r="B811" t="s">
        <v>24</v>
      </c>
      <c r="C811" t="s">
        <v>175</v>
      </c>
      <c r="D811" t="s">
        <v>135</v>
      </c>
      <c r="E811" t="s">
        <v>2278</v>
      </c>
      <c r="F811" t="s">
        <v>931</v>
      </c>
      <c r="G811" t="s">
        <v>136</v>
      </c>
      <c r="H811" t="s">
        <v>142</v>
      </c>
      <c r="I811" t="s">
        <v>156</v>
      </c>
      <c r="J811" t="s">
        <v>26</v>
      </c>
      <c r="K811" t="s">
        <v>157</v>
      </c>
      <c r="L811" t="s">
        <v>143</v>
      </c>
      <c r="M811" t="s">
        <v>144</v>
      </c>
      <c r="N811" t="s">
        <v>2363</v>
      </c>
      <c r="O811">
        <v>1</v>
      </c>
      <c r="P811" t="s">
        <v>160</v>
      </c>
      <c r="R811">
        <v>718</v>
      </c>
      <c r="S811">
        <v>711.2</v>
      </c>
      <c r="T811" t="s">
        <v>145</v>
      </c>
      <c r="U811" t="s">
        <v>2422</v>
      </c>
      <c r="V811" t="s">
        <v>27</v>
      </c>
      <c r="W811" t="s">
        <v>66</v>
      </c>
      <c r="X811" t="s">
        <v>67</v>
      </c>
      <c r="Y811" t="s">
        <v>138</v>
      </c>
      <c r="AA811" t="s">
        <v>494</v>
      </c>
      <c r="AC811" t="s">
        <v>139</v>
      </c>
      <c r="AD811" t="s">
        <v>2482</v>
      </c>
      <c r="AG811" t="s">
        <v>156</v>
      </c>
      <c r="AH811" t="s">
        <v>68</v>
      </c>
      <c r="AI811" t="s">
        <v>493</v>
      </c>
      <c r="AK811" t="s">
        <v>2364</v>
      </c>
    </row>
    <row r="812" spans="1:37" customFormat="1">
      <c r="A812" t="s">
        <v>23</v>
      </c>
      <c r="B812" t="s">
        <v>24</v>
      </c>
      <c r="C812" t="s">
        <v>175</v>
      </c>
      <c r="D812" t="s">
        <v>135</v>
      </c>
      <c r="E812" t="s">
        <v>2278</v>
      </c>
      <c r="F812" t="s">
        <v>931</v>
      </c>
      <c r="G812" t="s">
        <v>136</v>
      </c>
      <c r="H812" t="s">
        <v>142</v>
      </c>
      <c r="I812" t="s">
        <v>156</v>
      </c>
      <c r="J812" t="s">
        <v>26</v>
      </c>
      <c r="K812" t="s">
        <v>157</v>
      </c>
      <c r="L812" t="s">
        <v>143</v>
      </c>
      <c r="M812" t="s">
        <v>144</v>
      </c>
      <c r="N812" t="s">
        <v>2365</v>
      </c>
      <c r="O812">
        <v>1</v>
      </c>
      <c r="P812" t="s">
        <v>160</v>
      </c>
      <c r="R812">
        <v>714</v>
      </c>
      <c r="S812">
        <v>711.2</v>
      </c>
      <c r="T812" t="s">
        <v>145</v>
      </c>
      <c r="U812" t="s">
        <v>2422</v>
      </c>
      <c r="V812" t="s">
        <v>27</v>
      </c>
      <c r="W812" t="s">
        <v>66</v>
      </c>
      <c r="X812" t="s">
        <v>67</v>
      </c>
      <c r="Y812" t="s">
        <v>138</v>
      </c>
      <c r="AA812" t="s">
        <v>494</v>
      </c>
      <c r="AC812" t="s">
        <v>139</v>
      </c>
      <c r="AD812" t="s">
        <v>2483</v>
      </c>
      <c r="AG812" t="s">
        <v>156</v>
      </c>
      <c r="AH812" t="s">
        <v>68</v>
      </c>
      <c r="AI812" t="s">
        <v>493</v>
      </c>
      <c r="AK812" t="s">
        <v>2366</v>
      </c>
    </row>
    <row r="813" spans="1:37" customFormat="1">
      <c r="A813" t="s">
        <v>23</v>
      </c>
      <c r="B813" t="s">
        <v>24</v>
      </c>
      <c r="C813" t="s">
        <v>175</v>
      </c>
      <c r="D813" t="s">
        <v>135</v>
      </c>
      <c r="E813" t="s">
        <v>2278</v>
      </c>
      <c r="F813" t="s">
        <v>931</v>
      </c>
      <c r="G813" t="s">
        <v>136</v>
      </c>
      <c r="H813" t="s">
        <v>142</v>
      </c>
      <c r="I813" t="s">
        <v>156</v>
      </c>
      <c r="J813" t="s">
        <v>26</v>
      </c>
      <c r="K813" t="s">
        <v>157</v>
      </c>
      <c r="L813" t="s">
        <v>143</v>
      </c>
      <c r="M813" t="s">
        <v>144</v>
      </c>
      <c r="N813" t="s">
        <v>2367</v>
      </c>
      <c r="O813">
        <v>1</v>
      </c>
      <c r="P813" t="s">
        <v>160</v>
      </c>
      <c r="R813">
        <v>716</v>
      </c>
      <c r="S813">
        <v>711.2</v>
      </c>
      <c r="T813" t="s">
        <v>145</v>
      </c>
      <c r="U813" t="s">
        <v>2422</v>
      </c>
      <c r="V813" t="s">
        <v>27</v>
      </c>
      <c r="W813" t="s">
        <v>66</v>
      </c>
      <c r="X813" t="s">
        <v>67</v>
      </c>
      <c r="Y813" t="s">
        <v>138</v>
      </c>
      <c r="AA813" t="s">
        <v>494</v>
      </c>
      <c r="AC813" t="s">
        <v>139</v>
      </c>
      <c r="AD813" t="s">
        <v>2484</v>
      </c>
      <c r="AG813" t="s">
        <v>156</v>
      </c>
      <c r="AH813" t="s">
        <v>68</v>
      </c>
      <c r="AI813" t="s">
        <v>493</v>
      </c>
      <c r="AK813" t="s">
        <v>2368</v>
      </c>
    </row>
    <row r="814" spans="1:37" customFormat="1">
      <c r="A814" t="s">
        <v>23</v>
      </c>
      <c r="B814" t="s">
        <v>24</v>
      </c>
      <c r="C814" t="s">
        <v>175</v>
      </c>
      <c r="D814" t="s">
        <v>135</v>
      </c>
      <c r="E814" t="s">
        <v>2278</v>
      </c>
      <c r="F814" t="s">
        <v>931</v>
      </c>
      <c r="G814" t="s">
        <v>136</v>
      </c>
      <c r="H814" t="s">
        <v>142</v>
      </c>
      <c r="I814" t="s">
        <v>156</v>
      </c>
      <c r="J814" t="s">
        <v>26</v>
      </c>
      <c r="K814" t="s">
        <v>157</v>
      </c>
      <c r="L814" t="s">
        <v>143</v>
      </c>
      <c r="M814" t="s">
        <v>144</v>
      </c>
      <c r="N814" t="s">
        <v>2369</v>
      </c>
      <c r="O814">
        <v>1</v>
      </c>
      <c r="P814" t="s">
        <v>160</v>
      </c>
      <c r="R814">
        <v>718</v>
      </c>
      <c r="S814">
        <v>711.2</v>
      </c>
      <c r="T814" t="s">
        <v>145</v>
      </c>
      <c r="U814" t="s">
        <v>2422</v>
      </c>
      <c r="V814" t="s">
        <v>27</v>
      </c>
      <c r="W814" t="s">
        <v>66</v>
      </c>
      <c r="X814" t="s">
        <v>67</v>
      </c>
      <c r="Y814" t="s">
        <v>138</v>
      </c>
      <c r="AA814" t="s">
        <v>494</v>
      </c>
      <c r="AC814" t="s">
        <v>139</v>
      </c>
      <c r="AD814" t="s">
        <v>2485</v>
      </c>
      <c r="AG814" t="s">
        <v>156</v>
      </c>
      <c r="AH814" t="s">
        <v>68</v>
      </c>
      <c r="AI814" t="s">
        <v>493</v>
      </c>
      <c r="AK814" t="s">
        <v>2370</v>
      </c>
    </row>
    <row r="815" spans="1:37" customFormat="1">
      <c r="A815" t="s">
        <v>23</v>
      </c>
      <c r="B815" t="s">
        <v>24</v>
      </c>
      <c r="C815" t="s">
        <v>175</v>
      </c>
      <c r="D815" t="s">
        <v>135</v>
      </c>
      <c r="E815" t="s">
        <v>2278</v>
      </c>
      <c r="F815" t="s">
        <v>931</v>
      </c>
      <c r="G815" t="s">
        <v>136</v>
      </c>
      <c r="H815" t="s">
        <v>142</v>
      </c>
      <c r="I815" t="s">
        <v>156</v>
      </c>
      <c r="J815" t="s">
        <v>26</v>
      </c>
      <c r="K815" t="s">
        <v>157</v>
      </c>
      <c r="L815" t="s">
        <v>143</v>
      </c>
      <c r="M815" t="s">
        <v>144</v>
      </c>
      <c r="N815" t="s">
        <v>2371</v>
      </c>
      <c r="O815">
        <v>1</v>
      </c>
      <c r="P815" t="s">
        <v>160</v>
      </c>
      <c r="R815">
        <v>715</v>
      </c>
      <c r="S815">
        <v>711.2</v>
      </c>
      <c r="T815" t="s">
        <v>145</v>
      </c>
      <c r="U815" t="s">
        <v>2422</v>
      </c>
      <c r="V815" t="s">
        <v>27</v>
      </c>
      <c r="W815" t="s">
        <v>66</v>
      </c>
      <c r="X815" t="s">
        <v>67</v>
      </c>
      <c r="Y815" t="s">
        <v>138</v>
      </c>
      <c r="AA815" t="s">
        <v>494</v>
      </c>
      <c r="AC815" t="s">
        <v>139</v>
      </c>
      <c r="AD815" t="s">
        <v>2486</v>
      </c>
      <c r="AG815" t="s">
        <v>156</v>
      </c>
      <c r="AH815" t="s">
        <v>68</v>
      </c>
      <c r="AI815" t="s">
        <v>493</v>
      </c>
      <c r="AK815" t="s">
        <v>2372</v>
      </c>
    </row>
    <row r="816" spans="1:37" customFormat="1">
      <c r="A816" t="s">
        <v>23</v>
      </c>
      <c r="B816" t="s">
        <v>24</v>
      </c>
      <c r="C816" t="s">
        <v>175</v>
      </c>
      <c r="D816" t="s">
        <v>135</v>
      </c>
      <c r="E816" t="s">
        <v>2278</v>
      </c>
      <c r="F816" t="s">
        <v>931</v>
      </c>
      <c r="G816" t="s">
        <v>136</v>
      </c>
      <c r="H816" t="s">
        <v>142</v>
      </c>
      <c r="I816" t="s">
        <v>156</v>
      </c>
      <c r="J816" t="s">
        <v>26</v>
      </c>
      <c r="K816" t="s">
        <v>157</v>
      </c>
      <c r="L816" t="s">
        <v>143</v>
      </c>
      <c r="M816" t="s">
        <v>144</v>
      </c>
      <c r="N816" t="s">
        <v>2373</v>
      </c>
      <c r="O816">
        <v>1</v>
      </c>
      <c r="P816" t="s">
        <v>160</v>
      </c>
      <c r="R816">
        <v>715</v>
      </c>
      <c r="S816">
        <v>711.2</v>
      </c>
      <c r="T816" t="s">
        <v>145</v>
      </c>
      <c r="U816" t="s">
        <v>2422</v>
      </c>
      <c r="V816" t="s">
        <v>27</v>
      </c>
      <c r="W816" t="s">
        <v>66</v>
      </c>
      <c r="X816" t="s">
        <v>67</v>
      </c>
      <c r="Y816" t="s">
        <v>138</v>
      </c>
      <c r="AA816" t="s">
        <v>494</v>
      </c>
      <c r="AC816" t="s">
        <v>139</v>
      </c>
      <c r="AD816" t="s">
        <v>2487</v>
      </c>
      <c r="AG816" t="s">
        <v>156</v>
      </c>
      <c r="AH816" t="s">
        <v>68</v>
      </c>
      <c r="AI816" t="s">
        <v>493</v>
      </c>
      <c r="AK816" t="s">
        <v>2374</v>
      </c>
    </row>
    <row r="817" spans="1:37" customFormat="1">
      <c r="A817" t="s">
        <v>23</v>
      </c>
      <c r="B817" t="s">
        <v>24</v>
      </c>
      <c r="C817" t="s">
        <v>934</v>
      </c>
      <c r="D817" t="s">
        <v>135</v>
      </c>
      <c r="E817" t="s">
        <v>2375</v>
      </c>
      <c r="F817" t="s">
        <v>931</v>
      </c>
      <c r="G817" t="s">
        <v>136</v>
      </c>
      <c r="H817" t="s">
        <v>142</v>
      </c>
      <c r="I817" t="s">
        <v>71</v>
      </c>
      <c r="J817" t="s">
        <v>72</v>
      </c>
      <c r="K817" t="s">
        <v>65</v>
      </c>
      <c r="L817" t="s">
        <v>143</v>
      </c>
      <c r="M817" t="s">
        <v>144</v>
      </c>
      <c r="N817" t="s">
        <v>2376</v>
      </c>
      <c r="O817">
        <v>1188</v>
      </c>
      <c r="P817" t="s">
        <v>35</v>
      </c>
      <c r="R817">
        <v>1191</v>
      </c>
      <c r="S817">
        <v>1188</v>
      </c>
      <c r="T817" t="s">
        <v>493</v>
      </c>
      <c r="U817" t="s">
        <v>493</v>
      </c>
      <c r="V817" t="s">
        <v>27</v>
      </c>
      <c r="W817" t="s">
        <v>66</v>
      </c>
      <c r="X817" t="s">
        <v>67</v>
      </c>
      <c r="Y817" t="s">
        <v>138</v>
      </c>
      <c r="AA817" t="s">
        <v>494</v>
      </c>
      <c r="AC817" t="s">
        <v>139</v>
      </c>
      <c r="AD817" t="s">
        <v>2488</v>
      </c>
      <c r="AG817" t="s">
        <v>71</v>
      </c>
      <c r="AH817" t="s">
        <v>68</v>
      </c>
      <c r="AI817" t="s">
        <v>493</v>
      </c>
    </row>
    <row r="818" spans="1:37" customFormat="1">
      <c r="A818" t="s">
        <v>23</v>
      </c>
      <c r="B818" t="s">
        <v>24</v>
      </c>
      <c r="C818" t="s">
        <v>934</v>
      </c>
      <c r="D818" t="s">
        <v>135</v>
      </c>
      <c r="E818" t="s">
        <v>2375</v>
      </c>
      <c r="F818" t="s">
        <v>931</v>
      </c>
      <c r="G818" t="s">
        <v>136</v>
      </c>
      <c r="H818" t="s">
        <v>142</v>
      </c>
      <c r="I818" t="s">
        <v>71</v>
      </c>
      <c r="J818" t="s">
        <v>72</v>
      </c>
      <c r="K818" t="s">
        <v>65</v>
      </c>
      <c r="L818" t="s">
        <v>143</v>
      </c>
      <c r="M818" t="s">
        <v>144</v>
      </c>
      <c r="N818" t="s">
        <v>2377</v>
      </c>
      <c r="O818">
        <v>1105</v>
      </c>
      <c r="P818" t="s">
        <v>35</v>
      </c>
      <c r="R818">
        <v>1108</v>
      </c>
      <c r="S818">
        <v>1105</v>
      </c>
      <c r="T818" t="s">
        <v>493</v>
      </c>
      <c r="U818" t="s">
        <v>493</v>
      </c>
      <c r="V818" t="s">
        <v>27</v>
      </c>
      <c r="W818" t="s">
        <v>66</v>
      </c>
      <c r="X818" t="s">
        <v>67</v>
      </c>
      <c r="Y818" t="s">
        <v>138</v>
      </c>
      <c r="AA818" t="s">
        <v>494</v>
      </c>
      <c r="AC818" t="s">
        <v>139</v>
      </c>
      <c r="AD818" t="s">
        <v>2489</v>
      </c>
      <c r="AG818" t="s">
        <v>71</v>
      </c>
      <c r="AH818" t="s">
        <v>68</v>
      </c>
      <c r="AI818" t="s">
        <v>493</v>
      </c>
    </row>
    <row r="819" spans="1:37" customFormat="1">
      <c r="A819" t="s">
        <v>23</v>
      </c>
      <c r="B819" t="s">
        <v>24</v>
      </c>
      <c r="C819" t="s">
        <v>934</v>
      </c>
      <c r="D819" t="s">
        <v>135</v>
      </c>
      <c r="E819" t="s">
        <v>2375</v>
      </c>
      <c r="F819" t="s">
        <v>931</v>
      </c>
      <c r="G819" t="s">
        <v>136</v>
      </c>
      <c r="H819" t="s">
        <v>142</v>
      </c>
      <c r="I819" t="s">
        <v>71</v>
      </c>
      <c r="J819" t="s">
        <v>72</v>
      </c>
      <c r="K819" t="s">
        <v>65</v>
      </c>
      <c r="L819" t="s">
        <v>143</v>
      </c>
      <c r="M819" t="s">
        <v>144</v>
      </c>
      <c r="N819" t="s">
        <v>2378</v>
      </c>
      <c r="O819">
        <v>1161</v>
      </c>
      <c r="P819" t="s">
        <v>35</v>
      </c>
      <c r="R819">
        <v>1164</v>
      </c>
      <c r="S819">
        <v>1161</v>
      </c>
      <c r="T819" t="s">
        <v>493</v>
      </c>
      <c r="U819" t="s">
        <v>493</v>
      </c>
      <c r="V819" t="s">
        <v>27</v>
      </c>
      <c r="W819" t="s">
        <v>66</v>
      </c>
      <c r="X819" t="s">
        <v>67</v>
      </c>
      <c r="Y819" t="s">
        <v>138</v>
      </c>
      <c r="AA819" t="s">
        <v>494</v>
      </c>
      <c r="AC819" t="s">
        <v>139</v>
      </c>
      <c r="AD819" t="s">
        <v>2490</v>
      </c>
      <c r="AG819" t="s">
        <v>71</v>
      </c>
      <c r="AH819" t="s">
        <v>68</v>
      </c>
      <c r="AI819" t="s">
        <v>493</v>
      </c>
    </row>
    <row r="820" spans="1:37" customFormat="1">
      <c r="A820" t="s">
        <v>23</v>
      </c>
      <c r="B820" t="s">
        <v>24</v>
      </c>
      <c r="C820" t="s">
        <v>934</v>
      </c>
      <c r="D820" t="s">
        <v>135</v>
      </c>
      <c r="E820" t="s">
        <v>2375</v>
      </c>
      <c r="F820" t="s">
        <v>931</v>
      </c>
      <c r="G820" t="s">
        <v>136</v>
      </c>
      <c r="H820" t="s">
        <v>142</v>
      </c>
      <c r="I820" t="s">
        <v>71</v>
      </c>
      <c r="J820" t="s">
        <v>72</v>
      </c>
      <c r="K820" t="s">
        <v>65</v>
      </c>
      <c r="L820" t="s">
        <v>143</v>
      </c>
      <c r="M820" t="s">
        <v>144</v>
      </c>
      <c r="N820" t="s">
        <v>2379</v>
      </c>
      <c r="O820">
        <v>1103</v>
      </c>
      <c r="P820" t="s">
        <v>35</v>
      </c>
      <c r="R820">
        <v>1106</v>
      </c>
      <c r="S820">
        <v>1103</v>
      </c>
      <c r="T820" t="s">
        <v>493</v>
      </c>
      <c r="U820" t="s">
        <v>493</v>
      </c>
      <c r="V820" t="s">
        <v>27</v>
      </c>
      <c r="W820" t="s">
        <v>66</v>
      </c>
      <c r="X820" t="s">
        <v>67</v>
      </c>
      <c r="Y820" t="s">
        <v>138</v>
      </c>
      <c r="AA820" t="s">
        <v>494</v>
      </c>
      <c r="AC820" t="s">
        <v>139</v>
      </c>
      <c r="AD820" t="s">
        <v>2491</v>
      </c>
      <c r="AG820" t="s">
        <v>71</v>
      </c>
      <c r="AH820" t="s">
        <v>68</v>
      </c>
      <c r="AI820" t="s">
        <v>493</v>
      </c>
    </row>
    <row r="821" spans="1:37" customFormat="1">
      <c r="A821" t="s">
        <v>23</v>
      </c>
      <c r="B821" t="s">
        <v>24</v>
      </c>
      <c r="C821" t="s">
        <v>934</v>
      </c>
      <c r="D821" t="s">
        <v>135</v>
      </c>
      <c r="E821" t="s">
        <v>2375</v>
      </c>
      <c r="F821" t="s">
        <v>931</v>
      </c>
      <c r="G821" t="s">
        <v>136</v>
      </c>
      <c r="H821" t="s">
        <v>142</v>
      </c>
      <c r="I821" t="s">
        <v>71</v>
      </c>
      <c r="J821" t="s">
        <v>72</v>
      </c>
      <c r="K821" t="s">
        <v>65</v>
      </c>
      <c r="L821" t="s">
        <v>143</v>
      </c>
      <c r="M821" t="s">
        <v>144</v>
      </c>
      <c r="N821" t="s">
        <v>2380</v>
      </c>
      <c r="O821">
        <v>1104</v>
      </c>
      <c r="P821" t="s">
        <v>35</v>
      </c>
      <c r="R821">
        <v>1107</v>
      </c>
      <c r="S821">
        <v>1104</v>
      </c>
      <c r="T821" t="s">
        <v>493</v>
      </c>
      <c r="U821" t="s">
        <v>493</v>
      </c>
      <c r="V821" t="s">
        <v>27</v>
      </c>
      <c r="W821" t="s">
        <v>66</v>
      </c>
      <c r="X821" t="s">
        <v>67</v>
      </c>
      <c r="Y821" t="s">
        <v>138</v>
      </c>
      <c r="AA821" t="s">
        <v>494</v>
      </c>
      <c r="AC821" t="s">
        <v>139</v>
      </c>
      <c r="AD821" t="s">
        <v>2492</v>
      </c>
      <c r="AG821" t="s">
        <v>71</v>
      </c>
      <c r="AH821" t="s">
        <v>68</v>
      </c>
      <c r="AI821" t="s">
        <v>493</v>
      </c>
    </row>
    <row r="822" spans="1:37" customFormat="1">
      <c r="A822" t="s">
        <v>23</v>
      </c>
      <c r="B822" t="s">
        <v>24</v>
      </c>
      <c r="C822" t="s">
        <v>934</v>
      </c>
      <c r="D822" t="s">
        <v>135</v>
      </c>
      <c r="E822" t="s">
        <v>2375</v>
      </c>
      <c r="F822" t="s">
        <v>931</v>
      </c>
      <c r="G822" t="s">
        <v>136</v>
      </c>
      <c r="H822" t="s">
        <v>142</v>
      </c>
      <c r="I822" t="s">
        <v>71</v>
      </c>
      <c r="J822" t="s">
        <v>72</v>
      </c>
      <c r="K822" t="s">
        <v>65</v>
      </c>
      <c r="L822" t="s">
        <v>143</v>
      </c>
      <c r="M822" t="s">
        <v>144</v>
      </c>
      <c r="N822" t="s">
        <v>2381</v>
      </c>
      <c r="O822">
        <v>1113</v>
      </c>
      <c r="P822" t="s">
        <v>35</v>
      </c>
      <c r="R822">
        <v>1116</v>
      </c>
      <c r="S822">
        <v>1113</v>
      </c>
      <c r="T822" t="s">
        <v>493</v>
      </c>
      <c r="U822" t="s">
        <v>493</v>
      </c>
      <c r="V822" t="s">
        <v>27</v>
      </c>
      <c r="W822" t="s">
        <v>66</v>
      </c>
      <c r="X822" t="s">
        <v>67</v>
      </c>
      <c r="Y822" t="s">
        <v>138</v>
      </c>
      <c r="AA822" t="s">
        <v>494</v>
      </c>
      <c r="AC822" t="s">
        <v>139</v>
      </c>
      <c r="AD822" t="s">
        <v>2493</v>
      </c>
      <c r="AG822" t="s">
        <v>71</v>
      </c>
      <c r="AH822" t="s">
        <v>68</v>
      </c>
      <c r="AI822" t="s">
        <v>493</v>
      </c>
    </row>
    <row r="823" spans="1:37" customFormat="1">
      <c r="A823" t="s">
        <v>23</v>
      </c>
      <c r="B823" t="s">
        <v>24</v>
      </c>
      <c r="C823" t="s">
        <v>934</v>
      </c>
      <c r="D823" t="s">
        <v>135</v>
      </c>
      <c r="E823" t="s">
        <v>2375</v>
      </c>
      <c r="F823" t="s">
        <v>931</v>
      </c>
      <c r="G823" t="s">
        <v>136</v>
      </c>
      <c r="H823" t="s">
        <v>142</v>
      </c>
      <c r="I823" t="s">
        <v>71</v>
      </c>
      <c r="J823" t="s">
        <v>72</v>
      </c>
      <c r="K823" t="s">
        <v>65</v>
      </c>
      <c r="L823" t="s">
        <v>143</v>
      </c>
      <c r="M823" t="s">
        <v>144</v>
      </c>
      <c r="N823" t="s">
        <v>2382</v>
      </c>
      <c r="O823">
        <v>1103</v>
      </c>
      <c r="P823" t="s">
        <v>35</v>
      </c>
      <c r="R823">
        <v>1106</v>
      </c>
      <c r="S823">
        <v>1103</v>
      </c>
      <c r="T823" t="s">
        <v>493</v>
      </c>
      <c r="U823" t="s">
        <v>493</v>
      </c>
      <c r="V823" t="s">
        <v>27</v>
      </c>
      <c r="W823" t="s">
        <v>66</v>
      </c>
      <c r="X823" t="s">
        <v>67</v>
      </c>
      <c r="Y823" t="s">
        <v>138</v>
      </c>
      <c r="AA823" t="s">
        <v>494</v>
      </c>
      <c r="AC823" t="s">
        <v>139</v>
      </c>
      <c r="AD823" t="s">
        <v>2494</v>
      </c>
      <c r="AG823" t="s">
        <v>71</v>
      </c>
      <c r="AH823" t="s">
        <v>68</v>
      </c>
      <c r="AI823" t="s">
        <v>493</v>
      </c>
    </row>
    <row r="824" spans="1:37" customFormat="1">
      <c r="A824" t="s">
        <v>23</v>
      </c>
      <c r="B824" t="s">
        <v>24</v>
      </c>
      <c r="C824" t="s">
        <v>934</v>
      </c>
      <c r="D824" t="s">
        <v>135</v>
      </c>
      <c r="E824" t="s">
        <v>2375</v>
      </c>
      <c r="F824" t="s">
        <v>931</v>
      </c>
      <c r="G824" t="s">
        <v>136</v>
      </c>
      <c r="H824" t="s">
        <v>142</v>
      </c>
      <c r="I824" t="s">
        <v>71</v>
      </c>
      <c r="J824" t="s">
        <v>72</v>
      </c>
      <c r="K824" t="s">
        <v>65</v>
      </c>
      <c r="L824" t="s">
        <v>143</v>
      </c>
      <c r="M824" t="s">
        <v>144</v>
      </c>
      <c r="N824" t="s">
        <v>2383</v>
      </c>
      <c r="O824">
        <v>1151</v>
      </c>
      <c r="P824" t="s">
        <v>35</v>
      </c>
      <c r="R824">
        <v>1154</v>
      </c>
      <c r="S824">
        <v>1151</v>
      </c>
      <c r="T824" t="s">
        <v>493</v>
      </c>
      <c r="U824" t="s">
        <v>493</v>
      </c>
      <c r="V824" t="s">
        <v>27</v>
      </c>
      <c r="W824" t="s">
        <v>66</v>
      </c>
      <c r="X824" t="s">
        <v>67</v>
      </c>
      <c r="Y824" t="s">
        <v>138</v>
      </c>
      <c r="AA824" t="s">
        <v>494</v>
      </c>
      <c r="AC824" t="s">
        <v>139</v>
      </c>
      <c r="AD824" t="s">
        <v>2495</v>
      </c>
      <c r="AG824" t="s">
        <v>71</v>
      </c>
      <c r="AH824" t="s">
        <v>68</v>
      </c>
      <c r="AI824" t="s">
        <v>493</v>
      </c>
    </row>
    <row r="825" spans="1:37" customFormat="1">
      <c r="A825" t="s">
        <v>23</v>
      </c>
      <c r="B825" t="s">
        <v>24</v>
      </c>
      <c r="C825" t="s">
        <v>934</v>
      </c>
      <c r="D825" t="s">
        <v>135</v>
      </c>
      <c r="E825" t="s">
        <v>2375</v>
      </c>
      <c r="F825" t="s">
        <v>931</v>
      </c>
      <c r="G825" t="s">
        <v>136</v>
      </c>
      <c r="H825" t="s">
        <v>142</v>
      </c>
      <c r="I825" t="s">
        <v>71</v>
      </c>
      <c r="J825" t="s">
        <v>72</v>
      </c>
      <c r="K825" t="s">
        <v>65</v>
      </c>
      <c r="L825" t="s">
        <v>143</v>
      </c>
      <c r="M825" t="s">
        <v>144</v>
      </c>
      <c r="N825" t="s">
        <v>2384</v>
      </c>
      <c r="O825">
        <v>1151</v>
      </c>
      <c r="P825" t="s">
        <v>35</v>
      </c>
      <c r="R825">
        <v>1154</v>
      </c>
      <c r="S825">
        <v>1151</v>
      </c>
      <c r="T825" t="s">
        <v>493</v>
      </c>
      <c r="U825" t="s">
        <v>493</v>
      </c>
      <c r="V825" t="s">
        <v>27</v>
      </c>
      <c r="W825" t="s">
        <v>66</v>
      </c>
      <c r="X825" t="s">
        <v>67</v>
      </c>
      <c r="Y825" t="s">
        <v>138</v>
      </c>
      <c r="AA825" t="s">
        <v>494</v>
      </c>
      <c r="AC825" t="s">
        <v>139</v>
      </c>
      <c r="AD825" t="s">
        <v>2496</v>
      </c>
      <c r="AG825" t="s">
        <v>71</v>
      </c>
      <c r="AH825" t="s">
        <v>68</v>
      </c>
      <c r="AI825" t="s">
        <v>493</v>
      </c>
    </row>
    <row r="826" spans="1:37" customFormat="1">
      <c r="A826" t="s">
        <v>23</v>
      </c>
      <c r="B826" t="s">
        <v>24</v>
      </c>
      <c r="C826" t="s">
        <v>934</v>
      </c>
      <c r="D826" t="s">
        <v>135</v>
      </c>
      <c r="E826" t="s">
        <v>2375</v>
      </c>
      <c r="F826" t="s">
        <v>931</v>
      </c>
      <c r="G826" t="s">
        <v>136</v>
      </c>
      <c r="H826" t="s">
        <v>142</v>
      </c>
      <c r="I826" t="s">
        <v>71</v>
      </c>
      <c r="J826" t="s">
        <v>72</v>
      </c>
      <c r="K826" t="s">
        <v>65</v>
      </c>
      <c r="L826" t="s">
        <v>143</v>
      </c>
      <c r="M826" t="s">
        <v>144</v>
      </c>
      <c r="N826" t="s">
        <v>2385</v>
      </c>
      <c r="O826">
        <v>1150</v>
      </c>
      <c r="P826" t="s">
        <v>35</v>
      </c>
      <c r="R826">
        <v>1153</v>
      </c>
      <c r="S826">
        <v>1150</v>
      </c>
      <c r="T826" t="s">
        <v>493</v>
      </c>
      <c r="U826" t="s">
        <v>493</v>
      </c>
      <c r="V826" t="s">
        <v>27</v>
      </c>
      <c r="W826" t="s">
        <v>66</v>
      </c>
      <c r="X826" t="s">
        <v>67</v>
      </c>
      <c r="Y826" t="s">
        <v>138</v>
      </c>
      <c r="AA826" t="s">
        <v>494</v>
      </c>
      <c r="AC826" t="s">
        <v>139</v>
      </c>
      <c r="AD826" t="s">
        <v>2497</v>
      </c>
      <c r="AG826" t="s">
        <v>71</v>
      </c>
      <c r="AH826" t="s">
        <v>68</v>
      </c>
      <c r="AI826" t="s">
        <v>493</v>
      </c>
    </row>
    <row r="827" spans="1:37" customFormat="1">
      <c r="A827" t="s">
        <v>23</v>
      </c>
      <c r="B827" t="s">
        <v>24</v>
      </c>
      <c r="C827" t="s">
        <v>176</v>
      </c>
      <c r="D827" t="s">
        <v>135</v>
      </c>
      <c r="E827" t="s">
        <v>2386</v>
      </c>
      <c r="F827" t="s">
        <v>931</v>
      </c>
      <c r="G827" t="s">
        <v>136</v>
      </c>
      <c r="H827" t="s">
        <v>142</v>
      </c>
      <c r="I827" t="s">
        <v>156</v>
      </c>
      <c r="J827" t="s">
        <v>25</v>
      </c>
      <c r="K827" t="s">
        <v>157</v>
      </c>
      <c r="L827" t="s">
        <v>143</v>
      </c>
      <c r="M827" t="s">
        <v>144</v>
      </c>
      <c r="N827" t="s">
        <v>2387</v>
      </c>
      <c r="O827">
        <v>3</v>
      </c>
      <c r="P827" t="s">
        <v>159</v>
      </c>
      <c r="R827">
        <v>87</v>
      </c>
      <c r="S827">
        <v>53.34</v>
      </c>
      <c r="T827" t="s">
        <v>145</v>
      </c>
      <c r="U827" t="s">
        <v>185</v>
      </c>
      <c r="V827" t="s">
        <v>27</v>
      </c>
      <c r="W827" t="s">
        <v>66</v>
      </c>
      <c r="X827" t="s">
        <v>67</v>
      </c>
      <c r="Y827" t="s">
        <v>138</v>
      </c>
      <c r="AA827" t="s">
        <v>494</v>
      </c>
      <c r="AC827" t="s">
        <v>139</v>
      </c>
      <c r="AD827" t="s">
        <v>2498</v>
      </c>
      <c r="AG827" t="s">
        <v>156</v>
      </c>
      <c r="AH827" t="s">
        <v>68</v>
      </c>
      <c r="AI827" t="s">
        <v>493</v>
      </c>
    </row>
    <row r="828" spans="1:37" customFormat="1">
      <c r="A828" t="s">
        <v>23</v>
      </c>
      <c r="B828" t="s">
        <v>24</v>
      </c>
      <c r="C828" t="s">
        <v>934</v>
      </c>
      <c r="D828" t="s">
        <v>135</v>
      </c>
      <c r="E828" t="s">
        <v>2375</v>
      </c>
      <c r="F828" t="s">
        <v>931</v>
      </c>
      <c r="G828" t="s">
        <v>136</v>
      </c>
      <c r="H828" t="s">
        <v>142</v>
      </c>
      <c r="I828" t="s">
        <v>71</v>
      </c>
      <c r="J828" t="s">
        <v>72</v>
      </c>
      <c r="K828" t="s">
        <v>65</v>
      </c>
      <c r="L828" t="s">
        <v>143</v>
      </c>
      <c r="M828" t="s">
        <v>144</v>
      </c>
      <c r="N828" t="s">
        <v>2388</v>
      </c>
      <c r="O828">
        <v>1127</v>
      </c>
      <c r="P828" t="s">
        <v>35</v>
      </c>
      <c r="R828">
        <v>1130</v>
      </c>
      <c r="S828">
        <v>1127</v>
      </c>
      <c r="T828" t="s">
        <v>493</v>
      </c>
      <c r="U828" t="s">
        <v>493</v>
      </c>
      <c r="V828" t="s">
        <v>27</v>
      </c>
      <c r="W828" t="s">
        <v>66</v>
      </c>
      <c r="X828" t="s">
        <v>67</v>
      </c>
      <c r="Y828" t="s">
        <v>138</v>
      </c>
      <c r="AA828" t="s">
        <v>494</v>
      </c>
      <c r="AC828" t="s">
        <v>139</v>
      </c>
      <c r="AD828" t="s">
        <v>2499</v>
      </c>
      <c r="AG828" t="s">
        <v>71</v>
      </c>
      <c r="AH828" t="s">
        <v>68</v>
      </c>
      <c r="AI828" t="s">
        <v>493</v>
      </c>
    </row>
    <row r="829" spans="1:37" customFormat="1">
      <c r="A829" t="s">
        <v>23</v>
      </c>
      <c r="B829" t="s">
        <v>24</v>
      </c>
      <c r="C829" t="s">
        <v>1379</v>
      </c>
      <c r="D829" t="s">
        <v>135</v>
      </c>
      <c r="E829" t="s">
        <v>2389</v>
      </c>
      <c r="F829" t="s">
        <v>931</v>
      </c>
      <c r="G829" t="s">
        <v>136</v>
      </c>
      <c r="H829" t="s">
        <v>152</v>
      </c>
      <c r="I829" t="s">
        <v>156</v>
      </c>
      <c r="J829" t="s">
        <v>26</v>
      </c>
      <c r="K829" t="s">
        <v>157</v>
      </c>
      <c r="L829" t="s">
        <v>143</v>
      </c>
      <c r="M829" t="s">
        <v>144</v>
      </c>
      <c r="N829" t="s">
        <v>2390</v>
      </c>
      <c r="O829">
        <v>1</v>
      </c>
      <c r="P829" t="s">
        <v>160</v>
      </c>
      <c r="R829">
        <v>785</v>
      </c>
      <c r="S829">
        <v>780.4</v>
      </c>
      <c r="T829" t="s">
        <v>145</v>
      </c>
      <c r="U829" t="s">
        <v>2259</v>
      </c>
      <c r="V829" t="s">
        <v>27</v>
      </c>
      <c r="W829" t="s">
        <v>66</v>
      </c>
      <c r="X829" t="s">
        <v>67</v>
      </c>
      <c r="Y829" t="s">
        <v>148</v>
      </c>
      <c r="AA829" t="s">
        <v>494</v>
      </c>
      <c r="AC829" t="s">
        <v>139</v>
      </c>
      <c r="AD829" t="s">
        <v>2500</v>
      </c>
      <c r="AF829" t="s">
        <v>493</v>
      </c>
      <c r="AG829" t="s">
        <v>156</v>
      </c>
      <c r="AH829" t="s">
        <v>68</v>
      </c>
      <c r="AI829" t="s">
        <v>493</v>
      </c>
      <c r="AK829" t="s">
        <v>2391</v>
      </c>
    </row>
    <row r="830" spans="1:37" customFormat="1">
      <c r="A830" t="s">
        <v>23</v>
      </c>
      <c r="B830" t="s">
        <v>24</v>
      </c>
      <c r="C830" t="s">
        <v>934</v>
      </c>
      <c r="D830" t="s">
        <v>135</v>
      </c>
      <c r="E830" t="s">
        <v>2375</v>
      </c>
      <c r="F830" t="s">
        <v>931</v>
      </c>
      <c r="G830" t="s">
        <v>136</v>
      </c>
      <c r="H830" t="s">
        <v>142</v>
      </c>
      <c r="I830" t="s">
        <v>71</v>
      </c>
      <c r="J830" t="s">
        <v>72</v>
      </c>
      <c r="K830" t="s">
        <v>65</v>
      </c>
      <c r="L830" t="s">
        <v>143</v>
      </c>
      <c r="M830" t="s">
        <v>144</v>
      </c>
      <c r="N830" t="s">
        <v>2392</v>
      </c>
      <c r="O830">
        <v>1152</v>
      </c>
      <c r="P830" t="s">
        <v>35</v>
      </c>
      <c r="R830">
        <v>1155</v>
      </c>
      <c r="S830">
        <v>1152</v>
      </c>
      <c r="T830" t="s">
        <v>493</v>
      </c>
      <c r="U830" t="s">
        <v>493</v>
      </c>
      <c r="V830" t="s">
        <v>27</v>
      </c>
      <c r="W830" t="s">
        <v>66</v>
      </c>
      <c r="X830" t="s">
        <v>67</v>
      </c>
      <c r="Y830" t="s">
        <v>138</v>
      </c>
      <c r="AA830" t="s">
        <v>494</v>
      </c>
      <c r="AC830" t="s">
        <v>139</v>
      </c>
      <c r="AD830" t="s">
        <v>2501</v>
      </c>
      <c r="AG830" t="s">
        <v>71</v>
      </c>
      <c r="AH830" t="s">
        <v>68</v>
      </c>
      <c r="AI830" t="s">
        <v>493</v>
      </c>
    </row>
    <row r="831" spans="1:37" customFormat="1">
      <c r="A831" t="s">
        <v>23</v>
      </c>
      <c r="B831" t="s">
        <v>24</v>
      </c>
      <c r="C831" t="s">
        <v>1379</v>
      </c>
      <c r="D831" t="s">
        <v>135</v>
      </c>
      <c r="E831" t="s">
        <v>2389</v>
      </c>
      <c r="F831" t="s">
        <v>931</v>
      </c>
      <c r="G831" t="s">
        <v>136</v>
      </c>
      <c r="H831" t="s">
        <v>152</v>
      </c>
      <c r="I831" t="s">
        <v>156</v>
      </c>
      <c r="J831" t="s">
        <v>26</v>
      </c>
      <c r="K831" t="s">
        <v>157</v>
      </c>
      <c r="L831" t="s">
        <v>143</v>
      </c>
      <c r="M831" t="s">
        <v>144</v>
      </c>
      <c r="N831" t="s">
        <v>2393</v>
      </c>
      <c r="O831">
        <v>1</v>
      </c>
      <c r="P831" t="s">
        <v>160</v>
      </c>
      <c r="R831">
        <v>787</v>
      </c>
      <c r="S831">
        <v>780.4</v>
      </c>
      <c r="T831" t="s">
        <v>145</v>
      </c>
      <c r="U831" t="s">
        <v>2259</v>
      </c>
      <c r="V831" t="s">
        <v>27</v>
      </c>
      <c r="W831" t="s">
        <v>66</v>
      </c>
      <c r="X831" t="s">
        <v>67</v>
      </c>
      <c r="Y831" t="s">
        <v>148</v>
      </c>
      <c r="AA831" t="s">
        <v>494</v>
      </c>
      <c r="AC831" t="s">
        <v>139</v>
      </c>
      <c r="AD831" t="s">
        <v>2502</v>
      </c>
      <c r="AF831" t="s">
        <v>493</v>
      </c>
      <c r="AG831" t="s">
        <v>156</v>
      </c>
      <c r="AH831" t="s">
        <v>68</v>
      </c>
      <c r="AI831" t="s">
        <v>493</v>
      </c>
      <c r="AK831" t="s">
        <v>2394</v>
      </c>
    </row>
    <row r="832" spans="1:37" customFormat="1">
      <c r="A832" t="s">
        <v>23</v>
      </c>
      <c r="B832" t="s">
        <v>24</v>
      </c>
      <c r="C832" t="s">
        <v>1379</v>
      </c>
      <c r="D832" t="s">
        <v>135</v>
      </c>
      <c r="E832" t="s">
        <v>2389</v>
      </c>
      <c r="F832" t="s">
        <v>931</v>
      </c>
      <c r="G832" t="s">
        <v>136</v>
      </c>
      <c r="H832" t="s">
        <v>152</v>
      </c>
      <c r="I832" t="s">
        <v>156</v>
      </c>
      <c r="J832" t="s">
        <v>26</v>
      </c>
      <c r="K832" t="s">
        <v>157</v>
      </c>
      <c r="L832" t="s">
        <v>143</v>
      </c>
      <c r="M832" t="s">
        <v>144</v>
      </c>
      <c r="N832" t="s">
        <v>2395</v>
      </c>
      <c r="O832">
        <v>1</v>
      </c>
      <c r="P832" t="s">
        <v>160</v>
      </c>
      <c r="R832">
        <v>787</v>
      </c>
      <c r="S832">
        <v>780.4</v>
      </c>
      <c r="T832" t="s">
        <v>145</v>
      </c>
      <c r="U832" t="s">
        <v>2259</v>
      </c>
      <c r="V832" t="s">
        <v>27</v>
      </c>
      <c r="W832" t="s">
        <v>66</v>
      </c>
      <c r="X832" t="s">
        <v>67</v>
      </c>
      <c r="Y832" t="s">
        <v>148</v>
      </c>
      <c r="AA832" t="s">
        <v>494</v>
      </c>
      <c r="AC832" t="s">
        <v>139</v>
      </c>
      <c r="AD832" t="s">
        <v>2503</v>
      </c>
      <c r="AF832" t="s">
        <v>493</v>
      </c>
      <c r="AG832" t="s">
        <v>156</v>
      </c>
      <c r="AH832" t="s">
        <v>68</v>
      </c>
      <c r="AI832" t="s">
        <v>493</v>
      </c>
      <c r="AK832" t="s">
        <v>2396</v>
      </c>
    </row>
    <row r="833" spans="1:37" customFormat="1">
      <c r="A833" t="s">
        <v>23</v>
      </c>
      <c r="B833" t="s">
        <v>24</v>
      </c>
      <c r="C833" t="s">
        <v>934</v>
      </c>
      <c r="D833" t="s">
        <v>135</v>
      </c>
      <c r="E833" t="s">
        <v>2375</v>
      </c>
      <c r="F833" t="s">
        <v>931</v>
      </c>
      <c r="G833" t="s">
        <v>136</v>
      </c>
      <c r="H833" t="s">
        <v>142</v>
      </c>
      <c r="I833" t="s">
        <v>71</v>
      </c>
      <c r="J833" t="s">
        <v>72</v>
      </c>
      <c r="K833" t="s">
        <v>65</v>
      </c>
      <c r="L833" t="s">
        <v>143</v>
      </c>
      <c r="M833" t="s">
        <v>144</v>
      </c>
      <c r="N833" t="s">
        <v>2397</v>
      </c>
      <c r="O833">
        <v>1151</v>
      </c>
      <c r="P833" t="s">
        <v>35</v>
      </c>
      <c r="R833">
        <v>1154</v>
      </c>
      <c r="S833">
        <v>1151</v>
      </c>
      <c r="T833" t="s">
        <v>493</v>
      </c>
      <c r="U833" t="s">
        <v>493</v>
      </c>
      <c r="V833" t="s">
        <v>27</v>
      </c>
      <c r="W833" t="s">
        <v>66</v>
      </c>
      <c r="X833" t="s">
        <v>67</v>
      </c>
      <c r="Y833" t="s">
        <v>138</v>
      </c>
      <c r="AA833" t="s">
        <v>494</v>
      </c>
      <c r="AC833" t="s">
        <v>139</v>
      </c>
      <c r="AD833" t="s">
        <v>2504</v>
      </c>
      <c r="AG833" t="s">
        <v>71</v>
      </c>
      <c r="AH833" t="s">
        <v>68</v>
      </c>
      <c r="AI833" t="s">
        <v>493</v>
      </c>
    </row>
    <row r="834" spans="1:37" customFormat="1">
      <c r="A834" t="s">
        <v>23</v>
      </c>
      <c r="B834" t="s">
        <v>24</v>
      </c>
      <c r="C834" t="s">
        <v>1379</v>
      </c>
      <c r="D834" t="s">
        <v>135</v>
      </c>
      <c r="E834" t="s">
        <v>2389</v>
      </c>
      <c r="F834" t="s">
        <v>931</v>
      </c>
      <c r="G834" t="s">
        <v>136</v>
      </c>
      <c r="H834" t="s">
        <v>152</v>
      </c>
      <c r="I834" t="s">
        <v>156</v>
      </c>
      <c r="J834" t="s">
        <v>26</v>
      </c>
      <c r="K834" t="s">
        <v>157</v>
      </c>
      <c r="L834" t="s">
        <v>143</v>
      </c>
      <c r="M834" t="s">
        <v>144</v>
      </c>
      <c r="N834" t="s">
        <v>2398</v>
      </c>
      <c r="O834">
        <v>1</v>
      </c>
      <c r="P834" t="s">
        <v>160</v>
      </c>
      <c r="R834">
        <v>786</v>
      </c>
      <c r="S834">
        <v>780.4</v>
      </c>
      <c r="T834" t="s">
        <v>145</v>
      </c>
      <c r="U834" t="s">
        <v>2259</v>
      </c>
      <c r="V834" t="s">
        <v>27</v>
      </c>
      <c r="W834" t="s">
        <v>66</v>
      </c>
      <c r="X834" t="s">
        <v>67</v>
      </c>
      <c r="Y834" t="s">
        <v>148</v>
      </c>
      <c r="AA834" t="s">
        <v>494</v>
      </c>
      <c r="AC834" t="s">
        <v>139</v>
      </c>
      <c r="AD834" t="s">
        <v>2505</v>
      </c>
      <c r="AF834" t="s">
        <v>493</v>
      </c>
      <c r="AG834" t="s">
        <v>156</v>
      </c>
      <c r="AH834" t="s">
        <v>68</v>
      </c>
      <c r="AI834" t="s">
        <v>493</v>
      </c>
      <c r="AK834" t="s">
        <v>2399</v>
      </c>
    </row>
    <row r="835" spans="1:37" customFormat="1">
      <c r="A835" t="s">
        <v>23</v>
      </c>
      <c r="B835" t="s">
        <v>24</v>
      </c>
      <c r="C835" t="s">
        <v>934</v>
      </c>
      <c r="D835" t="s">
        <v>135</v>
      </c>
      <c r="E835" t="s">
        <v>2375</v>
      </c>
      <c r="F835" t="s">
        <v>931</v>
      </c>
      <c r="G835" t="s">
        <v>136</v>
      </c>
      <c r="H835" t="s">
        <v>142</v>
      </c>
      <c r="I835" t="s">
        <v>71</v>
      </c>
      <c r="J835" t="s">
        <v>72</v>
      </c>
      <c r="K835" t="s">
        <v>65</v>
      </c>
      <c r="L835" t="s">
        <v>143</v>
      </c>
      <c r="M835" t="s">
        <v>144</v>
      </c>
      <c r="N835" t="s">
        <v>2400</v>
      </c>
      <c r="O835">
        <v>1151</v>
      </c>
      <c r="P835" t="s">
        <v>35</v>
      </c>
      <c r="R835">
        <v>1154</v>
      </c>
      <c r="S835">
        <v>1151</v>
      </c>
      <c r="T835" t="s">
        <v>493</v>
      </c>
      <c r="U835" t="s">
        <v>493</v>
      </c>
      <c r="V835" t="s">
        <v>27</v>
      </c>
      <c r="W835" t="s">
        <v>66</v>
      </c>
      <c r="X835" t="s">
        <v>67</v>
      </c>
      <c r="Y835" t="s">
        <v>138</v>
      </c>
      <c r="AA835" t="s">
        <v>494</v>
      </c>
      <c r="AC835" t="s">
        <v>139</v>
      </c>
      <c r="AD835" t="s">
        <v>2506</v>
      </c>
      <c r="AG835" t="s">
        <v>71</v>
      </c>
      <c r="AH835" t="s">
        <v>68</v>
      </c>
      <c r="AI835" t="s">
        <v>493</v>
      </c>
    </row>
    <row r="836" spans="1:37" customFormat="1">
      <c r="A836" t="s">
        <v>23</v>
      </c>
      <c r="B836" t="s">
        <v>24</v>
      </c>
      <c r="C836" t="s">
        <v>1379</v>
      </c>
      <c r="D836" t="s">
        <v>135</v>
      </c>
      <c r="E836" t="s">
        <v>2389</v>
      </c>
      <c r="F836" t="s">
        <v>931</v>
      </c>
      <c r="G836" t="s">
        <v>136</v>
      </c>
      <c r="H836" t="s">
        <v>152</v>
      </c>
      <c r="I836" t="s">
        <v>156</v>
      </c>
      <c r="J836" t="s">
        <v>26</v>
      </c>
      <c r="K836" t="s">
        <v>157</v>
      </c>
      <c r="L836" t="s">
        <v>143</v>
      </c>
      <c r="M836" t="s">
        <v>144</v>
      </c>
      <c r="N836" t="s">
        <v>2401</v>
      </c>
      <c r="O836">
        <v>1</v>
      </c>
      <c r="P836" t="s">
        <v>160</v>
      </c>
      <c r="R836">
        <v>787</v>
      </c>
      <c r="S836">
        <v>780.4</v>
      </c>
      <c r="T836" t="s">
        <v>145</v>
      </c>
      <c r="U836" t="s">
        <v>2259</v>
      </c>
      <c r="V836" t="s">
        <v>27</v>
      </c>
      <c r="W836" t="s">
        <v>66</v>
      </c>
      <c r="X836" t="s">
        <v>67</v>
      </c>
      <c r="Y836" t="s">
        <v>148</v>
      </c>
      <c r="AA836" t="s">
        <v>494</v>
      </c>
      <c r="AC836" t="s">
        <v>139</v>
      </c>
      <c r="AD836" t="s">
        <v>2507</v>
      </c>
      <c r="AF836" t="s">
        <v>493</v>
      </c>
      <c r="AG836" t="s">
        <v>156</v>
      </c>
      <c r="AH836" t="s">
        <v>68</v>
      </c>
      <c r="AI836" t="s">
        <v>493</v>
      </c>
      <c r="AK836" t="s">
        <v>2402</v>
      </c>
    </row>
    <row r="837" spans="1:37" customFormat="1">
      <c r="A837" t="s">
        <v>23</v>
      </c>
      <c r="B837" t="s">
        <v>24</v>
      </c>
      <c r="C837" t="s">
        <v>934</v>
      </c>
      <c r="D837" t="s">
        <v>135</v>
      </c>
      <c r="E837" t="s">
        <v>2375</v>
      </c>
      <c r="F837" t="s">
        <v>931</v>
      </c>
      <c r="G837" t="s">
        <v>136</v>
      </c>
      <c r="H837" t="s">
        <v>142</v>
      </c>
      <c r="I837" t="s">
        <v>71</v>
      </c>
      <c r="J837" t="s">
        <v>72</v>
      </c>
      <c r="K837" t="s">
        <v>65</v>
      </c>
      <c r="L837" t="s">
        <v>143</v>
      </c>
      <c r="M837" t="s">
        <v>144</v>
      </c>
      <c r="N837" t="s">
        <v>2403</v>
      </c>
      <c r="O837">
        <v>1126</v>
      </c>
      <c r="P837" t="s">
        <v>35</v>
      </c>
      <c r="R837">
        <v>1129</v>
      </c>
      <c r="S837">
        <v>1126</v>
      </c>
      <c r="T837" t="s">
        <v>493</v>
      </c>
      <c r="U837" t="s">
        <v>493</v>
      </c>
      <c r="V837" t="s">
        <v>27</v>
      </c>
      <c r="W837" t="s">
        <v>66</v>
      </c>
      <c r="X837" t="s">
        <v>67</v>
      </c>
      <c r="Y837" t="s">
        <v>138</v>
      </c>
      <c r="AA837" t="s">
        <v>494</v>
      </c>
      <c r="AC837" t="s">
        <v>139</v>
      </c>
      <c r="AD837" t="s">
        <v>2508</v>
      </c>
      <c r="AG837" t="s">
        <v>71</v>
      </c>
      <c r="AH837" t="s">
        <v>68</v>
      </c>
      <c r="AI837" t="s">
        <v>493</v>
      </c>
    </row>
    <row r="838" spans="1:37" customFormat="1">
      <c r="A838" t="s">
        <v>23</v>
      </c>
      <c r="B838" t="s">
        <v>24</v>
      </c>
      <c r="C838" t="s">
        <v>934</v>
      </c>
      <c r="D838" t="s">
        <v>135</v>
      </c>
      <c r="E838" t="s">
        <v>2375</v>
      </c>
      <c r="F838" t="s">
        <v>931</v>
      </c>
      <c r="G838" t="s">
        <v>136</v>
      </c>
      <c r="H838" t="s">
        <v>142</v>
      </c>
      <c r="I838" t="s">
        <v>71</v>
      </c>
      <c r="J838" t="s">
        <v>72</v>
      </c>
      <c r="K838" t="s">
        <v>65</v>
      </c>
      <c r="L838" t="s">
        <v>143</v>
      </c>
      <c r="M838" t="s">
        <v>144</v>
      </c>
      <c r="N838" t="s">
        <v>2404</v>
      </c>
      <c r="O838">
        <v>1156</v>
      </c>
      <c r="P838" t="s">
        <v>35</v>
      </c>
      <c r="R838">
        <v>1159</v>
      </c>
      <c r="S838">
        <v>1156</v>
      </c>
      <c r="T838" t="s">
        <v>493</v>
      </c>
      <c r="U838" t="s">
        <v>493</v>
      </c>
      <c r="V838" t="s">
        <v>27</v>
      </c>
      <c r="W838" t="s">
        <v>66</v>
      </c>
      <c r="X838" t="s">
        <v>67</v>
      </c>
      <c r="Y838" t="s">
        <v>138</v>
      </c>
      <c r="AA838" t="s">
        <v>494</v>
      </c>
      <c r="AC838" t="s">
        <v>139</v>
      </c>
      <c r="AD838" t="s">
        <v>2509</v>
      </c>
      <c r="AG838" t="s">
        <v>71</v>
      </c>
      <c r="AH838" t="s">
        <v>68</v>
      </c>
      <c r="AI838" t="s">
        <v>493</v>
      </c>
    </row>
    <row r="839" spans="1:37" customFormat="1">
      <c r="A839" t="s">
        <v>23</v>
      </c>
      <c r="B839" t="s">
        <v>24</v>
      </c>
      <c r="C839" t="s">
        <v>1379</v>
      </c>
      <c r="D839" t="s">
        <v>135</v>
      </c>
      <c r="E839" t="s">
        <v>2389</v>
      </c>
      <c r="F839" t="s">
        <v>931</v>
      </c>
      <c r="G839" t="s">
        <v>136</v>
      </c>
      <c r="H839" t="s">
        <v>152</v>
      </c>
      <c r="I839" t="s">
        <v>156</v>
      </c>
      <c r="J839" t="s">
        <v>26</v>
      </c>
      <c r="K839" t="s">
        <v>157</v>
      </c>
      <c r="L839" t="s">
        <v>143</v>
      </c>
      <c r="M839" t="s">
        <v>144</v>
      </c>
      <c r="N839" t="s">
        <v>2405</v>
      </c>
      <c r="O839">
        <v>1</v>
      </c>
      <c r="P839" t="s">
        <v>160</v>
      </c>
      <c r="R839">
        <v>788</v>
      </c>
      <c r="S839">
        <v>780.4</v>
      </c>
      <c r="T839" t="s">
        <v>145</v>
      </c>
      <c r="U839" t="s">
        <v>2259</v>
      </c>
      <c r="V839" t="s">
        <v>27</v>
      </c>
      <c r="W839" t="s">
        <v>66</v>
      </c>
      <c r="X839" t="s">
        <v>67</v>
      </c>
      <c r="Y839" t="s">
        <v>148</v>
      </c>
      <c r="AA839" t="s">
        <v>494</v>
      </c>
      <c r="AC839" t="s">
        <v>139</v>
      </c>
      <c r="AD839" t="s">
        <v>2510</v>
      </c>
      <c r="AF839" t="s">
        <v>493</v>
      </c>
      <c r="AG839" t="s">
        <v>156</v>
      </c>
      <c r="AH839" t="s">
        <v>68</v>
      </c>
      <c r="AI839" t="s">
        <v>493</v>
      </c>
      <c r="AK839" t="s">
        <v>2406</v>
      </c>
    </row>
    <row r="840" spans="1:37" customFormat="1">
      <c r="A840" t="s">
        <v>23</v>
      </c>
      <c r="B840" t="s">
        <v>24</v>
      </c>
      <c r="C840" t="s">
        <v>1379</v>
      </c>
      <c r="D840" t="s">
        <v>135</v>
      </c>
      <c r="E840" t="s">
        <v>2389</v>
      </c>
      <c r="F840" t="s">
        <v>931</v>
      </c>
      <c r="G840" t="s">
        <v>136</v>
      </c>
      <c r="H840" t="s">
        <v>152</v>
      </c>
      <c r="I840" t="s">
        <v>156</v>
      </c>
      <c r="J840" t="s">
        <v>26</v>
      </c>
      <c r="K840" t="s">
        <v>157</v>
      </c>
      <c r="L840" t="s">
        <v>143</v>
      </c>
      <c r="M840" t="s">
        <v>144</v>
      </c>
      <c r="N840" t="s">
        <v>2407</v>
      </c>
      <c r="O840">
        <v>1</v>
      </c>
      <c r="P840" t="s">
        <v>160</v>
      </c>
      <c r="R840">
        <v>787</v>
      </c>
      <c r="S840">
        <v>780.4</v>
      </c>
      <c r="T840" t="s">
        <v>145</v>
      </c>
      <c r="U840" t="s">
        <v>2259</v>
      </c>
      <c r="V840" t="s">
        <v>27</v>
      </c>
      <c r="W840" t="s">
        <v>66</v>
      </c>
      <c r="X840" t="s">
        <v>67</v>
      </c>
      <c r="Y840" t="s">
        <v>148</v>
      </c>
      <c r="AA840" t="s">
        <v>494</v>
      </c>
      <c r="AC840" t="s">
        <v>139</v>
      </c>
      <c r="AD840" t="s">
        <v>2511</v>
      </c>
      <c r="AF840" t="s">
        <v>493</v>
      </c>
      <c r="AG840" t="s">
        <v>156</v>
      </c>
      <c r="AH840" t="s">
        <v>68</v>
      </c>
      <c r="AI840" t="s">
        <v>493</v>
      </c>
      <c r="AK840" t="s">
        <v>2408</v>
      </c>
    </row>
    <row r="841" spans="1:37" customFormat="1">
      <c r="A841" t="s">
        <v>23</v>
      </c>
      <c r="B841" t="s">
        <v>24</v>
      </c>
      <c r="C841" t="s">
        <v>934</v>
      </c>
      <c r="D841" t="s">
        <v>135</v>
      </c>
      <c r="E841" t="s">
        <v>2375</v>
      </c>
      <c r="F841" t="s">
        <v>931</v>
      </c>
      <c r="G841" t="s">
        <v>136</v>
      </c>
      <c r="H841" t="s">
        <v>142</v>
      </c>
      <c r="I841" t="s">
        <v>71</v>
      </c>
      <c r="J841" t="s">
        <v>72</v>
      </c>
      <c r="K841" t="s">
        <v>65</v>
      </c>
      <c r="L841" t="s">
        <v>143</v>
      </c>
      <c r="M841" t="s">
        <v>144</v>
      </c>
      <c r="N841" t="s">
        <v>2409</v>
      </c>
      <c r="O841">
        <v>1134</v>
      </c>
      <c r="P841" t="s">
        <v>35</v>
      </c>
      <c r="R841">
        <v>1137</v>
      </c>
      <c r="S841">
        <v>1134</v>
      </c>
      <c r="T841" t="s">
        <v>493</v>
      </c>
      <c r="U841" t="s">
        <v>493</v>
      </c>
      <c r="V841" t="s">
        <v>27</v>
      </c>
      <c r="W841" t="s">
        <v>66</v>
      </c>
      <c r="X841" t="s">
        <v>67</v>
      </c>
      <c r="Y841" t="s">
        <v>138</v>
      </c>
      <c r="AA841" t="s">
        <v>494</v>
      </c>
      <c r="AC841" t="s">
        <v>139</v>
      </c>
      <c r="AD841" t="s">
        <v>2512</v>
      </c>
      <c r="AG841" t="s">
        <v>71</v>
      </c>
      <c r="AH841" t="s">
        <v>68</v>
      </c>
      <c r="AI841" t="s">
        <v>493</v>
      </c>
    </row>
    <row r="842" spans="1:37" customFormat="1">
      <c r="A842" t="s">
        <v>23</v>
      </c>
      <c r="B842" t="s">
        <v>24</v>
      </c>
      <c r="C842" t="s">
        <v>1379</v>
      </c>
      <c r="D842" t="s">
        <v>135</v>
      </c>
      <c r="E842" t="s">
        <v>2389</v>
      </c>
      <c r="F842" t="s">
        <v>931</v>
      </c>
      <c r="G842" t="s">
        <v>136</v>
      </c>
      <c r="H842" t="s">
        <v>152</v>
      </c>
      <c r="I842" t="s">
        <v>156</v>
      </c>
      <c r="J842" t="s">
        <v>26</v>
      </c>
      <c r="K842" t="s">
        <v>157</v>
      </c>
      <c r="L842" t="s">
        <v>143</v>
      </c>
      <c r="M842" t="s">
        <v>144</v>
      </c>
      <c r="N842" t="s">
        <v>2410</v>
      </c>
      <c r="O842">
        <v>1</v>
      </c>
      <c r="P842" t="s">
        <v>160</v>
      </c>
      <c r="R842">
        <v>784</v>
      </c>
      <c r="S842">
        <v>780.4</v>
      </c>
      <c r="T842" t="s">
        <v>145</v>
      </c>
      <c r="U842" t="s">
        <v>2259</v>
      </c>
      <c r="V842" t="s">
        <v>27</v>
      </c>
      <c r="W842" t="s">
        <v>66</v>
      </c>
      <c r="X842" t="s">
        <v>67</v>
      </c>
      <c r="Y842" t="s">
        <v>148</v>
      </c>
      <c r="AA842" t="s">
        <v>494</v>
      </c>
      <c r="AC842" t="s">
        <v>139</v>
      </c>
      <c r="AD842" t="s">
        <v>2513</v>
      </c>
      <c r="AF842" t="s">
        <v>493</v>
      </c>
      <c r="AG842" t="s">
        <v>156</v>
      </c>
      <c r="AH842" t="s">
        <v>68</v>
      </c>
      <c r="AI842" t="s">
        <v>493</v>
      </c>
      <c r="AK842" t="s">
        <v>2411</v>
      </c>
    </row>
    <row r="843" spans="1:37" customFormat="1">
      <c r="A843" t="s">
        <v>23</v>
      </c>
      <c r="B843" t="s">
        <v>24</v>
      </c>
      <c r="C843" t="s">
        <v>1379</v>
      </c>
      <c r="D843" t="s">
        <v>135</v>
      </c>
      <c r="E843" t="s">
        <v>2389</v>
      </c>
      <c r="F843" t="s">
        <v>931</v>
      </c>
      <c r="G843" t="s">
        <v>136</v>
      </c>
      <c r="H843" t="s">
        <v>152</v>
      </c>
      <c r="I843" t="s">
        <v>156</v>
      </c>
      <c r="J843" t="s">
        <v>26</v>
      </c>
      <c r="K843" t="s">
        <v>157</v>
      </c>
      <c r="L843" t="s">
        <v>143</v>
      </c>
      <c r="M843" t="s">
        <v>144</v>
      </c>
      <c r="N843" t="s">
        <v>2412</v>
      </c>
      <c r="O843">
        <v>1</v>
      </c>
      <c r="P843" t="s">
        <v>160</v>
      </c>
      <c r="R843">
        <v>785</v>
      </c>
      <c r="S843">
        <v>780.4</v>
      </c>
      <c r="T843" t="s">
        <v>145</v>
      </c>
      <c r="U843" t="s">
        <v>2259</v>
      </c>
      <c r="V843" t="s">
        <v>27</v>
      </c>
      <c r="W843" t="s">
        <v>66</v>
      </c>
      <c r="X843" t="s">
        <v>67</v>
      </c>
      <c r="Y843" t="s">
        <v>148</v>
      </c>
      <c r="AA843" t="s">
        <v>494</v>
      </c>
      <c r="AC843" t="s">
        <v>139</v>
      </c>
      <c r="AD843" t="s">
        <v>2514</v>
      </c>
      <c r="AF843" t="s">
        <v>493</v>
      </c>
      <c r="AG843" t="s">
        <v>156</v>
      </c>
      <c r="AH843" t="s">
        <v>68</v>
      </c>
      <c r="AI843" t="s">
        <v>493</v>
      </c>
      <c r="AK843" t="s">
        <v>2413</v>
      </c>
    </row>
    <row r="844" spans="1:37" customFormat="1">
      <c r="A844" t="s">
        <v>23</v>
      </c>
      <c r="B844" t="s">
        <v>24</v>
      </c>
      <c r="C844" t="s">
        <v>934</v>
      </c>
      <c r="D844" t="s">
        <v>135</v>
      </c>
      <c r="E844" t="s">
        <v>2375</v>
      </c>
      <c r="F844" t="s">
        <v>931</v>
      </c>
      <c r="G844" t="s">
        <v>136</v>
      </c>
      <c r="H844" t="s">
        <v>142</v>
      </c>
      <c r="I844" t="s">
        <v>71</v>
      </c>
      <c r="J844" t="s">
        <v>72</v>
      </c>
      <c r="K844" t="s">
        <v>65</v>
      </c>
      <c r="L844" t="s">
        <v>143</v>
      </c>
      <c r="M844" t="s">
        <v>144</v>
      </c>
      <c r="N844" t="s">
        <v>2414</v>
      </c>
      <c r="O844">
        <v>1033</v>
      </c>
      <c r="P844" t="s">
        <v>35</v>
      </c>
      <c r="R844">
        <v>1036</v>
      </c>
      <c r="S844">
        <v>1033</v>
      </c>
      <c r="T844" t="s">
        <v>493</v>
      </c>
      <c r="U844" t="s">
        <v>493</v>
      </c>
      <c r="V844" t="s">
        <v>27</v>
      </c>
      <c r="W844" t="s">
        <v>66</v>
      </c>
      <c r="X844" t="s">
        <v>67</v>
      </c>
      <c r="Y844" t="s">
        <v>138</v>
      </c>
      <c r="AA844" t="s">
        <v>494</v>
      </c>
      <c r="AC844" t="s">
        <v>139</v>
      </c>
      <c r="AD844" t="s">
        <v>2515</v>
      </c>
      <c r="AG844" t="s">
        <v>71</v>
      </c>
      <c r="AH844" t="s">
        <v>68</v>
      </c>
      <c r="AI844" t="s">
        <v>493</v>
      </c>
    </row>
    <row r="845" spans="1:37" customFormat="1">
      <c r="A845" t="s">
        <v>23</v>
      </c>
      <c r="B845" t="s">
        <v>24</v>
      </c>
      <c r="C845" t="s">
        <v>1379</v>
      </c>
      <c r="D845" t="s">
        <v>135</v>
      </c>
      <c r="E845" t="s">
        <v>2389</v>
      </c>
      <c r="F845" t="s">
        <v>931</v>
      </c>
      <c r="G845" t="s">
        <v>136</v>
      </c>
      <c r="H845" t="s">
        <v>152</v>
      </c>
      <c r="I845" t="s">
        <v>156</v>
      </c>
      <c r="J845" t="s">
        <v>26</v>
      </c>
      <c r="K845" t="s">
        <v>157</v>
      </c>
      <c r="L845" t="s">
        <v>143</v>
      </c>
      <c r="M845" t="s">
        <v>144</v>
      </c>
      <c r="N845" t="s">
        <v>2415</v>
      </c>
      <c r="O845">
        <v>1</v>
      </c>
      <c r="P845" t="s">
        <v>160</v>
      </c>
      <c r="R845">
        <v>783</v>
      </c>
      <c r="S845">
        <v>780.4</v>
      </c>
      <c r="T845" t="s">
        <v>145</v>
      </c>
      <c r="U845" t="s">
        <v>2259</v>
      </c>
      <c r="V845" t="s">
        <v>27</v>
      </c>
      <c r="W845" t="s">
        <v>66</v>
      </c>
      <c r="X845" t="s">
        <v>67</v>
      </c>
      <c r="Y845" t="s">
        <v>148</v>
      </c>
      <c r="AA845" t="s">
        <v>494</v>
      </c>
      <c r="AC845" t="s">
        <v>139</v>
      </c>
      <c r="AD845" t="s">
        <v>2516</v>
      </c>
      <c r="AF845" t="s">
        <v>493</v>
      </c>
      <c r="AG845" t="s">
        <v>156</v>
      </c>
      <c r="AH845" t="s">
        <v>68</v>
      </c>
      <c r="AI845" t="s">
        <v>493</v>
      </c>
      <c r="AK845" t="s">
        <v>2416</v>
      </c>
    </row>
    <row r="846" spans="1:37" customFormat="1">
      <c r="A846" t="s">
        <v>23</v>
      </c>
      <c r="B846" t="s">
        <v>24</v>
      </c>
      <c r="C846" t="s">
        <v>174</v>
      </c>
      <c r="D846" t="s">
        <v>135</v>
      </c>
      <c r="E846" t="s">
        <v>2417</v>
      </c>
      <c r="F846" t="s">
        <v>931</v>
      </c>
      <c r="G846" t="s">
        <v>136</v>
      </c>
      <c r="H846" t="s">
        <v>152</v>
      </c>
      <c r="I846" t="s">
        <v>156</v>
      </c>
      <c r="J846" t="s">
        <v>25</v>
      </c>
      <c r="K846" t="s">
        <v>157</v>
      </c>
      <c r="L846" t="s">
        <v>143</v>
      </c>
      <c r="M846" t="s">
        <v>144</v>
      </c>
      <c r="N846" t="s">
        <v>2418</v>
      </c>
      <c r="O846">
        <v>8</v>
      </c>
      <c r="P846" t="s">
        <v>159</v>
      </c>
      <c r="R846">
        <v>185</v>
      </c>
      <c r="S846">
        <v>156.08000000000001</v>
      </c>
      <c r="T846" t="s">
        <v>145</v>
      </c>
      <c r="U846" t="s">
        <v>185</v>
      </c>
      <c r="V846" t="s">
        <v>27</v>
      </c>
      <c r="W846" t="s">
        <v>66</v>
      </c>
      <c r="X846" t="s">
        <v>67</v>
      </c>
      <c r="Y846" t="s">
        <v>138</v>
      </c>
      <c r="AA846" t="s">
        <v>494</v>
      </c>
      <c r="AC846" t="s">
        <v>139</v>
      </c>
      <c r="AD846" t="s">
        <v>2517</v>
      </c>
      <c r="AG846" t="s">
        <v>156</v>
      </c>
      <c r="AH846" t="s">
        <v>68</v>
      </c>
      <c r="AI846" t="s">
        <v>493</v>
      </c>
    </row>
    <row r="847" spans="1:37" customFormat="1">
      <c r="A847" t="s">
        <v>23</v>
      </c>
      <c r="B847" t="s">
        <v>24</v>
      </c>
      <c r="C847" t="s">
        <v>179</v>
      </c>
      <c r="D847" t="s">
        <v>135</v>
      </c>
      <c r="E847" t="s">
        <v>2420</v>
      </c>
      <c r="F847" t="s">
        <v>931</v>
      </c>
      <c r="G847" t="s">
        <v>136</v>
      </c>
      <c r="H847" t="s">
        <v>146</v>
      </c>
      <c r="I847" t="s">
        <v>156</v>
      </c>
      <c r="J847" t="s">
        <v>26</v>
      </c>
      <c r="K847" t="s">
        <v>157</v>
      </c>
      <c r="L847" t="s">
        <v>143</v>
      </c>
      <c r="M847" t="s">
        <v>144</v>
      </c>
      <c r="N847" t="s">
        <v>2519</v>
      </c>
      <c r="O847">
        <v>1</v>
      </c>
      <c r="P847" t="s">
        <v>160</v>
      </c>
      <c r="R847">
        <v>802</v>
      </c>
      <c r="S847">
        <v>794.8</v>
      </c>
      <c r="T847" t="s">
        <v>145</v>
      </c>
      <c r="U847" t="s">
        <v>1689</v>
      </c>
      <c r="V847" t="s">
        <v>27</v>
      </c>
      <c r="W847" t="s">
        <v>66</v>
      </c>
      <c r="X847" t="s">
        <v>67</v>
      </c>
      <c r="Y847" t="s">
        <v>138</v>
      </c>
      <c r="AA847" t="s">
        <v>494</v>
      </c>
      <c r="AC847" t="s">
        <v>139</v>
      </c>
      <c r="AD847" t="s">
        <v>2520</v>
      </c>
      <c r="AG847" t="s">
        <v>156</v>
      </c>
      <c r="AH847" t="s">
        <v>68</v>
      </c>
      <c r="AI847" t="s">
        <v>493</v>
      </c>
      <c r="AK847" t="s">
        <v>2521</v>
      </c>
    </row>
    <row r="848" spans="1:37" customFormat="1">
      <c r="A848" t="s">
        <v>23</v>
      </c>
      <c r="B848" t="s">
        <v>24</v>
      </c>
      <c r="C848" t="s">
        <v>179</v>
      </c>
      <c r="D848" t="s">
        <v>135</v>
      </c>
      <c r="E848" t="s">
        <v>2420</v>
      </c>
      <c r="F848" t="s">
        <v>931</v>
      </c>
      <c r="G848" t="s">
        <v>136</v>
      </c>
      <c r="H848" t="s">
        <v>146</v>
      </c>
      <c r="I848" t="s">
        <v>156</v>
      </c>
      <c r="J848" t="s">
        <v>26</v>
      </c>
      <c r="K848" t="s">
        <v>157</v>
      </c>
      <c r="L848" t="s">
        <v>143</v>
      </c>
      <c r="M848" t="s">
        <v>144</v>
      </c>
      <c r="N848" t="s">
        <v>2522</v>
      </c>
      <c r="O848">
        <v>1</v>
      </c>
      <c r="P848" t="s">
        <v>160</v>
      </c>
      <c r="R848">
        <v>799</v>
      </c>
      <c r="S848">
        <v>794.8</v>
      </c>
      <c r="T848" t="s">
        <v>145</v>
      </c>
      <c r="U848" t="s">
        <v>1689</v>
      </c>
      <c r="V848" t="s">
        <v>27</v>
      </c>
      <c r="W848" t="s">
        <v>66</v>
      </c>
      <c r="X848" t="s">
        <v>67</v>
      </c>
      <c r="Y848" t="s">
        <v>138</v>
      </c>
      <c r="AA848" t="s">
        <v>494</v>
      </c>
      <c r="AC848" t="s">
        <v>139</v>
      </c>
      <c r="AD848" t="s">
        <v>2523</v>
      </c>
      <c r="AG848" t="s">
        <v>156</v>
      </c>
      <c r="AH848" t="s">
        <v>68</v>
      </c>
      <c r="AI848" t="s">
        <v>493</v>
      </c>
      <c r="AK848" t="s">
        <v>2524</v>
      </c>
    </row>
    <row r="849" spans="1:37" customFormat="1">
      <c r="A849" t="s">
        <v>23</v>
      </c>
      <c r="B849" t="s">
        <v>24</v>
      </c>
      <c r="C849" t="s">
        <v>179</v>
      </c>
      <c r="D849" t="s">
        <v>135</v>
      </c>
      <c r="E849" t="s">
        <v>2420</v>
      </c>
      <c r="F849" t="s">
        <v>931</v>
      </c>
      <c r="G849" t="s">
        <v>136</v>
      </c>
      <c r="H849" t="s">
        <v>146</v>
      </c>
      <c r="I849" t="s">
        <v>156</v>
      </c>
      <c r="J849" t="s">
        <v>26</v>
      </c>
      <c r="K849" t="s">
        <v>157</v>
      </c>
      <c r="L849" t="s">
        <v>143</v>
      </c>
      <c r="M849" t="s">
        <v>144</v>
      </c>
      <c r="N849" t="s">
        <v>2525</v>
      </c>
      <c r="O849">
        <v>1</v>
      </c>
      <c r="P849" t="s">
        <v>160</v>
      </c>
      <c r="R849">
        <v>799</v>
      </c>
      <c r="S849">
        <v>794.8</v>
      </c>
      <c r="T849" t="s">
        <v>145</v>
      </c>
      <c r="U849" t="s">
        <v>1689</v>
      </c>
      <c r="V849" t="s">
        <v>27</v>
      </c>
      <c r="W849" t="s">
        <v>66</v>
      </c>
      <c r="X849" t="s">
        <v>67</v>
      </c>
      <c r="Y849" t="s">
        <v>138</v>
      </c>
      <c r="AA849" t="s">
        <v>494</v>
      </c>
      <c r="AC849" t="s">
        <v>139</v>
      </c>
      <c r="AD849" t="s">
        <v>2526</v>
      </c>
      <c r="AG849" t="s">
        <v>156</v>
      </c>
      <c r="AH849" t="s">
        <v>68</v>
      </c>
      <c r="AI849" t="s">
        <v>493</v>
      </c>
      <c r="AK849" t="s">
        <v>2527</v>
      </c>
    </row>
    <row r="850" spans="1:37" customFormat="1">
      <c r="A850" t="s">
        <v>23</v>
      </c>
      <c r="B850" t="s">
        <v>24</v>
      </c>
      <c r="C850" t="s">
        <v>179</v>
      </c>
      <c r="D850" t="s">
        <v>135</v>
      </c>
      <c r="E850" t="s">
        <v>2420</v>
      </c>
      <c r="F850" t="s">
        <v>931</v>
      </c>
      <c r="G850" t="s">
        <v>136</v>
      </c>
      <c r="H850" t="s">
        <v>146</v>
      </c>
      <c r="I850" t="s">
        <v>156</v>
      </c>
      <c r="J850" t="s">
        <v>26</v>
      </c>
      <c r="K850" t="s">
        <v>157</v>
      </c>
      <c r="L850" t="s">
        <v>143</v>
      </c>
      <c r="M850" t="s">
        <v>144</v>
      </c>
      <c r="N850" t="s">
        <v>2528</v>
      </c>
      <c r="O850">
        <v>1</v>
      </c>
      <c r="P850" t="s">
        <v>160</v>
      </c>
      <c r="R850">
        <v>799</v>
      </c>
      <c r="S850">
        <v>794.8</v>
      </c>
      <c r="T850" t="s">
        <v>145</v>
      </c>
      <c r="U850" t="s">
        <v>1689</v>
      </c>
      <c r="V850" t="s">
        <v>27</v>
      </c>
      <c r="W850" t="s">
        <v>66</v>
      </c>
      <c r="X850" t="s">
        <v>67</v>
      </c>
      <c r="Y850" t="s">
        <v>138</v>
      </c>
      <c r="AA850" t="s">
        <v>494</v>
      </c>
      <c r="AC850" t="s">
        <v>139</v>
      </c>
      <c r="AD850" t="s">
        <v>2529</v>
      </c>
      <c r="AG850" t="s">
        <v>156</v>
      </c>
      <c r="AH850" t="s">
        <v>68</v>
      </c>
      <c r="AI850" t="s">
        <v>493</v>
      </c>
      <c r="AK850" t="s">
        <v>2530</v>
      </c>
    </row>
    <row r="851" spans="1:37" customFormat="1">
      <c r="A851" t="s">
        <v>23</v>
      </c>
      <c r="B851" t="s">
        <v>24</v>
      </c>
      <c r="C851" t="s">
        <v>179</v>
      </c>
      <c r="D851" t="s">
        <v>135</v>
      </c>
      <c r="E851" t="s">
        <v>2420</v>
      </c>
      <c r="F851" t="s">
        <v>931</v>
      </c>
      <c r="G851" t="s">
        <v>136</v>
      </c>
      <c r="H851" t="s">
        <v>146</v>
      </c>
      <c r="I851" t="s">
        <v>156</v>
      </c>
      <c r="J851" t="s">
        <v>26</v>
      </c>
      <c r="K851" t="s">
        <v>157</v>
      </c>
      <c r="L851" t="s">
        <v>143</v>
      </c>
      <c r="M851" t="s">
        <v>144</v>
      </c>
      <c r="N851" t="s">
        <v>2531</v>
      </c>
      <c r="O851">
        <v>1</v>
      </c>
      <c r="P851" t="s">
        <v>160</v>
      </c>
      <c r="R851">
        <v>802</v>
      </c>
      <c r="S851">
        <v>794.8</v>
      </c>
      <c r="T851" t="s">
        <v>145</v>
      </c>
      <c r="U851" t="s">
        <v>1689</v>
      </c>
      <c r="V851" t="s">
        <v>27</v>
      </c>
      <c r="W851" t="s">
        <v>66</v>
      </c>
      <c r="X851" t="s">
        <v>67</v>
      </c>
      <c r="Y851" t="s">
        <v>138</v>
      </c>
      <c r="AA851" t="s">
        <v>494</v>
      </c>
      <c r="AC851" t="s">
        <v>139</v>
      </c>
      <c r="AD851" t="s">
        <v>2532</v>
      </c>
      <c r="AG851" t="s">
        <v>156</v>
      </c>
      <c r="AH851" t="s">
        <v>68</v>
      </c>
      <c r="AI851" t="s">
        <v>493</v>
      </c>
      <c r="AK851" t="s">
        <v>2533</v>
      </c>
    </row>
    <row r="852" spans="1:37" customFormat="1">
      <c r="A852" t="s">
        <v>23</v>
      </c>
      <c r="B852" t="s">
        <v>24</v>
      </c>
      <c r="C852" t="s">
        <v>179</v>
      </c>
      <c r="D852" t="s">
        <v>135</v>
      </c>
      <c r="E852" t="s">
        <v>2420</v>
      </c>
      <c r="F852" t="s">
        <v>931</v>
      </c>
      <c r="G852" t="s">
        <v>136</v>
      </c>
      <c r="H852" t="s">
        <v>146</v>
      </c>
      <c r="I852" t="s">
        <v>156</v>
      </c>
      <c r="J852" t="s">
        <v>26</v>
      </c>
      <c r="K852" t="s">
        <v>157</v>
      </c>
      <c r="L852" t="s">
        <v>143</v>
      </c>
      <c r="M852" t="s">
        <v>144</v>
      </c>
      <c r="N852" t="s">
        <v>2534</v>
      </c>
      <c r="O852">
        <v>1</v>
      </c>
      <c r="P852" t="s">
        <v>160</v>
      </c>
      <c r="R852">
        <v>802</v>
      </c>
      <c r="S852">
        <v>794.8</v>
      </c>
      <c r="T852" t="s">
        <v>145</v>
      </c>
      <c r="U852" t="s">
        <v>1689</v>
      </c>
      <c r="V852" t="s">
        <v>27</v>
      </c>
      <c r="W852" t="s">
        <v>66</v>
      </c>
      <c r="X852" t="s">
        <v>67</v>
      </c>
      <c r="Y852" t="s">
        <v>138</v>
      </c>
      <c r="AA852" t="s">
        <v>494</v>
      </c>
      <c r="AC852" t="s">
        <v>139</v>
      </c>
      <c r="AD852" t="s">
        <v>2535</v>
      </c>
      <c r="AG852" t="s">
        <v>156</v>
      </c>
      <c r="AH852" t="s">
        <v>68</v>
      </c>
      <c r="AI852" t="s">
        <v>493</v>
      </c>
      <c r="AK852" t="s">
        <v>2536</v>
      </c>
    </row>
    <row r="853" spans="1:37" customFormat="1">
      <c r="A853" t="s">
        <v>23</v>
      </c>
      <c r="B853" t="s">
        <v>24</v>
      </c>
      <c r="C853" t="s">
        <v>179</v>
      </c>
      <c r="D853" t="s">
        <v>135</v>
      </c>
      <c r="E853" t="s">
        <v>2420</v>
      </c>
      <c r="F853" t="s">
        <v>931</v>
      </c>
      <c r="G853" t="s">
        <v>136</v>
      </c>
      <c r="H853" t="s">
        <v>146</v>
      </c>
      <c r="I853" t="s">
        <v>156</v>
      </c>
      <c r="J853" t="s">
        <v>26</v>
      </c>
      <c r="K853" t="s">
        <v>157</v>
      </c>
      <c r="L853" t="s">
        <v>143</v>
      </c>
      <c r="M853" t="s">
        <v>144</v>
      </c>
      <c r="N853" t="s">
        <v>2537</v>
      </c>
      <c r="O853">
        <v>1</v>
      </c>
      <c r="P853" t="s">
        <v>160</v>
      </c>
      <c r="R853">
        <v>802</v>
      </c>
      <c r="S853">
        <v>794.8</v>
      </c>
      <c r="T853" t="s">
        <v>145</v>
      </c>
      <c r="U853" t="s">
        <v>1689</v>
      </c>
      <c r="V853" t="s">
        <v>27</v>
      </c>
      <c r="W853" t="s">
        <v>66</v>
      </c>
      <c r="X853" t="s">
        <v>67</v>
      </c>
      <c r="Y853" t="s">
        <v>138</v>
      </c>
      <c r="AA853" t="s">
        <v>494</v>
      </c>
      <c r="AC853" t="s">
        <v>139</v>
      </c>
      <c r="AD853" t="s">
        <v>2538</v>
      </c>
      <c r="AG853" t="s">
        <v>156</v>
      </c>
      <c r="AH853" t="s">
        <v>68</v>
      </c>
      <c r="AI853" t="s">
        <v>493</v>
      </c>
      <c r="AK853" t="s">
        <v>2539</v>
      </c>
    </row>
    <row r="854" spans="1:37" customFormat="1">
      <c r="A854" t="s">
        <v>23</v>
      </c>
      <c r="B854" t="s">
        <v>24</v>
      </c>
      <c r="C854" t="s">
        <v>179</v>
      </c>
      <c r="D854" t="s">
        <v>135</v>
      </c>
      <c r="E854" t="s">
        <v>2420</v>
      </c>
      <c r="F854" t="s">
        <v>931</v>
      </c>
      <c r="G854" t="s">
        <v>136</v>
      </c>
      <c r="H854" t="s">
        <v>146</v>
      </c>
      <c r="I854" t="s">
        <v>156</v>
      </c>
      <c r="J854" t="s">
        <v>26</v>
      </c>
      <c r="K854" t="s">
        <v>157</v>
      </c>
      <c r="L854" t="s">
        <v>143</v>
      </c>
      <c r="M854" t="s">
        <v>144</v>
      </c>
      <c r="N854" t="s">
        <v>2540</v>
      </c>
      <c r="O854">
        <v>1</v>
      </c>
      <c r="P854" t="s">
        <v>160</v>
      </c>
      <c r="R854">
        <v>802</v>
      </c>
      <c r="S854">
        <v>794.8</v>
      </c>
      <c r="T854" t="s">
        <v>145</v>
      </c>
      <c r="U854" t="s">
        <v>1689</v>
      </c>
      <c r="V854" t="s">
        <v>27</v>
      </c>
      <c r="W854" t="s">
        <v>66</v>
      </c>
      <c r="X854" t="s">
        <v>67</v>
      </c>
      <c r="Y854" t="s">
        <v>138</v>
      </c>
      <c r="AA854" t="s">
        <v>494</v>
      </c>
      <c r="AC854" t="s">
        <v>139</v>
      </c>
      <c r="AD854" t="s">
        <v>2541</v>
      </c>
      <c r="AG854" t="s">
        <v>156</v>
      </c>
      <c r="AH854" t="s">
        <v>68</v>
      </c>
      <c r="AI854" t="s">
        <v>493</v>
      </c>
      <c r="AK854" t="s">
        <v>2542</v>
      </c>
    </row>
    <row r="855" spans="1:37" customFormat="1">
      <c r="A855" t="s">
        <v>23</v>
      </c>
      <c r="B855" t="s">
        <v>24</v>
      </c>
      <c r="C855" t="s">
        <v>179</v>
      </c>
      <c r="D855" t="s">
        <v>135</v>
      </c>
      <c r="E855" t="s">
        <v>2420</v>
      </c>
      <c r="F855" t="s">
        <v>931</v>
      </c>
      <c r="G855" t="s">
        <v>136</v>
      </c>
      <c r="H855" t="s">
        <v>146</v>
      </c>
      <c r="I855" t="s">
        <v>156</v>
      </c>
      <c r="J855" t="s">
        <v>26</v>
      </c>
      <c r="K855" t="s">
        <v>157</v>
      </c>
      <c r="L855" t="s">
        <v>143</v>
      </c>
      <c r="M855" t="s">
        <v>144</v>
      </c>
      <c r="N855" t="s">
        <v>2543</v>
      </c>
      <c r="O855">
        <v>1</v>
      </c>
      <c r="P855" t="s">
        <v>160</v>
      </c>
      <c r="R855">
        <v>799</v>
      </c>
      <c r="S855">
        <v>794.8</v>
      </c>
      <c r="T855" t="s">
        <v>145</v>
      </c>
      <c r="U855" t="s">
        <v>1689</v>
      </c>
      <c r="V855" t="s">
        <v>27</v>
      </c>
      <c r="W855" t="s">
        <v>66</v>
      </c>
      <c r="X855" t="s">
        <v>67</v>
      </c>
      <c r="Y855" t="s">
        <v>138</v>
      </c>
      <c r="AA855" t="s">
        <v>494</v>
      </c>
      <c r="AC855" t="s">
        <v>139</v>
      </c>
      <c r="AD855" t="s">
        <v>2544</v>
      </c>
      <c r="AG855" t="s">
        <v>156</v>
      </c>
      <c r="AH855" t="s">
        <v>68</v>
      </c>
      <c r="AI855" t="s">
        <v>493</v>
      </c>
      <c r="AK855" t="s">
        <v>2545</v>
      </c>
    </row>
    <row r="856" spans="1:37" customFormat="1">
      <c r="A856" t="s">
        <v>23</v>
      </c>
      <c r="B856" t="s">
        <v>24</v>
      </c>
      <c r="C856" t="s">
        <v>179</v>
      </c>
      <c r="D856" t="s">
        <v>135</v>
      </c>
      <c r="E856" t="s">
        <v>2420</v>
      </c>
      <c r="F856" t="s">
        <v>931</v>
      </c>
      <c r="G856" t="s">
        <v>136</v>
      </c>
      <c r="H856" t="s">
        <v>146</v>
      </c>
      <c r="I856" t="s">
        <v>156</v>
      </c>
      <c r="J856" t="s">
        <v>26</v>
      </c>
      <c r="K856" t="s">
        <v>157</v>
      </c>
      <c r="L856" t="s">
        <v>143</v>
      </c>
      <c r="M856" t="s">
        <v>144</v>
      </c>
      <c r="N856" t="s">
        <v>2546</v>
      </c>
      <c r="O856">
        <v>1</v>
      </c>
      <c r="P856" t="s">
        <v>160</v>
      </c>
      <c r="R856">
        <v>800</v>
      </c>
      <c r="S856">
        <v>794.8</v>
      </c>
      <c r="T856" t="s">
        <v>145</v>
      </c>
      <c r="U856" t="s">
        <v>1689</v>
      </c>
      <c r="V856" t="s">
        <v>27</v>
      </c>
      <c r="W856" t="s">
        <v>66</v>
      </c>
      <c r="X856" t="s">
        <v>67</v>
      </c>
      <c r="Y856" t="s">
        <v>138</v>
      </c>
      <c r="AA856" t="s">
        <v>494</v>
      </c>
      <c r="AC856" t="s">
        <v>139</v>
      </c>
      <c r="AD856" t="s">
        <v>2547</v>
      </c>
      <c r="AG856" t="s">
        <v>156</v>
      </c>
      <c r="AH856" t="s">
        <v>68</v>
      </c>
      <c r="AI856" t="s">
        <v>493</v>
      </c>
      <c r="AK856" t="s">
        <v>2548</v>
      </c>
    </row>
    <row r="857" spans="1:37" customFormat="1">
      <c r="A857" t="s">
        <v>23</v>
      </c>
      <c r="B857" t="s">
        <v>24</v>
      </c>
      <c r="C857" t="s">
        <v>179</v>
      </c>
      <c r="D857" t="s">
        <v>135</v>
      </c>
      <c r="E857" t="s">
        <v>2420</v>
      </c>
      <c r="F857" t="s">
        <v>931</v>
      </c>
      <c r="G857" t="s">
        <v>136</v>
      </c>
      <c r="H857" t="s">
        <v>146</v>
      </c>
      <c r="I857" t="s">
        <v>156</v>
      </c>
      <c r="J857" t="s">
        <v>26</v>
      </c>
      <c r="K857" t="s">
        <v>157</v>
      </c>
      <c r="L857" t="s">
        <v>143</v>
      </c>
      <c r="M857" t="s">
        <v>144</v>
      </c>
      <c r="N857" t="s">
        <v>2549</v>
      </c>
      <c r="O857">
        <v>1</v>
      </c>
      <c r="P857" t="s">
        <v>160</v>
      </c>
      <c r="R857">
        <v>799</v>
      </c>
      <c r="S857">
        <v>794.8</v>
      </c>
      <c r="T857" t="s">
        <v>145</v>
      </c>
      <c r="U857" t="s">
        <v>1689</v>
      </c>
      <c r="V857" t="s">
        <v>27</v>
      </c>
      <c r="W857" t="s">
        <v>66</v>
      </c>
      <c r="X857" t="s">
        <v>67</v>
      </c>
      <c r="Y857" t="s">
        <v>138</v>
      </c>
      <c r="AA857" t="s">
        <v>494</v>
      </c>
      <c r="AC857" t="s">
        <v>139</v>
      </c>
      <c r="AD857" t="s">
        <v>2550</v>
      </c>
      <c r="AG857" t="s">
        <v>156</v>
      </c>
      <c r="AH857" t="s">
        <v>68</v>
      </c>
      <c r="AI857" t="s">
        <v>493</v>
      </c>
      <c r="AK857" t="s">
        <v>2551</v>
      </c>
    </row>
    <row r="858" spans="1:37" customFormat="1">
      <c r="A858" t="s">
        <v>23</v>
      </c>
      <c r="B858" t="s">
        <v>24</v>
      </c>
      <c r="C858" t="s">
        <v>179</v>
      </c>
      <c r="D858" t="s">
        <v>135</v>
      </c>
      <c r="E858" t="s">
        <v>2419</v>
      </c>
      <c r="F858" t="s">
        <v>931</v>
      </c>
      <c r="G858" t="s">
        <v>136</v>
      </c>
      <c r="H858" t="s">
        <v>146</v>
      </c>
      <c r="I858" t="s">
        <v>156</v>
      </c>
      <c r="J858" t="s">
        <v>26</v>
      </c>
      <c r="K858" t="s">
        <v>157</v>
      </c>
      <c r="L858" t="s">
        <v>150</v>
      </c>
      <c r="M858" t="s">
        <v>144</v>
      </c>
      <c r="N858" t="s">
        <v>2552</v>
      </c>
      <c r="O858">
        <v>1</v>
      </c>
      <c r="P858" t="s">
        <v>160</v>
      </c>
      <c r="R858">
        <v>797</v>
      </c>
      <c r="S858">
        <v>794.8</v>
      </c>
      <c r="T858" t="s">
        <v>145</v>
      </c>
      <c r="U858" t="s">
        <v>161</v>
      </c>
      <c r="V858" t="s">
        <v>27</v>
      </c>
      <c r="W858" t="s">
        <v>66</v>
      </c>
      <c r="X858" t="s">
        <v>67</v>
      </c>
      <c r="Y858" t="s">
        <v>138</v>
      </c>
      <c r="AA858" t="s">
        <v>494</v>
      </c>
      <c r="AC858" t="s">
        <v>139</v>
      </c>
      <c r="AD858" t="s">
        <v>2927</v>
      </c>
      <c r="AG858" t="s">
        <v>156</v>
      </c>
      <c r="AH858" t="s">
        <v>68</v>
      </c>
      <c r="AI858" t="s">
        <v>493</v>
      </c>
      <c r="AK858" t="s">
        <v>2553</v>
      </c>
    </row>
    <row r="859" spans="1:37" customFormat="1">
      <c r="A859" t="s">
        <v>23</v>
      </c>
      <c r="B859" t="s">
        <v>24</v>
      </c>
      <c r="C859" t="s">
        <v>179</v>
      </c>
      <c r="D859" t="s">
        <v>135</v>
      </c>
      <c r="E859" t="s">
        <v>2419</v>
      </c>
      <c r="F859" t="s">
        <v>931</v>
      </c>
      <c r="G859" t="s">
        <v>136</v>
      </c>
      <c r="H859" t="s">
        <v>146</v>
      </c>
      <c r="I859" t="s">
        <v>156</v>
      </c>
      <c r="J859" t="s">
        <v>26</v>
      </c>
      <c r="K859" t="s">
        <v>157</v>
      </c>
      <c r="L859" t="s">
        <v>150</v>
      </c>
      <c r="M859" t="s">
        <v>144</v>
      </c>
      <c r="N859" t="s">
        <v>2554</v>
      </c>
      <c r="O859">
        <v>1</v>
      </c>
      <c r="P859" t="s">
        <v>160</v>
      </c>
      <c r="R859">
        <v>797</v>
      </c>
      <c r="S859">
        <v>794.8</v>
      </c>
      <c r="T859" t="s">
        <v>145</v>
      </c>
      <c r="U859" t="s">
        <v>161</v>
      </c>
      <c r="V859" t="s">
        <v>27</v>
      </c>
      <c r="W859" t="s">
        <v>66</v>
      </c>
      <c r="X859" t="s">
        <v>67</v>
      </c>
      <c r="Y859" t="s">
        <v>138</v>
      </c>
      <c r="AA859" t="s">
        <v>494</v>
      </c>
      <c r="AC859" t="s">
        <v>139</v>
      </c>
      <c r="AD859" t="s">
        <v>2928</v>
      </c>
      <c r="AG859" t="s">
        <v>156</v>
      </c>
      <c r="AH859" t="s">
        <v>68</v>
      </c>
      <c r="AI859" t="s">
        <v>493</v>
      </c>
      <c r="AK859" t="s">
        <v>2555</v>
      </c>
    </row>
    <row r="860" spans="1:37" customFormat="1">
      <c r="A860" t="s">
        <v>23</v>
      </c>
      <c r="B860" t="s">
        <v>24</v>
      </c>
      <c r="C860" t="s">
        <v>179</v>
      </c>
      <c r="D860" t="s">
        <v>135</v>
      </c>
      <c r="E860" t="s">
        <v>2419</v>
      </c>
      <c r="F860" t="s">
        <v>931</v>
      </c>
      <c r="G860" t="s">
        <v>136</v>
      </c>
      <c r="H860" t="s">
        <v>146</v>
      </c>
      <c r="I860" t="s">
        <v>156</v>
      </c>
      <c r="J860" t="s">
        <v>26</v>
      </c>
      <c r="K860" t="s">
        <v>157</v>
      </c>
      <c r="L860" t="s">
        <v>150</v>
      </c>
      <c r="M860" t="s">
        <v>144</v>
      </c>
      <c r="N860" t="s">
        <v>2556</v>
      </c>
      <c r="O860">
        <v>1</v>
      </c>
      <c r="P860" t="s">
        <v>160</v>
      </c>
      <c r="R860">
        <v>798</v>
      </c>
      <c r="S860">
        <v>794.8</v>
      </c>
      <c r="T860" t="s">
        <v>145</v>
      </c>
      <c r="U860" t="s">
        <v>161</v>
      </c>
      <c r="V860" t="s">
        <v>27</v>
      </c>
      <c r="W860" t="s">
        <v>66</v>
      </c>
      <c r="X860" t="s">
        <v>67</v>
      </c>
      <c r="Y860" t="s">
        <v>138</v>
      </c>
      <c r="AA860" t="s">
        <v>494</v>
      </c>
      <c r="AC860" t="s">
        <v>139</v>
      </c>
      <c r="AD860" t="s">
        <v>2929</v>
      </c>
      <c r="AG860" t="s">
        <v>156</v>
      </c>
      <c r="AH860" t="s">
        <v>68</v>
      </c>
      <c r="AI860" t="s">
        <v>493</v>
      </c>
      <c r="AK860" t="s">
        <v>2557</v>
      </c>
    </row>
    <row r="861" spans="1:37" customFormat="1">
      <c r="A861" t="s">
        <v>23</v>
      </c>
      <c r="B861" t="s">
        <v>24</v>
      </c>
      <c r="C861" t="s">
        <v>179</v>
      </c>
      <c r="D861" t="s">
        <v>135</v>
      </c>
      <c r="E861" t="s">
        <v>2419</v>
      </c>
      <c r="F861" t="s">
        <v>931</v>
      </c>
      <c r="G861" t="s">
        <v>136</v>
      </c>
      <c r="H861" t="s">
        <v>146</v>
      </c>
      <c r="I861" t="s">
        <v>156</v>
      </c>
      <c r="J861" t="s">
        <v>26</v>
      </c>
      <c r="K861" t="s">
        <v>157</v>
      </c>
      <c r="L861" t="s">
        <v>150</v>
      </c>
      <c r="M861" t="s">
        <v>144</v>
      </c>
      <c r="N861" t="s">
        <v>2558</v>
      </c>
      <c r="O861">
        <v>1</v>
      </c>
      <c r="P861" t="s">
        <v>160</v>
      </c>
      <c r="R861">
        <v>796</v>
      </c>
      <c r="S861">
        <v>794.8</v>
      </c>
      <c r="T861" t="s">
        <v>145</v>
      </c>
      <c r="U861" t="s">
        <v>161</v>
      </c>
      <c r="V861" t="s">
        <v>27</v>
      </c>
      <c r="W861" t="s">
        <v>66</v>
      </c>
      <c r="X861" t="s">
        <v>67</v>
      </c>
      <c r="Y861" t="s">
        <v>138</v>
      </c>
      <c r="AA861" t="s">
        <v>494</v>
      </c>
      <c r="AC861" t="s">
        <v>139</v>
      </c>
      <c r="AD861" t="s">
        <v>2930</v>
      </c>
      <c r="AG861" t="s">
        <v>156</v>
      </c>
      <c r="AH861" t="s">
        <v>68</v>
      </c>
      <c r="AI861" t="s">
        <v>493</v>
      </c>
      <c r="AK861" t="s">
        <v>2559</v>
      </c>
    </row>
    <row r="862" spans="1:37" customFormat="1">
      <c r="A862" t="s">
        <v>23</v>
      </c>
      <c r="B862" t="s">
        <v>24</v>
      </c>
      <c r="C862" t="s">
        <v>179</v>
      </c>
      <c r="D862" t="s">
        <v>135</v>
      </c>
      <c r="E862" t="s">
        <v>2419</v>
      </c>
      <c r="F862" t="s">
        <v>931</v>
      </c>
      <c r="G862" t="s">
        <v>136</v>
      </c>
      <c r="H862" t="s">
        <v>146</v>
      </c>
      <c r="I862" t="s">
        <v>156</v>
      </c>
      <c r="J862" t="s">
        <v>26</v>
      </c>
      <c r="K862" t="s">
        <v>157</v>
      </c>
      <c r="L862" t="s">
        <v>150</v>
      </c>
      <c r="M862" t="s">
        <v>144</v>
      </c>
      <c r="N862" t="s">
        <v>2560</v>
      </c>
      <c r="O862">
        <v>1</v>
      </c>
      <c r="P862" t="s">
        <v>160</v>
      </c>
      <c r="R862">
        <v>802</v>
      </c>
      <c r="S862">
        <v>794.8</v>
      </c>
      <c r="T862" t="s">
        <v>145</v>
      </c>
      <c r="U862" t="s">
        <v>161</v>
      </c>
      <c r="V862" t="s">
        <v>27</v>
      </c>
      <c r="W862" t="s">
        <v>66</v>
      </c>
      <c r="X862" t="s">
        <v>67</v>
      </c>
      <c r="Y862" t="s">
        <v>138</v>
      </c>
      <c r="AA862" t="s">
        <v>494</v>
      </c>
      <c r="AC862" t="s">
        <v>139</v>
      </c>
      <c r="AD862" t="s">
        <v>2931</v>
      </c>
      <c r="AG862" t="s">
        <v>156</v>
      </c>
      <c r="AH862" t="s">
        <v>68</v>
      </c>
      <c r="AI862" t="s">
        <v>493</v>
      </c>
      <c r="AK862" t="s">
        <v>2561</v>
      </c>
    </row>
    <row r="863" spans="1:37" customFormat="1">
      <c r="A863" t="s">
        <v>23</v>
      </c>
      <c r="B863" t="s">
        <v>24</v>
      </c>
      <c r="C863" t="s">
        <v>179</v>
      </c>
      <c r="D863" t="s">
        <v>135</v>
      </c>
      <c r="E863" t="s">
        <v>2419</v>
      </c>
      <c r="F863" t="s">
        <v>931</v>
      </c>
      <c r="G863" t="s">
        <v>136</v>
      </c>
      <c r="H863" t="s">
        <v>146</v>
      </c>
      <c r="I863" t="s">
        <v>156</v>
      </c>
      <c r="J863" t="s">
        <v>26</v>
      </c>
      <c r="K863" t="s">
        <v>157</v>
      </c>
      <c r="L863" t="s">
        <v>150</v>
      </c>
      <c r="M863" t="s">
        <v>144</v>
      </c>
      <c r="N863" t="s">
        <v>2562</v>
      </c>
      <c r="O863">
        <v>1</v>
      </c>
      <c r="P863" t="s">
        <v>160</v>
      </c>
      <c r="R863">
        <v>800</v>
      </c>
      <c r="S863">
        <v>794.8</v>
      </c>
      <c r="T863" t="s">
        <v>145</v>
      </c>
      <c r="U863" t="s">
        <v>161</v>
      </c>
      <c r="V863" t="s">
        <v>27</v>
      </c>
      <c r="W863" t="s">
        <v>66</v>
      </c>
      <c r="X863" t="s">
        <v>67</v>
      </c>
      <c r="Y863" t="s">
        <v>138</v>
      </c>
      <c r="AA863" t="s">
        <v>494</v>
      </c>
      <c r="AC863" t="s">
        <v>139</v>
      </c>
      <c r="AD863" t="s">
        <v>2932</v>
      </c>
      <c r="AG863" t="s">
        <v>156</v>
      </c>
      <c r="AH863" t="s">
        <v>68</v>
      </c>
      <c r="AI863" t="s">
        <v>493</v>
      </c>
      <c r="AK863" t="s">
        <v>2563</v>
      </c>
    </row>
    <row r="864" spans="1:37" customFormat="1">
      <c r="A864" t="s">
        <v>23</v>
      </c>
      <c r="B864" t="s">
        <v>24</v>
      </c>
      <c r="C864" t="s">
        <v>179</v>
      </c>
      <c r="D864" t="s">
        <v>135</v>
      </c>
      <c r="E864" t="s">
        <v>2419</v>
      </c>
      <c r="F864" t="s">
        <v>931</v>
      </c>
      <c r="G864" t="s">
        <v>136</v>
      </c>
      <c r="H864" t="s">
        <v>146</v>
      </c>
      <c r="I864" t="s">
        <v>156</v>
      </c>
      <c r="J864" t="s">
        <v>26</v>
      </c>
      <c r="K864" t="s">
        <v>157</v>
      </c>
      <c r="L864" t="s">
        <v>150</v>
      </c>
      <c r="M864" t="s">
        <v>144</v>
      </c>
      <c r="N864" t="s">
        <v>2564</v>
      </c>
      <c r="O864">
        <v>1</v>
      </c>
      <c r="P864" t="s">
        <v>160</v>
      </c>
      <c r="R864">
        <v>798</v>
      </c>
      <c r="S864">
        <v>794.8</v>
      </c>
      <c r="T864" t="s">
        <v>145</v>
      </c>
      <c r="U864" t="s">
        <v>161</v>
      </c>
      <c r="V864" t="s">
        <v>27</v>
      </c>
      <c r="W864" t="s">
        <v>66</v>
      </c>
      <c r="X864" t="s">
        <v>67</v>
      </c>
      <c r="Y864" t="s">
        <v>138</v>
      </c>
      <c r="AA864" t="s">
        <v>494</v>
      </c>
      <c r="AC864" t="s">
        <v>139</v>
      </c>
      <c r="AD864" t="s">
        <v>2933</v>
      </c>
      <c r="AG864" t="s">
        <v>156</v>
      </c>
      <c r="AH864" t="s">
        <v>68</v>
      </c>
      <c r="AI864" t="s">
        <v>493</v>
      </c>
      <c r="AK864" t="s">
        <v>2565</v>
      </c>
    </row>
    <row r="865" spans="1:37" customFormat="1">
      <c r="A865" t="s">
        <v>23</v>
      </c>
      <c r="B865" t="s">
        <v>24</v>
      </c>
      <c r="C865" t="s">
        <v>179</v>
      </c>
      <c r="D865" t="s">
        <v>135</v>
      </c>
      <c r="E865" t="s">
        <v>2419</v>
      </c>
      <c r="F865" t="s">
        <v>931</v>
      </c>
      <c r="G865" t="s">
        <v>136</v>
      </c>
      <c r="H865" t="s">
        <v>146</v>
      </c>
      <c r="I865" t="s">
        <v>156</v>
      </c>
      <c r="J865" t="s">
        <v>26</v>
      </c>
      <c r="K865" t="s">
        <v>157</v>
      </c>
      <c r="L865" t="s">
        <v>150</v>
      </c>
      <c r="M865" t="s">
        <v>144</v>
      </c>
      <c r="N865" t="s">
        <v>2566</v>
      </c>
      <c r="O865">
        <v>1</v>
      </c>
      <c r="P865" t="s">
        <v>160</v>
      </c>
      <c r="R865">
        <v>800</v>
      </c>
      <c r="S865">
        <v>794.8</v>
      </c>
      <c r="T865" t="s">
        <v>145</v>
      </c>
      <c r="U865" t="s">
        <v>161</v>
      </c>
      <c r="V865" t="s">
        <v>27</v>
      </c>
      <c r="W865" t="s">
        <v>66</v>
      </c>
      <c r="X865" t="s">
        <v>67</v>
      </c>
      <c r="Y865" t="s">
        <v>138</v>
      </c>
      <c r="AA865" t="s">
        <v>494</v>
      </c>
      <c r="AC865" t="s">
        <v>139</v>
      </c>
      <c r="AD865" t="s">
        <v>2934</v>
      </c>
      <c r="AG865" t="s">
        <v>156</v>
      </c>
      <c r="AH865" t="s">
        <v>68</v>
      </c>
      <c r="AI865" t="s">
        <v>493</v>
      </c>
      <c r="AK865" t="s">
        <v>2567</v>
      </c>
    </row>
    <row r="866" spans="1:37" customFormat="1">
      <c r="A866" t="s">
        <v>23</v>
      </c>
      <c r="B866" t="s">
        <v>24</v>
      </c>
      <c r="C866" t="s">
        <v>179</v>
      </c>
      <c r="D866" t="s">
        <v>135</v>
      </c>
      <c r="E866" t="s">
        <v>2419</v>
      </c>
      <c r="F866" t="s">
        <v>931</v>
      </c>
      <c r="G866" t="s">
        <v>136</v>
      </c>
      <c r="H866" t="s">
        <v>146</v>
      </c>
      <c r="I866" t="s">
        <v>156</v>
      </c>
      <c r="J866" t="s">
        <v>26</v>
      </c>
      <c r="K866" t="s">
        <v>157</v>
      </c>
      <c r="L866" t="s">
        <v>150</v>
      </c>
      <c r="M866" t="s">
        <v>144</v>
      </c>
      <c r="N866" t="s">
        <v>2568</v>
      </c>
      <c r="O866">
        <v>1</v>
      </c>
      <c r="P866" t="s">
        <v>160</v>
      </c>
      <c r="R866">
        <v>797</v>
      </c>
      <c r="S866">
        <v>794.8</v>
      </c>
      <c r="T866" t="s">
        <v>145</v>
      </c>
      <c r="U866" t="s">
        <v>161</v>
      </c>
      <c r="V866" t="s">
        <v>27</v>
      </c>
      <c r="W866" t="s">
        <v>66</v>
      </c>
      <c r="X866" t="s">
        <v>67</v>
      </c>
      <c r="Y866" t="s">
        <v>138</v>
      </c>
      <c r="AA866" t="s">
        <v>494</v>
      </c>
      <c r="AC866" t="s">
        <v>139</v>
      </c>
      <c r="AD866" t="s">
        <v>2935</v>
      </c>
      <c r="AG866" t="s">
        <v>156</v>
      </c>
      <c r="AH866" t="s">
        <v>68</v>
      </c>
      <c r="AI866" t="s">
        <v>493</v>
      </c>
      <c r="AK866" t="s">
        <v>2569</v>
      </c>
    </row>
    <row r="867" spans="1:37" customFormat="1">
      <c r="A867" t="s">
        <v>23</v>
      </c>
      <c r="B867" t="s">
        <v>24</v>
      </c>
      <c r="C867" t="s">
        <v>179</v>
      </c>
      <c r="D867" t="s">
        <v>135</v>
      </c>
      <c r="E867" t="s">
        <v>2419</v>
      </c>
      <c r="F867" t="s">
        <v>931</v>
      </c>
      <c r="G867" t="s">
        <v>136</v>
      </c>
      <c r="H867" t="s">
        <v>146</v>
      </c>
      <c r="I867" t="s">
        <v>156</v>
      </c>
      <c r="J867" t="s">
        <v>26</v>
      </c>
      <c r="K867" t="s">
        <v>157</v>
      </c>
      <c r="L867" t="s">
        <v>150</v>
      </c>
      <c r="M867" t="s">
        <v>144</v>
      </c>
      <c r="N867" t="s">
        <v>2570</v>
      </c>
      <c r="O867">
        <v>1</v>
      </c>
      <c r="P867" t="s">
        <v>160</v>
      </c>
      <c r="R867">
        <v>799</v>
      </c>
      <c r="S867">
        <v>794.8</v>
      </c>
      <c r="T867" t="s">
        <v>145</v>
      </c>
      <c r="U867" t="s">
        <v>161</v>
      </c>
      <c r="V867" t="s">
        <v>27</v>
      </c>
      <c r="W867" t="s">
        <v>66</v>
      </c>
      <c r="X867" t="s">
        <v>67</v>
      </c>
      <c r="Y867" t="s">
        <v>138</v>
      </c>
      <c r="AA867" t="s">
        <v>494</v>
      </c>
      <c r="AC867" t="s">
        <v>139</v>
      </c>
      <c r="AD867" t="s">
        <v>2936</v>
      </c>
      <c r="AG867" t="s">
        <v>156</v>
      </c>
      <c r="AH867" t="s">
        <v>68</v>
      </c>
      <c r="AI867" t="s">
        <v>493</v>
      </c>
      <c r="AK867" t="s">
        <v>2571</v>
      </c>
    </row>
    <row r="868" spans="1:37" customFormat="1">
      <c r="A868" t="s">
        <v>23</v>
      </c>
      <c r="B868" t="s">
        <v>24</v>
      </c>
      <c r="C868" t="s">
        <v>179</v>
      </c>
      <c r="D868" t="s">
        <v>135</v>
      </c>
      <c r="E868" t="s">
        <v>2419</v>
      </c>
      <c r="F868" t="s">
        <v>931</v>
      </c>
      <c r="G868" t="s">
        <v>136</v>
      </c>
      <c r="H868" t="s">
        <v>146</v>
      </c>
      <c r="I868" t="s">
        <v>156</v>
      </c>
      <c r="J868" t="s">
        <v>26</v>
      </c>
      <c r="K868" t="s">
        <v>157</v>
      </c>
      <c r="L868" t="s">
        <v>150</v>
      </c>
      <c r="M868" t="s">
        <v>144</v>
      </c>
      <c r="N868" t="s">
        <v>2572</v>
      </c>
      <c r="O868">
        <v>1</v>
      </c>
      <c r="P868" t="s">
        <v>160</v>
      </c>
      <c r="R868">
        <v>798</v>
      </c>
      <c r="S868">
        <v>794.8</v>
      </c>
      <c r="T868" t="s">
        <v>145</v>
      </c>
      <c r="U868" t="s">
        <v>161</v>
      </c>
      <c r="V868" t="s">
        <v>27</v>
      </c>
      <c r="W868" t="s">
        <v>66</v>
      </c>
      <c r="X868" t="s">
        <v>67</v>
      </c>
      <c r="Y868" t="s">
        <v>138</v>
      </c>
      <c r="AA868" t="s">
        <v>494</v>
      </c>
      <c r="AC868" t="s">
        <v>139</v>
      </c>
      <c r="AD868" t="s">
        <v>2937</v>
      </c>
      <c r="AG868" t="s">
        <v>156</v>
      </c>
      <c r="AH868" t="s">
        <v>68</v>
      </c>
      <c r="AI868" t="s">
        <v>493</v>
      </c>
      <c r="AK868" t="s">
        <v>2573</v>
      </c>
    </row>
    <row r="869" spans="1:37" customFormat="1">
      <c r="A869" t="s">
        <v>23</v>
      </c>
      <c r="B869" t="s">
        <v>24</v>
      </c>
      <c r="C869" t="s">
        <v>179</v>
      </c>
      <c r="D869" t="s">
        <v>135</v>
      </c>
      <c r="E869" t="s">
        <v>2419</v>
      </c>
      <c r="F869" t="s">
        <v>931</v>
      </c>
      <c r="G869" t="s">
        <v>136</v>
      </c>
      <c r="H869" t="s">
        <v>146</v>
      </c>
      <c r="I869" t="s">
        <v>156</v>
      </c>
      <c r="J869" t="s">
        <v>26</v>
      </c>
      <c r="K869" t="s">
        <v>157</v>
      </c>
      <c r="L869" t="s">
        <v>150</v>
      </c>
      <c r="M869" t="s">
        <v>144</v>
      </c>
      <c r="N869" t="s">
        <v>2574</v>
      </c>
      <c r="O869">
        <v>1</v>
      </c>
      <c r="P869" t="s">
        <v>160</v>
      </c>
      <c r="R869">
        <v>798</v>
      </c>
      <c r="S869">
        <v>794.8</v>
      </c>
      <c r="T869" t="s">
        <v>145</v>
      </c>
      <c r="U869" t="s">
        <v>161</v>
      </c>
      <c r="V869" t="s">
        <v>27</v>
      </c>
      <c r="W869" t="s">
        <v>66</v>
      </c>
      <c r="X869" t="s">
        <v>67</v>
      </c>
      <c r="Y869" t="s">
        <v>138</v>
      </c>
      <c r="AA869" t="s">
        <v>494</v>
      </c>
      <c r="AC869" t="s">
        <v>139</v>
      </c>
      <c r="AD869" t="s">
        <v>2938</v>
      </c>
      <c r="AG869" t="s">
        <v>156</v>
      </c>
      <c r="AH869" t="s">
        <v>68</v>
      </c>
      <c r="AI869" t="s">
        <v>493</v>
      </c>
      <c r="AK869" t="s">
        <v>2575</v>
      </c>
    </row>
    <row r="870" spans="1:37" customFormat="1">
      <c r="A870" t="s">
        <v>23</v>
      </c>
      <c r="B870" t="s">
        <v>24</v>
      </c>
      <c r="C870" t="s">
        <v>179</v>
      </c>
      <c r="D870" t="s">
        <v>135</v>
      </c>
      <c r="E870" t="s">
        <v>2419</v>
      </c>
      <c r="F870" t="s">
        <v>931</v>
      </c>
      <c r="G870" t="s">
        <v>136</v>
      </c>
      <c r="H870" t="s">
        <v>146</v>
      </c>
      <c r="I870" t="s">
        <v>156</v>
      </c>
      <c r="J870" t="s">
        <v>26</v>
      </c>
      <c r="K870" t="s">
        <v>157</v>
      </c>
      <c r="L870" t="s">
        <v>150</v>
      </c>
      <c r="M870" t="s">
        <v>144</v>
      </c>
      <c r="N870" t="s">
        <v>2576</v>
      </c>
      <c r="O870">
        <v>1</v>
      </c>
      <c r="P870" t="s">
        <v>160</v>
      </c>
      <c r="R870">
        <v>800</v>
      </c>
      <c r="S870">
        <v>794.8</v>
      </c>
      <c r="T870" t="s">
        <v>145</v>
      </c>
      <c r="U870" t="s">
        <v>161</v>
      </c>
      <c r="V870" t="s">
        <v>27</v>
      </c>
      <c r="W870" t="s">
        <v>66</v>
      </c>
      <c r="X870" t="s">
        <v>67</v>
      </c>
      <c r="Y870" t="s">
        <v>138</v>
      </c>
      <c r="AA870" t="s">
        <v>494</v>
      </c>
      <c r="AC870" t="s">
        <v>139</v>
      </c>
      <c r="AD870" t="s">
        <v>2939</v>
      </c>
      <c r="AG870" t="s">
        <v>156</v>
      </c>
      <c r="AH870" t="s">
        <v>68</v>
      </c>
      <c r="AI870" t="s">
        <v>493</v>
      </c>
      <c r="AK870" t="s">
        <v>2577</v>
      </c>
    </row>
    <row r="871" spans="1:37" customFormat="1">
      <c r="A871" t="s">
        <v>23</v>
      </c>
      <c r="B871" t="s">
        <v>24</v>
      </c>
      <c r="C871" t="s">
        <v>934</v>
      </c>
      <c r="D871" t="s">
        <v>135</v>
      </c>
      <c r="E871" t="s">
        <v>2578</v>
      </c>
      <c r="F871" t="s">
        <v>931</v>
      </c>
      <c r="G871" t="s">
        <v>136</v>
      </c>
      <c r="H871" t="s">
        <v>146</v>
      </c>
      <c r="I871" t="s">
        <v>71</v>
      </c>
      <c r="J871" t="s">
        <v>72</v>
      </c>
      <c r="K871" t="s">
        <v>65</v>
      </c>
      <c r="L871" t="s">
        <v>143</v>
      </c>
      <c r="M871" t="s">
        <v>144</v>
      </c>
      <c r="N871" t="s">
        <v>2579</v>
      </c>
      <c r="O871">
        <v>1120</v>
      </c>
      <c r="P871" t="s">
        <v>35</v>
      </c>
      <c r="R871">
        <v>1123</v>
      </c>
      <c r="S871">
        <v>1120</v>
      </c>
      <c r="T871" t="s">
        <v>493</v>
      </c>
      <c r="U871" t="s">
        <v>493</v>
      </c>
      <c r="V871" t="s">
        <v>27</v>
      </c>
      <c r="W871" t="s">
        <v>66</v>
      </c>
      <c r="X871" t="s">
        <v>67</v>
      </c>
      <c r="Y871" t="s">
        <v>138</v>
      </c>
      <c r="AA871" t="s">
        <v>494</v>
      </c>
      <c r="AC871" t="s">
        <v>139</v>
      </c>
      <c r="AD871" t="s">
        <v>2580</v>
      </c>
      <c r="AG871" t="s">
        <v>71</v>
      </c>
      <c r="AH871" t="s">
        <v>68</v>
      </c>
      <c r="AI871" t="s">
        <v>493</v>
      </c>
    </row>
    <row r="872" spans="1:37" customFormat="1">
      <c r="A872" t="s">
        <v>23</v>
      </c>
      <c r="B872" t="s">
        <v>24</v>
      </c>
      <c r="C872" t="s">
        <v>934</v>
      </c>
      <c r="D872" t="s">
        <v>135</v>
      </c>
      <c r="E872" t="s">
        <v>2578</v>
      </c>
      <c r="F872" t="s">
        <v>931</v>
      </c>
      <c r="G872" t="s">
        <v>136</v>
      </c>
      <c r="H872" t="s">
        <v>146</v>
      </c>
      <c r="I872" t="s">
        <v>71</v>
      </c>
      <c r="J872" t="s">
        <v>72</v>
      </c>
      <c r="K872" t="s">
        <v>65</v>
      </c>
      <c r="L872" t="s">
        <v>143</v>
      </c>
      <c r="M872" t="s">
        <v>144</v>
      </c>
      <c r="N872" t="s">
        <v>2581</v>
      </c>
      <c r="O872">
        <v>1121</v>
      </c>
      <c r="P872" t="s">
        <v>35</v>
      </c>
      <c r="R872">
        <v>1124</v>
      </c>
      <c r="S872">
        <v>1121</v>
      </c>
      <c r="T872" t="s">
        <v>493</v>
      </c>
      <c r="U872" t="s">
        <v>493</v>
      </c>
      <c r="V872" t="s">
        <v>27</v>
      </c>
      <c r="W872" t="s">
        <v>66</v>
      </c>
      <c r="X872" t="s">
        <v>67</v>
      </c>
      <c r="Y872" t="s">
        <v>138</v>
      </c>
      <c r="AA872" t="s">
        <v>494</v>
      </c>
      <c r="AC872" t="s">
        <v>139</v>
      </c>
      <c r="AD872" t="s">
        <v>2582</v>
      </c>
      <c r="AG872" t="s">
        <v>71</v>
      </c>
      <c r="AH872" t="s">
        <v>68</v>
      </c>
      <c r="AI872" t="s">
        <v>493</v>
      </c>
    </row>
    <row r="873" spans="1:37" customFormat="1">
      <c r="A873" t="s">
        <v>23</v>
      </c>
      <c r="B873" t="s">
        <v>24</v>
      </c>
      <c r="C873" t="s">
        <v>934</v>
      </c>
      <c r="D873" t="s">
        <v>135</v>
      </c>
      <c r="E873" t="s">
        <v>2578</v>
      </c>
      <c r="F873" t="s">
        <v>931</v>
      </c>
      <c r="G873" t="s">
        <v>136</v>
      </c>
      <c r="H873" t="s">
        <v>146</v>
      </c>
      <c r="I873" t="s">
        <v>71</v>
      </c>
      <c r="J873" t="s">
        <v>72</v>
      </c>
      <c r="K873" t="s">
        <v>65</v>
      </c>
      <c r="L873" t="s">
        <v>143</v>
      </c>
      <c r="M873" t="s">
        <v>144</v>
      </c>
      <c r="N873" t="s">
        <v>2583</v>
      </c>
      <c r="O873">
        <v>1122</v>
      </c>
      <c r="P873" t="s">
        <v>35</v>
      </c>
      <c r="R873">
        <v>1125</v>
      </c>
      <c r="S873">
        <v>1122</v>
      </c>
      <c r="T873" t="s">
        <v>493</v>
      </c>
      <c r="U873" t="s">
        <v>493</v>
      </c>
      <c r="V873" t="s">
        <v>27</v>
      </c>
      <c r="W873" t="s">
        <v>66</v>
      </c>
      <c r="X873" t="s">
        <v>67</v>
      </c>
      <c r="Y873" t="s">
        <v>138</v>
      </c>
      <c r="AA873" t="s">
        <v>494</v>
      </c>
      <c r="AC873" t="s">
        <v>139</v>
      </c>
      <c r="AD873" t="s">
        <v>2584</v>
      </c>
      <c r="AG873" t="s">
        <v>71</v>
      </c>
      <c r="AH873" t="s">
        <v>68</v>
      </c>
      <c r="AI873" t="s">
        <v>493</v>
      </c>
    </row>
    <row r="874" spans="1:37" customFormat="1">
      <c r="A874" t="s">
        <v>23</v>
      </c>
      <c r="B874" t="s">
        <v>24</v>
      </c>
      <c r="C874" t="s">
        <v>934</v>
      </c>
      <c r="D874" t="s">
        <v>135</v>
      </c>
      <c r="E874" t="s">
        <v>2578</v>
      </c>
      <c r="F874" t="s">
        <v>931</v>
      </c>
      <c r="G874" t="s">
        <v>136</v>
      </c>
      <c r="H874" t="s">
        <v>146</v>
      </c>
      <c r="I874" t="s">
        <v>71</v>
      </c>
      <c r="J874" t="s">
        <v>72</v>
      </c>
      <c r="K874" t="s">
        <v>65</v>
      </c>
      <c r="L874" t="s">
        <v>143</v>
      </c>
      <c r="M874" t="s">
        <v>144</v>
      </c>
      <c r="N874" t="s">
        <v>2585</v>
      </c>
      <c r="O874">
        <v>1121</v>
      </c>
      <c r="P874" t="s">
        <v>35</v>
      </c>
      <c r="R874">
        <v>1124</v>
      </c>
      <c r="S874">
        <v>1121</v>
      </c>
      <c r="T874" t="s">
        <v>493</v>
      </c>
      <c r="U874" t="s">
        <v>493</v>
      </c>
      <c r="V874" t="s">
        <v>27</v>
      </c>
      <c r="W874" t="s">
        <v>66</v>
      </c>
      <c r="X874" t="s">
        <v>67</v>
      </c>
      <c r="Y874" t="s">
        <v>138</v>
      </c>
      <c r="AA874" t="s">
        <v>494</v>
      </c>
      <c r="AC874" t="s">
        <v>139</v>
      </c>
      <c r="AD874" t="s">
        <v>2586</v>
      </c>
      <c r="AG874" t="s">
        <v>71</v>
      </c>
      <c r="AH874" t="s">
        <v>68</v>
      </c>
      <c r="AI874" t="s">
        <v>493</v>
      </c>
    </row>
    <row r="875" spans="1:37" customFormat="1">
      <c r="A875" t="s">
        <v>23</v>
      </c>
      <c r="B875" t="s">
        <v>24</v>
      </c>
      <c r="C875" t="s">
        <v>934</v>
      </c>
      <c r="D875" t="s">
        <v>135</v>
      </c>
      <c r="E875" t="s">
        <v>2578</v>
      </c>
      <c r="F875" t="s">
        <v>931</v>
      </c>
      <c r="G875" t="s">
        <v>136</v>
      </c>
      <c r="H875" t="s">
        <v>146</v>
      </c>
      <c r="I875" t="s">
        <v>71</v>
      </c>
      <c r="J875" t="s">
        <v>72</v>
      </c>
      <c r="K875" t="s">
        <v>65</v>
      </c>
      <c r="L875" t="s">
        <v>143</v>
      </c>
      <c r="M875" t="s">
        <v>144</v>
      </c>
      <c r="N875" t="s">
        <v>2587</v>
      </c>
      <c r="O875">
        <v>1121</v>
      </c>
      <c r="P875" t="s">
        <v>35</v>
      </c>
      <c r="R875">
        <v>1124</v>
      </c>
      <c r="S875">
        <v>1121</v>
      </c>
      <c r="T875" t="s">
        <v>493</v>
      </c>
      <c r="U875" t="s">
        <v>493</v>
      </c>
      <c r="V875" t="s">
        <v>27</v>
      </c>
      <c r="W875" t="s">
        <v>66</v>
      </c>
      <c r="X875" t="s">
        <v>67</v>
      </c>
      <c r="Y875" t="s">
        <v>138</v>
      </c>
      <c r="AA875" t="s">
        <v>494</v>
      </c>
      <c r="AC875" t="s">
        <v>139</v>
      </c>
      <c r="AD875" t="s">
        <v>2588</v>
      </c>
      <c r="AG875" t="s">
        <v>71</v>
      </c>
      <c r="AH875" t="s">
        <v>68</v>
      </c>
      <c r="AI875" t="s">
        <v>493</v>
      </c>
    </row>
    <row r="876" spans="1:37" customFormat="1">
      <c r="A876" t="s">
        <v>23</v>
      </c>
      <c r="B876" t="s">
        <v>24</v>
      </c>
      <c r="C876" t="s">
        <v>179</v>
      </c>
      <c r="D876" t="s">
        <v>135</v>
      </c>
      <c r="E876" t="s">
        <v>2419</v>
      </c>
      <c r="F876" t="s">
        <v>931</v>
      </c>
      <c r="G876" t="s">
        <v>136</v>
      </c>
      <c r="H876" t="s">
        <v>146</v>
      </c>
      <c r="I876" t="s">
        <v>156</v>
      </c>
      <c r="J876" t="s">
        <v>26</v>
      </c>
      <c r="K876" t="s">
        <v>157</v>
      </c>
      <c r="L876" t="s">
        <v>150</v>
      </c>
      <c r="M876" t="s">
        <v>144</v>
      </c>
      <c r="N876" t="s">
        <v>2589</v>
      </c>
      <c r="O876">
        <v>1</v>
      </c>
      <c r="P876" t="s">
        <v>160</v>
      </c>
      <c r="R876">
        <v>798</v>
      </c>
      <c r="S876">
        <v>794.8</v>
      </c>
      <c r="T876" t="s">
        <v>145</v>
      </c>
      <c r="U876" t="s">
        <v>161</v>
      </c>
      <c r="V876" t="s">
        <v>27</v>
      </c>
      <c r="W876" t="s">
        <v>66</v>
      </c>
      <c r="X876" t="s">
        <v>67</v>
      </c>
      <c r="Y876" t="s">
        <v>138</v>
      </c>
      <c r="AA876" t="s">
        <v>494</v>
      </c>
      <c r="AC876" t="s">
        <v>139</v>
      </c>
      <c r="AD876" t="s">
        <v>2940</v>
      </c>
      <c r="AG876" t="s">
        <v>156</v>
      </c>
      <c r="AH876" t="s">
        <v>68</v>
      </c>
      <c r="AI876" t="s">
        <v>493</v>
      </c>
      <c r="AK876" t="s">
        <v>2590</v>
      </c>
    </row>
    <row r="877" spans="1:37" customFormat="1">
      <c r="A877" t="s">
        <v>23</v>
      </c>
      <c r="B877" t="s">
        <v>24</v>
      </c>
      <c r="C877" t="s">
        <v>934</v>
      </c>
      <c r="D877" t="s">
        <v>135</v>
      </c>
      <c r="E877" t="s">
        <v>2578</v>
      </c>
      <c r="F877" t="s">
        <v>931</v>
      </c>
      <c r="G877" t="s">
        <v>136</v>
      </c>
      <c r="H877" t="s">
        <v>146</v>
      </c>
      <c r="I877" t="s">
        <v>71</v>
      </c>
      <c r="J877" t="s">
        <v>72</v>
      </c>
      <c r="K877" t="s">
        <v>65</v>
      </c>
      <c r="L877" t="s">
        <v>143</v>
      </c>
      <c r="M877" t="s">
        <v>144</v>
      </c>
      <c r="N877" t="s">
        <v>2591</v>
      </c>
      <c r="O877">
        <v>1120</v>
      </c>
      <c r="P877" t="s">
        <v>35</v>
      </c>
      <c r="R877">
        <v>1123</v>
      </c>
      <c r="S877">
        <v>1120</v>
      </c>
      <c r="T877" t="s">
        <v>493</v>
      </c>
      <c r="U877" t="s">
        <v>493</v>
      </c>
      <c r="V877" t="s">
        <v>27</v>
      </c>
      <c r="W877" t="s">
        <v>66</v>
      </c>
      <c r="X877" t="s">
        <v>67</v>
      </c>
      <c r="Y877" t="s">
        <v>138</v>
      </c>
      <c r="AA877" t="s">
        <v>494</v>
      </c>
      <c r="AC877" t="s">
        <v>139</v>
      </c>
      <c r="AD877" t="s">
        <v>2592</v>
      </c>
      <c r="AG877" t="s">
        <v>71</v>
      </c>
      <c r="AH877" t="s">
        <v>68</v>
      </c>
      <c r="AI877" t="s">
        <v>493</v>
      </c>
    </row>
    <row r="878" spans="1:37" customFormat="1">
      <c r="A878" t="s">
        <v>23</v>
      </c>
      <c r="B878" t="s">
        <v>24</v>
      </c>
      <c r="C878" t="s">
        <v>179</v>
      </c>
      <c r="D878" t="s">
        <v>135</v>
      </c>
      <c r="E878" t="s">
        <v>2419</v>
      </c>
      <c r="F878" t="s">
        <v>931</v>
      </c>
      <c r="G878" t="s">
        <v>136</v>
      </c>
      <c r="H878" t="s">
        <v>146</v>
      </c>
      <c r="I878" t="s">
        <v>156</v>
      </c>
      <c r="J878" t="s">
        <v>26</v>
      </c>
      <c r="K878" t="s">
        <v>157</v>
      </c>
      <c r="L878" t="s">
        <v>150</v>
      </c>
      <c r="M878" t="s">
        <v>144</v>
      </c>
      <c r="N878" t="s">
        <v>2593</v>
      </c>
      <c r="O878">
        <v>1</v>
      </c>
      <c r="P878" t="s">
        <v>160</v>
      </c>
      <c r="R878">
        <v>802</v>
      </c>
      <c r="S878">
        <v>794.8</v>
      </c>
      <c r="T878" t="s">
        <v>145</v>
      </c>
      <c r="U878" t="s">
        <v>161</v>
      </c>
      <c r="V878" t="s">
        <v>27</v>
      </c>
      <c r="W878" t="s">
        <v>66</v>
      </c>
      <c r="X878" t="s">
        <v>67</v>
      </c>
      <c r="Y878" t="s">
        <v>138</v>
      </c>
      <c r="AA878" t="s">
        <v>494</v>
      </c>
      <c r="AC878" t="s">
        <v>139</v>
      </c>
      <c r="AD878" t="s">
        <v>2941</v>
      </c>
      <c r="AG878" t="s">
        <v>156</v>
      </c>
      <c r="AH878" t="s">
        <v>68</v>
      </c>
      <c r="AI878" t="s">
        <v>493</v>
      </c>
      <c r="AK878" t="s">
        <v>2594</v>
      </c>
    </row>
    <row r="879" spans="1:37" customFormat="1">
      <c r="A879" t="s">
        <v>23</v>
      </c>
      <c r="B879" t="s">
        <v>24</v>
      </c>
      <c r="C879" t="s">
        <v>934</v>
      </c>
      <c r="D879" t="s">
        <v>135</v>
      </c>
      <c r="E879" t="s">
        <v>2578</v>
      </c>
      <c r="F879" t="s">
        <v>931</v>
      </c>
      <c r="G879" t="s">
        <v>136</v>
      </c>
      <c r="H879" t="s">
        <v>146</v>
      </c>
      <c r="I879" t="s">
        <v>71</v>
      </c>
      <c r="J879" t="s">
        <v>72</v>
      </c>
      <c r="K879" t="s">
        <v>65</v>
      </c>
      <c r="L879" t="s">
        <v>143</v>
      </c>
      <c r="M879" t="s">
        <v>144</v>
      </c>
      <c r="N879" t="s">
        <v>2595</v>
      </c>
      <c r="O879">
        <v>1120</v>
      </c>
      <c r="P879" t="s">
        <v>35</v>
      </c>
      <c r="R879">
        <v>1123</v>
      </c>
      <c r="S879">
        <v>1120</v>
      </c>
      <c r="T879" t="s">
        <v>493</v>
      </c>
      <c r="U879" t="s">
        <v>493</v>
      </c>
      <c r="V879" t="s">
        <v>27</v>
      </c>
      <c r="W879" t="s">
        <v>66</v>
      </c>
      <c r="X879" t="s">
        <v>67</v>
      </c>
      <c r="Y879" t="s">
        <v>138</v>
      </c>
      <c r="AA879" t="s">
        <v>494</v>
      </c>
      <c r="AC879" t="s">
        <v>139</v>
      </c>
      <c r="AD879" t="s">
        <v>2596</v>
      </c>
      <c r="AG879" t="s">
        <v>71</v>
      </c>
      <c r="AH879" t="s">
        <v>68</v>
      </c>
      <c r="AI879" t="s">
        <v>493</v>
      </c>
    </row>
    <row r="880" spans="1:37" customFormat="1">
      <c r="A880" t="s">
        <v>23</v>
      </c>
      <c r="B880" t="s">
        <v>24</v>
      </c>
      <c r="C880" t="s">
        <v>179</v>
      </c>
      <c r="D880" t="s">
        <v>135</v>
      </c>
      <c r="E880" t="s">
        <v>2419</v>
      </c>
      <c r="F880" t="s">
        <v>931</v>
      </c>
      <c r="G880" t="s">
        <v>136</v>
      </c>
      <c r="H880" t="s">
        <v>146</v>
      </c>
      <c r="I880" t="s">
        <v>156</v>
      </c>
      <c r="J880" t="s">
        <v>26</v>
      </c>
      <c r="K880" t="s">
        <v>157</v>
      </c>
      <c r="L880" t="s">
        <v>150</v>
      </c>
      <c r="M880" t="s">
        <v>144</v>
      </c>
      <c r="N880" t="s">
        <v>2597</v>
      </c>
      <c r="O880">
        <v>1</v>
      </c>
      <c r="P880" t="s">
        <v>160</v>
      </c>
      <c r="R880">
        <v>796</v>
      </c>
      <c r="S880">
        <v>794.8</v>
      </c>
      <c r="T880" t="s">
        <v>145</v>
      </c>
      <c r="U880" t="s">
        <v>161</v>
      </c>
      <c r="V880" t="s">
        <v>27</v>
      </c>
      <c r="W880" t="s">
        <v>66</v>
      </c>
      <c r="X880" t="s">
        <v>67</v>
      </c>
      <c r="Y880" t="s">
        <v>138</v>
      </c>
      <c r="AA880" t="s">
        <v>494</v>
      </c>
      <c r="AC880" t="s">
        <v>139</v>
      </c>
      <c r="AD880" t="s">
        <v>2942</v>
      </c>
      <c r="AG880" t="s">
        <v>156</v>
      </c>
      <c r="AH880" t="s">
        <v>68</v>
      </c>
      <c r="AI880" t="s">
        <v>493</v>
      </c>
      <c r="AK880" t="s">
        <v>2598</v>
      </c>
    </row>
    <row r="881" spans="1:37" customFormat="1">
      <c r="A881" t="s">
        <v>23</v>
      </c>
      <c r="B881" t="s">
        <v>24</v>
      </c>
      <c r="C881" t="s">
        <v>934</v>
      </c>
      <c r="D881" t="s">
        <v>135</v>
      </c>
      <c r="E881" t="s">
        <v>2578</v>
      </c>
      <c r="F881" t="s">
        <v>931</v>
      </c>
      <c r="G881" t="s">
        <v>136</v>
      </c>
      <c r="H881" t="s">
        <v>146</v>
      </c>
      <c r="I881" t="s">
        <v>71</v>
      </c>
      <c r="J881" t="s">
        <v>72</v>
      </c>
      <c r="K881" t="s">
        <v>65</v>
      </c>
      <c r="L881" t="s">
        <v>143</v>
      </c>
      <c r="M881" t="s">
        <v>144</v>
      </c>
      <c r="N881" t="s">
        <v>2599</v>
      </c>
      <c r="O881">
        <v>1120</v>
      </c>
      <c r="P881" t="s">
        <v>35</v>
      </c>
      <c r="R881">
        <v>1123</v>
      </c>
      <c r="S881">
        <v>1120</v>
      </c>
      <c r="T881" t="s">
        <v>493</v>
      </c>
      <c r="U881" t="s">
        <v>493</v>
      </c>
      <c r="V881" t="s">
        <v>27</v>
      </c>
      <c r="W881" t="s">
        <v>66</v>
      </c>
      <c r="X881" t="s">
        <v>67</v>
      </c>
      <c r="Y881" t="s">
        <v>138</v>
      </c>
      <c r="AA881" t="s">
        <v>494</v>
      </c>
      <c r="AC881" t="s">
        <v>139</v>
      </c>
      <c r="AD881" t="s">
        <v>2600</v>
      </c>
      <c r="AG881" t="s">
        <v>71</v>
      </c>
      <c r="AH881" t="s">
        <v>68</v>
      </c>
      <c r="AI881" t="s">
        <v>493</v>
      </c>
    </row>
    <row r="882" spans="1:37" customFormat="1">
      <c r="A882" t="s">
        <v>23</v>
      </c>
      <c r="B882" t="s">
        <v>24</v>
      </c>
      <c r="C882" t="s">
        <v>179</v>
      </c>
      <c r="D882" t="s">
        <v>135</v>
      </c>
      <c r="E882" t="s">
        <v>2419</v>
      </c>
      <c r="F882" t="s">
        <v>931</v>
      </c>
      <c r="G882" t="s">
        <v>136</v>
      </c>
      <c r="H882" t="s">
        <v>146</v>
      </c>
      <c r="I882" t="s">
        <v>156</v>
      </c>
      <c r="J882" t="s">
        <v>26</v>
      </c>
      <c r="K882" t="s">
        <v>157</v>
      </c>
      <c r="L882" t="s">
        <v>150</v>
      </c>
      <c r="M882" t="s">
        <v>144</v>
      </c>
      <c r="N882" t="s">
        <v>2601</v>
      </c>
      <c r="O882">
        <v>1</v>
      </c>
      <c r="P882" t="s">
        <v>160</v>
      </c>
      <c r="R882">
        <v>795</v>
      </c>
      <c r="S882">
        <v>794.8</v>
      </c>
      <c r="T882" t="s">
        <v>145</v>
      </c>
      <c r="U882" t="s">
        <v>161</v>
      </c>
      <c r="V882" t="s">
        <v>27</v>
      </c>
      <c r="W882" t="s">
        <v>66</v>
      </c>
      <c r="X882" t="s">
        <v>67</v>
      </c>
      <c r="Y882" t="s">
        <v>138</v>
      </c>
      <c r="AA882" t="s">
        <v>494</v>
      </c>
      <c r="AC882" t="s">
        <v>139</v>
      </c>
      <c r="AD882" t="s">
        <v>2943</v>
      </c>
      <c r="AG882" t="s">
        <v>156</v>
      </c>
      <c r="AH882" t="s">
        <v>68</v>
      </c>
      <c r="AI882" t="s">
        <v>493</v>
      </c>
      <c r="AK882" t="s">
        <v>2602</v>
      </c>
    </row>
    <row r="883" spans="1:37" customFormat="1">
      <c r="A883" t="s">
        <v>23</v>
      </c>
      <c r="B883" t="s">
        <v>24</v>
      </c>
      <c r="C883" t="s">
        <v>934</v>
      </c>
      <c r="D883" t="s">
        <v>135</v>
      </c>
      <c r="E883" t="s">
        <v>2578</v>
      </c>
      <c r="F883" t="s">
        <v>931</v>
      </c>
      <c r="G883" t="s">
        <v>136</v>
      </c>
      <c r="H883" t="s">
        <v>146</v>
      </c>
      <c r="I883" t="s">
        <v>71</v>
      </c>
      <c r="J883" t="s">
        <v>72</v>
      </c>
      <c r="K883" t="s">
        <v>65</v>
      </c>
      <c r="L883" t="s">
        <v>143</v>
      </c>
      <c r="M883" t="s">
        <v>144</v>
      </c>
      <c r="N883" t="s">
        <v>2603</v>
      </c>
      <c r="O883">
        <v>1122</v>
      </c>
      <c r="P883" t="s">
        <v>35</v>
      </c>
      <c r="R883">
        <v>1125</v>
      </c>
      <c r="S883">
        <v>1122</v>
      </c>
      <c r="T883" t="s">
        <v>493</v>
      </c>
      <c r="U883" t="s">
        <v>493</v>
      </c>
      <c r="V883" t="s">
        <v>27</v>
      </c>
      <c r="W883" t="s">
        <v>66</v>
      </c>
      <c r="X883" t="s">
        <v>67</v>
      </c>
      <c r="Y883" t="s">
        <v>138</v>
      </c>
      <c r="AA883" t="s">
        <v>494</v>
      </c>
      <c r="AC883" t="s">
        <v>139</v>
      </c>
      <c r="AD883" t="s">
        <v>2604</v>
      </c>
      <c r="AG883" t="s">
        <v>71</v>
      </c>
      <c r="AH883" t="s">
        <v>68</v>
      </c>
      <c r="AI883" t="s">
        <v>493</v>
      </c>
    </row>
    <row r="884" spans="1:37" customFormat="1">
      <c r="A884" t="s">
        <v>23</v>
      </c>
      <c r="B884" t="s">
        <v>24</v>
      </c>
      <c r="C884" t="s">
        <v>179</v>
      </c>
      <c r="D884" t="s">
        <v>135</v>
      </c>
      <c r="E884" t="s">
        <v>2419</v>
      </c>
      <c r="F884" t="s">
        <v>931</v>
      </c>
      <c r="G884" t="s">
        <v>136</v>
      </c>
      <c r="H884" t="s">
        <v>146</v>
      </c>
      <c r="I884" t="s">
        <v>156</v>
      </c>
      <c r="J884" t="s">
        <v>26</v>
      </c>
      <c r="K884" t="s">
        <v>157</v>
      </c>
      <c r="L884" t="s">
        <v>150</v>
      </c>
      <c r="M884" t="s">
        <v>144</v>
      </c>
      <c r="N884" t="s">
        <v>2605</v>
      </c>
      <c r="O884">
        <v>1</v>
      </c>
      <c r="P884" t="s">
        <v>160</v>
      </c>
      <c r="R884">
        <v>796</v>
      </c>
      <c r="S884">
        <v>794.8</v>
      </c>
      <c r="T884" t="s">
        <v>145</v>
      </c>
      <c r="U884" t="s">
        <v>161</v>
      </c>
      <c r="V884" t="s">
        <v>27</v>
      </c>
      <c r="W884" t="s">
        <v>66</v>
      </c>
      <c r="X884" t="s">
        <v>67</v>
      </c>
      <c r="Y884" t="s">
        <v>138</v>
      </c>
      <c r="AA884" t="s">
        <v>494</v>
      </c>
      <c r="AC884" t="s">
        <v>139</v>
      </c>
      <c r="AD884" t="s">
        <v>2944</v>
      </c>
      <c r="AG884" t="s">
        <v>156</v>
      </c>
      <c r="AH884" t="s">
        <v>68</v>
      </c>
      <c r="AI884" t="s">
        <v>493</v>
      </c>
      <c r="AK884" t="s">
        <v>2606</v>
      </c>
    </row>
    <row r="885" spans="1:37" customFormat="1">
      <c r="A885" t="s">
        <v>23</v>
      </c>
      <c r="B885" t="s">
        <v>24</v>
      </c>
      <c r="C885" t="s">
        <v>934</v>
      </c>
      <c r="D885" t="s">
        <v>135</v>
      </c>
      <c r="E885" t="s">
        <v>2578</v>
      </c>
      <c r="F885" t="s">
        <v>931</v>
      </c>
      <c r="G885" t="s">
        <v>136</v>
      </c>
      <c r="H885" t="s">
        <v>146</v>
      </c>
      <c r="I885" t="s">
        <v>71</v>
      </c>
      <c r="J885" t="s">
        <v>72</v>
      </c>
      <c r="K885" t="s">
        <v>65</v>
      </c>
      <c r="L885" t="s">
        <v>143</v>
      </c>
      <c r="M885" t="s">
        <v>144</v>
      </c>
      <c r="N885" t="s">
        <v>2607</v>
      </c>
      <c r="O885">
        <v>1121</v>
      </c>
      <c r="P885" t="s">
        <v>35</v>
      </c>
      <c r="R885">
        <v>1124</v>
      </c>
      <c r="S885">
        <v>1121</v>
      </c>
      <c r="T885" t="s">
        <v>493</v>
      </c>
      <c r="U885" t="s">
        <v>493</v>
      </c>
      <c r="V885" t="s">
        <v>27</v>
      </c>
      <c r="W885" t="s">
        <v>66</v>
      </c>
      <c r="X885" t="s">
        <v>67</v>
      </c>
      <c r="Y885" t="s">
        <v>138</v>
      </c>
      <c r="AA885" t="s">
        <v>494</v>
      </c>
      <c r="AC885" t="s">
        <v>139</v>
      </c>
      <c r="AD885" t="s">
        <v>2608</v>
      </c>
      <c r="AG885" t="s">
        <v>71</v>
      </c>
      <c r="AH885" t="s">
        <v>68</v>
      </c>
      <c r="AI885" t="s">
        <v>493</v>
      </c>
    </row>
    <row r="886" spans="1:37" customFormat="1">
      <c r="A886" t="s">
        <v>23</v>
      </c>
      <c r="B886" t="s">
        <v>24</v>
      </c>
      <c r="C886" t="s">
        <v>179</v>
      </c>
      <c r="D886" t="s">
        <v>135</v>
      </c>
      <c r="E886" t="s">
        <v>2419</v>
      </c>
      <c r="F886" t="s">
        <v>931</v>
      </c>
      <c r="G886" t="s">
        <v>136</v>
      </c>
      <c r="H886" t="s">
        <v>146</v>
      </c>
      <c r="I886" t="s">
        <v>156</v>
      </c>
      <c r="J886" t="s">
        <v>26</v>
      </c>
      <c r="K886" t="s">
        <v>157</v>
      </c>
      <c r="L886" t="s">
        <v>150</v>
      </c>
      <c r="M886" t="s">
        <v>144</v>
      </c>
      <c r="N886" t="s">
        <v>2609</v>
      </c>
      <c r="O886">
        <v>1</v>
      </c>
      <c r="P886" t="s">
        <v>160</v>
      </c>
      <c r="R886">
        <v>795</v>
      </c>
      <c r="S886">
        <v>794.8</v>
      </c>
      <c r="T886" t="s">
        <v>145</v>
      </c>
      <c r="U886" t="s">
        <v>161</v>
      </c>
      <c r="V886" t="s">
        <v>27</v>
      </c>
      <c r="W886" t="s">
        <v>66</v>
      </c>
      <c r="X886" t="s">
        <v>67</v>
      </c>
      <c r="Y886" t="s">
        <v>138</v>
      </c>
      <c r="AA886" t="s">
        <v>494</v>
      </c>
      <c r="AC886" t="s">
        <v>139</v>
      </c>
      <c r="AD886" t="s">
        <v>2945</v>
      </c>
      <c r="AG886" t="s">
        <v>156</v>
      </c>
      <c r="AH886" t="s">
        <v>68</v>
      </c>
      <c r="AI886" t="s">
        <v>493</v>
      </c>
      <c r="AK886" t="s">
        <v>2610</v>
      </c>
    </row>
    <row r="887" spans="1:37" customFormat="1">
      <c r="A887" t="s">
        <v>23</v>
      </c>
      <c r="B887" t="s">
        <v>24</v>
      </c>
      <c r="C887" t="s">
        <v>934</v>
      </c>
      <c r="D887" t="s">
        <v>135</v>
      </c>
      <c r="E887" t="s">
        <v>2578</v>
      </c>
      <c r="F887" t="s">
        <v>931</v>
      </c>
      <c r="G887" t="s">
        <v>136</v>
      </c>
      <c r="H887" t="s">
        <v>146</v>
      </c>
      <c r="I887" t="s">
        <v>71</v>
      </c>
      <c r="J887" t="s">
        <v>72</v>
      </c>
      <c r="K887" t="s">
        <v>65</v>
      </c>
      <c r="L887" t="s">
        <v>143</v>
      </c>
      <c r="M887" t="s">
        <v>144</v>
      </c>
      <c r="N887" t="s">
        <v>2611</v>
      </c>
      <c r="O887">
        <v>1119</v>
      </c>
      <c r="P887" t="s">
        <v>35</v>
      </c>
      <c r="R887">
        <v>1122</v>
      </c>
      <c r="S887">
        <v>1119</v>
      </c>
      <c r="T887" t="s">
        <v>493</v>
      </c>
      <c r="U887" t="s">
        <v>493</v>
      </c>
      <c r="V887" t="s">
        <v>27</v>
      </c>
      <c r="W887" t="s">
        <v>66</v>
      </c>
      <c r="X887" t="s">
        <v>67</v>
      </c>
      <c r="Y887" t="s">
        <v>138</v>
      </c>
      <c r="AA887" t="s">
        <v>494</v>
      </c>
      <c r="AC887" t="s">
        <v>139</v>
      </c>
      <c r="AD887" t="s">
        <v>2612</v>
      </c>
      <c r="AG887" t="s">
        <v>71</v>
      </c>
      <c r="AH887" t="s">
        <v>68</v>
      </c>
      <c r="AI887" t="s">
        <v>493</v>
      </c>
    </row>
    <row r="888" spans="1:37" customFormat="1">
      <c r="A888" t="s">
        <v>23</v>
      </c>
      <c r="B888" t="s">
        <v>24</v>
      </c>
      <c r="C888" t="s">
        <v>179</v>
      </c>
      <c r="D888" t="s">
        <v>135</v>
      </c>
      <c r="E888" t="s">
        <v>2419</v>
      </c>
      <c r="F888" t="s">
        <v>931</v>
      </c>
      <c r="G888" t="s">
        <v>136</v>
      </c>
      <c r="H888" t="s">
        <v>146</v>
      </c>
      <c r="I888" t="s">
        <v>156</v>
      </c>
      <c r="J888" t="s">
        <v>26</v>
      </c>
      <c r="K888" t="s">
        <v>157</v>
      </c>
      <c r="L888" t="s">
        <v>150</v>
      </c>
      <c r="M888" t="s">
        <v>144</v>
      </c>
      <c r="N888" t="s">
        <v>2613</v>
      </c>
      <c r="O888">
        <v>1</v>
      </c>
      <c r="P888" t="s">
        <v>160</v>
      </c>
      <c r="R888">
        <v>799</v>
      </c>
      <c r="S888">
        <v>794.8</v>
      </c>
      <c r="T888" t="s">
        <v>145</v>
      </c>
      <c r="U888" t="s">
        <v>161</v>
      </c>
      <c r="V888" t="s">
        <v>27</v>
      </c>
      <c r="W888" t="s">
        <v>66</v>
      </c>
      <c r="X888" t="s">
        <v>67</v>
      </c>
      <c r="Y888" t="s">
        <v>138</v>
      </c>
      <c r="AA888" t="s">
        <v>494</v>
      </c>
      <c r="AC888" t="s">
        <v>139</v>
      </c>
      <c r="AD888" t="s">
        <v>2946</v>
      </c>
      <c r="AG888" t="s">
        <v>156</v>
      </c>
      <c r="AH888" t="s">
        <v>68</v>
      </c>
      <c r="AI888" t="s">
        <v>493</v>
      </c>
      <c r="AK888" t="s">
        <v>2614</v>
      </c>
    </row>
    <row r="889" spans="1:37" customFormat="1">
      <c r="A889" t="s">
        <v>23</v>
      </c>
      <c r="B889" t="s">
        <v>24</v>
      </c>
      <c r="C889" t="s">
        <v>934</v>
      </c>
      <c r="D889" t="s">
        <v>135</v>
      </c>
      <c r="E889" t="s">
        <v>2578</v>
      </c>
      <c r="F889" t="s">
        <v>931</v>
      </c>
      <c r="G889" t="s">
        <v>136</v>
      </c>
      <c r="H889" t="s">
        <v>146</v>
      </c>
      <c r="I889" t="s">
        <v>71</v>
      </c>
      <c r="J889" t="s">
        <v>72</v>
      </c>
      <c r="K889" t="s">
        <v>65</v>
      </c>
      <c r="L889" t="s">
        <v>143</v>
      </c>
      <c r="M889" t="s">
        <v>144</v>
      </c>
      <c r="N889" t="s">
        <v>2615</v>
      </c>
      <c r="O889">
        <v>1119</v>
      </c>
      <c r="P889" t="s">
        <v>35</v>
      </c>
      <c r="R889">
        <v>1122</v>
      </c>
      <c r="S889">
        <v>1119</v>
      </c>
      <c r="T889" t="s">
        <v>493</v>
      </c>
      <c r="U889" t="s">
        <v>493</v>
      </c>
      <c r="V889" t="s">
        <v>27</v>
      </c>
      <c r="W889" t="s">
        <v>66</v>
      </c>
      <c r="X889" t="s">
        <v>67</v>
      </c>
      <c r="Y889" t="s">
        <v>138</v>
      </c>
      <c r="AA889" t="s">
        <v>494</v>
      </c>
      <c r="AC889" t="s">
        <v>139</v>
      </c>
      <c r="AD889" t="s">
        <v>2616</v>
      </c>
      <c r="AG889" t="s">
        <v>71</v>
      </c>
      <c r="AH889" t="s">
        <v>68</v>
      </c>
      <c r="AI889" t="s">
        <v>493</v>
      </c>
    </row>
    <row r="890" spans="1:37" customFormat="1">
      <c r="A890" t="s">
        <v>23</v>
      </c>
      <c r="B890" t="s">
        <v>24</v>
      </c>
      <c r="C890" t="s">
        <v>934</v>
      </c>
      <c r="D890" t="s">
        <v>135</v>
      </c>
      <c r="E890" t="s">
        <v>2578</v>
      </c>
      <c r="F890" t="s">
        <v>931</v>
      </c>
      <c r="G890" t="s">
        <v>136</v>
      </c>
      <c r="H890" t="s">
        <v>146</v>
      </c>
      <c r="I890" t="s">
        <v>71</v>
      </c>
      <c r="J890" t="s">
        <v>72</v>
      </c>
      <c r="K890" t="s">
        <v>65</v>
      </c>
      <c r="L890" t="s">
        <v>143</v>
      </c>
      <c r="M890" t="s">
        <v>144</v>
      </c>
      <c r="N890" t="s">
        <v>2617</v>
      </c>
      <c r="O890">
        <v>1120</v>
      </c>
      <c r="P890" t="s">
        <v>35</v>
      </c>
      <c r="R890">
        <v>1123</v>
      </c>
      <c r="S890">
        <v>1120</v>
      </c>
      <c r="T890" t="s">
        <v>493</v>
      </c>
      <c r="U890" t="s">
        <v>493</v>
      </c>
      <c r="V890" t="s">
        <v>27</v>
      </c>
      <c r="W890" t="s">
        <v>66</v>
      </c>
      <c r="X890" t="s">
        <v>67</v>
      </c>
      <c r="Y890" t="s">
        <v>138</v>
      </c>
      <c r="AA890" t="s">
        <v>494</v>
      </c>
      <c r="AC890" t="s">
        <v>139</v>
      </c>
      <c r="AD890" t="s">
        <v>2618</v>
      </c>
      <c r="AG890" t="s">
        <v>71</v>
      </c>
      <c r="AH890" t="s">
        <v>68</v>
      </c>
      <c r="AI890" t="s">
        <v>493</v>
      </c>
    </row>
    <row r="891" spans="1:37" customFormat="1">
      <c r="A891" t="s">
        <v>23</v>
      </c>
      <c r="B891" t="s">
        <v>24</v>
      </c>
      <c r="C891" t="s">
        <v>179</v>
      </c>
      <c r="D891" t="s">
        <v>135</v>
      </c>
      <c r="E891" t="s">
        <v>2419</v>
      </c>
      <c r="F891" t="s">
        <v>931</v>
      </c>
      <c r="G891" t="s">
        <v>136</v>
      </c>
      <c r="H891" t="s">
        <v>146</v>
      </c>
      <c r="I891" t="s">
        <v>156</v>
      </c>
      <c r="J891" t="s">
        <v>26</v>
      </c>
      <c r="K891" t="s">
        <v>157</v>
      </c>
      <c r="L891" t="s">
        <v>150</v>
      </c>
      <c r="M891" t="s">
        <v>144</v>
      </c>
      <c r="N891" t="s">
        <v>2619</v>
      </c>
      <c r="O891">
        <v>1</v>
      </c>
      <c r="P891" t="s">
        <v>160</v>
      </c>
      <c r="R891">
        <v>799</v>
      </c>
      <c r="S891">
        <v>794.8</v>
      </c>
      <c r="T891" t="s">
        <v>145</v>
      </c>
      <c r="U891" t="s">
        <v>161</v>
      </c>
      <c r="V891" t="s">
        <v>27</v>
      </c>
      <c r="W891" t="s">
        <v>66</v>
      </c>
      <c r="X891" t="s">
        <v>67</v>
      </c>
      <c r="Y891" t="s">
        <v>138</v>
      </c>
      <c r="AA891" t="s">
        <v>494</v>
      </c>
      <c r="AC891" t="s">
        <v>139</v>
      </c>
      <c r="AD891" t="s">
        <v>2947</v>
      </c>
      <c r="AG891" t="s">
        <v>156</v>
      </c>
      <c r="AH891" t="s">
        <v>68</v>
      </c>
      <c r="AI891" t="s">
        <v>493</v>
      </c>
      <c r="AK891" t="s">
        <v>2620</v>
      </c>
    </row>
    <row r="892" spans="1:37" customFormat="1">
      <c r="A892" t="s">
        <v>23</v>
      </c>
      <c r="B892" t="s">
        <v>24</v>
      </c>
      <c r="C892" t="s">
        <v>929</v>
      </c>
      <c r="D892" t="s">
        <v>135</v>
      </c>
      <c r="E892" t="s">
        <v>1905</v>
      </c>
      <c r="F892" t="s">
        <v>1906</v>
      </c>
      <c r="G892" t="s">
        <v>136</v>
      </c>
      <c r="H892" t="s">
        <v>493</v>
      </c>
      <c r="I892" t="s">
        <v>932</v>
      </c>
      <c r="J892" t="s">
        <v>933</v>
      </c>
      <c r="K892" t="s">
        <v>65</v>
      </c>
      <c r="L892" t="s">
        <v>1450</v>
      </c>
      <c r="M892" t="s">
        <v>137</v>
      </c>
      <c r="N892" t="s">
        <v>2621</v>
      </c>
      <c r="O892">
        <v>1200</v>
      </c>
      <c r="P892" t="s">
        <v>35</v>
      </c>
      <c r="R892">
        <v>1203</v>
      </c>
      <c r="S892">
        <v>1200</v>
      </c>
      <c r="T892" t="s">
        <v>493</v>
      </c>
      <c r="U892" t="s">
        <v>493</v>
      </c>
      <c r="V892" t="s">
        <v>27</v>
      </c>
      <c r="W892" t="s">
        <v>66</v>
      </c>
      <c r="X892" t="s">
        <v>67</v>
      </c>
      <c r="Y892" t="s">
        <v>138</v>
      </c>
      <c r="AA892" t="s">
        <v>494</v>
      </c>
      <c r="AC892" t="s">
        <v>139</v>
      </c>
      <c r="AD892" t="s">
        <v>2622</v>
      </c>
      <c r="AG892" t="s">
        <v>493</v>
      </c>
      <c r="AH892" t="s">
        <v>68</v>
      </c>
      <c r="AI892" t="s">
        <v>493</v>
      </c>
    </row>
    <row r="893" spans="1:37" customFormat="1">
      <c r="A893" t="s">
        <v>23</v>
      </c>
      <c r="B893" t="s">
        <v>24</v>
      </c>
      <c r="C893" t="s">
        <v>929</v>
      </c>
      <c r="D893" t="s">
        <v>135</v>
      </c>
      <c r="E893" t="s">
        <v>1905</v>
      </c>
      <c r="F893" t="s">
        <v>1906</v>
      </c>
      <c r="G893" t="s">
        <v>136</v>
      </c>
      <c r="H893" t="s">
        <v>493</v>
      </c>
      <c r="I893" t="s">
        <v>932</v>
      </c>
      <c r="J893" t="s">
        <v>933</v>
      </c>
      <c r="K893" t="s">
        <v>65</v>
      </c>
      <c r="L893" t="s">
        <v>1450</v>
      </c>
      <c r="M893" t="s">
        <v>137</v>
      </c>
      <c r="N893" t="s">
        <v>2623</v>
      </c>
      <c r="O893">
        <v>1198</v>
      </c>
      <c r="P893" t="s">
        <v>35</v>
      </c>
      <c r="R893">
        <v>1201</v>
      </c>
      <c r="S893">
        <v>1198</v>
      </c>
      <c r="T893" t="s">
        <v>493</v>
      </c>
      <c r="U893" t="s">
        <v>493</v>
      </c>
      <c r="V893" t="s">
        <v>27</v>
      </c>
      <c r="W893" t="s">
        <v>66</v>
      </c>
      <c r="X893" t="s">
        <v>67</v>
      </c>
      <c r="Y893" t="s">
        <v>138</v>
      </c>
      <c r="AA893" t="s">
        <v>494</v>
      </c>
      <c r="AC893" t="s">
        <v>139</v>
      </c>
      <c r="AD893" t="s">
        <v>2624</v>
      </c>
      <c r="AG893" t="s">
        <v>493</v>
      </c>
      <c r="AH893" t="s">
        <v>68</v>
      </c>
      <c r="AI893" t="s">
        <v>493</v>
      </c>
    </row>
    <row r="894" spans="1:37" customFormat="1">
      <c r="A894" t="s">
        <v>23</v>
      </c>
      <c r="B894" t="s">
        <v>24</v>
      </c>
      <c r="C894" t="s">
        <v>929</v>
      </c>
      <c r="D894" t="s">
        <v>135</v>
      </c>
      <c r="E894" t="s">
        <v>1905</v>
      </c>
      <c r="F894" t="s">
        <v>1906</v>
      </c>
      <c r="G894" t="s">
        <v>136</v>
      </c>
      <c r="H894" t="s">
        <v>493</v>
      </c>
      <c r="I894" t="s">
        <v>932</v>
      </c>
      <c r="J894" t="s">
        <v>933</v>
      </c>
      <c r="K894" t="s">
        <v>65</v>
      </c>
      <c r="L894" t="s">
        <v>1450</v>
      </c>
      <c r="M894" t="s">
        <v>137</v>
      </c>
      <c r="N894" t="s">
        <v>2625</v>
      </c>
      <c r="O894">
        <v>1200</v>
      </c>
      <c r="P894" t="s">
        <v>35</v>
      </c>
      <c r="R894">
        <v>1203</v>
      </c>
      <c r="S894">
        <v>1200</v>
      </c>
      <c r="T894" t="s">
        <v>493</v>
      </c>
      <c r="U894" t="s">
        <v>493</v>
      </c>
      <c r="V894" t="s">
        <v>27</v>
      </c>
      <c r="W894" t="s">
        <v>66</v>
      </c>
      <c r="X894" t="s">
        <v>67</v>
      </c>
      <c r="Y894" t="s">
        <v>138</v>
      </c>
      <c r="AA894" t="s">
        <v>494</v>
      </c>
      <c r="AC894" t="s">
        <v>139</v>
      </c>
      <c r="AD894" t="s">
        <v>2626</v>
      </c>
      <c r="AG894" t="s">
        <v>493</v>
      </c>
      <c r="AH894" t="s">
        <v>68</v>
      </c>
      <c r="AI894" t="s">
        <v>493</v>
      </c>
    </row>
    <row r="895" spans="1:37" customFormat="1">
      <c r="A895" t="s">
        <v>23</v>
      </c>
      <c r="B895" t="s">
        <v>24</v>
      </c>
      <c r="C895" t="s">
        <v>929</v>
      </c>
      <c r="D895" t="s">
        <v>135</v>
      </c>
      <c r="E895" t="s">
        <v>1905</v>
      </c>
      <c r="F895" t="s">
        <v>1906</v>
      </c>
      <c r="G895" t="s">
        <v>136</v>
      </c>
      <c r="H895" t="s">
        <v>493</v>
      </c>
      <c r="I895" t="s">
        <v>932</v>
      </c>
      <c r="J895" t="s">
        <v>933</v>
      </c>
      <c r="K895" t="s">
        <v>65</v>
      </c>
      <c r="L895" t="s">
        <v>1450</v>
      </c>
      <c r="M895" t="s">
        <v>137</v>
      </c>
      <c r="N895" t="s">
        <v>2627</v>
      </c>
      <c r="O895">
        <v>1200</v>
      </c>
      <c r="P895" t="s">
        <v>35</v>
      </c>
      <c r="R895">
        <v>1203</v>
      </c>
      <c r="S895">
        <v>1200</v>
      </c>
      <c r="T895" t="s">
        <v>493</v>
      </c>
      <c r="U895" t="s">
        <v>493</v>
      </c>
      <c r="V895" t="s">
        <v>27</v>
      </c>
      <c r="W895" t="s">
        <v>66</v>
      </c>
      <c r="X895" t="s">
        <v>67</v>
      </c>
      <c r="Y895" t="s">
        <v>138</v>
      </c>
      <c r="AA895" t="s">
        <v>494</v>
      </c>
      <c r="AC895" t="s">
        <v>139</v>
      </c>
      <c r="AD895" t="s">
        <v>2628</v>
      </c>
      <c r="AG895" t="s">
        <v>493</v>
      </c>
      <c r="AH895" t="s">
        <v>68</v>
      </c>
      <c r="AI895" t="s">
        <v>493</v>
      </c>
    </row>
    <row r="896" spans="1:37" customFormat="1">
      <c r="A896" t="s">
        <v>23</v>
      </c>
      <c r="B896" t="s">
        <v>24</v>
      </c>
      <c r="C896" t="s">
        <v>929</v>
      </c>
      <c r="D896" t="s">
        <v>135</v>
      </c>
      <c r="E896" t="s">
        <v>1905</v>
      </c>
      <c r="F896" t="s">
        <v>1906</v>
      </c>
      <c r="G896" t="s">
        <v>136</v>
      </c>
      <c r="H896" t="s">
        <v>493</v>
      </c>
      <c r="I896" t="s">
        <v>932</v>
      </c>
      <c r="J896" t="s">
        <v>933</v>
      </c>
      <c r="K896" t="s">
        <v>65</v>
      </c>
      <c r="L896" t="s">
        <v>1450</v>
      </c>
      <c r="M896" t="s">
        <v>137</v>
      </c>
      <c r="N896" t="s">
        <v>2629</v>
      </c>
      <c r="O896">
        <v>1193</v>
      </c>
      <c r="P896" t="s">
        <v>35</v>
      </c>
      <c r="R896">
        <v>1196</v>
      </c>
      <c r="S896">
        <v>1193</v>
      </c>
      <c r="T896" t="s">
        <v>493</v>
      </c>
      <c r="U896" t="s">
        <v>493</v>
      </c>
      <c r="V896" t="s">
        <v>27</v>
      </c>
      <c r="W896" t="s">
        <v>66</v>
      </c>
      <c r="X896" t="s">
        <v>67</v>
      </c>
      <c r="Y896" t="s">
        <v>138</v>
      </c>
      <c r="AA896" t="s">
        <v>494</v>
      </c>
      <c r="AC896" t="s">
        <v>139</v>
      </c>
      <c r="AD896" t="s">
        <v>2630</v>
      </c>
      <c r="AG896" t="s">
        <v>493</v>
      </c>
      <c r="AH896" t="s">
        <v>68</v>
      </c>
      <c r="AI896" t="s">
        <v>493</v>
      </c>
    </row>
    <row r="897" spans="1:35" customFormat="1">
      <c r="A897" t="s">
        <v>23</v>
      </c>
      <c r="B897" t="s">
        <v>24</v>
      </c>
      <c r="C897" t="s">
        <v>929</v>
      </c>
      <c r="D897" t="s">
        <v>135</v>
      </c>
      <c r="E897" t="s">
        <v>1905</v>
      </c>
      <c r="F897" t="s">
        <v>1906</v>
      </c>
      <c r="G897" t="s">
        <v>136</v>
      </c>
      <c r="H897" t="s">
        <v>493</v>
      </c>
      <c r="I897" t="s">
        <v>932</v>
      </c>
      <c r="J897" t="s">
        <v>933</v>
      </c>
      <c r="K897" t="s">
        <v>65</v>
      </c>
      <c r="L897" t="s">
        <v>1450</v>
      </c>
      <c r="M897" t="s">
        <v>137</v>
      </c>
      <c r="N897" t="s">
        <v>2631</v>
      </c>
      <c r="O897">
        <v>1193</v>
      </c>
      <c r="P897" t="s">
        <v>35</v>
      </c>
      <c r="R897">
        <v>1196</v>
      </c>
      <c r="S897">
        <v>1193</v>
      </c>
      <c r="T897" t="s">
        <v>493</v>
      </c>
      <c r="U897" t="s">
        <v>493</v>
      </c>
      <c r="V897" t="s">
        <v>27</v>
      </c>
      <c r="W897" t="s">
        <v>66</v>
      </c>
      <c r="X897" t="s">
        <v>67</v>
      </c>
      <c r="Y897" t="s">
        <v>138</v>
      </c>
      <c r="AA897" t="s">
        <v>494</v>
      </c>
      <c r="AC897" t="s">
        <v>139</v>
      </c>
      <c r="AD897" t="s">
        <v>2632</v>
      </c>
      <c r="AG897" t="s">
        <v>493</v>
      </c>
      <c r="AH897" t="s">
        <v>68</v>
      </c>
      <c r="AI897" t="s">
        <v>493</v>
      </c>
    </row>
    <row r="898" spans="1:35" customFormat="1">
      <c r="A898" t="s">
        <v>23</v>
      </c>
      <c r="B898" t="s">
        <v>24</v>
      </c>
      <c r="C898" t="s">
        <v>929</v>
      </c>
      <c r="D898" t="s">
        <v>135</v>
      </c>
      <c r="E898" t="s">
        <v>1905</v>
      </c>
      <c r="F898" t="s">
        <v>1906</v>
      </c>
      <c r="G898" t="s">
        <v>136</v>
      </c>
      <c r="H898" t="s">
        <v>493</v>
      </c>
      <c r="I898" t="s">
        <v>932</v>
      </c>
      <c r="J898" t="s">
        <v>933</v>
      </c>
      <c r="K898" t="s">
        <v>65</v>
      </c>
      <c r="L898" t="s">
        <v>1450</v>
      </c>
      <c r="M898" t="s">
        <v>137</v>
      </c>
      <c r="N898" t="s">
        <v>2633</v>
      </c>
      <c r="O898">
        <v>1194</v>
      </c>
      <c r="P898" t="s">
        <v>35</v>
      </c>
      <c r="R898">
        <v>1197</v>
      </c>
      <c r="S898">
        <v>1194</v>
      </c>
      <c r="T898" t="s">
        <v>493</v>
      </c>
      <c r="U898" t="s">
        <v>493</v>
      </c>
      <c r="V898" t="s">
        <v>27</v>
      </c>
      <c r="W898" t="s">
        <v>66</v>
      </c>
      <c r="X898" t="s">
        <v>67</v>
      </c>
      <c r="Y898" t="s">
        <v>138</v>
      </c>
      <c r="AA898" t="s">
        <v>494</v>
      </c>
      <c r="AC898" t="s">
        <v>139</v>
      </c>
      <c r="AD898" t="s">
        <v>2634</v>
      </c>
      <c r="AG898" t="s">
        <v>493</v>
      </c>
      <c r="AH898" t="s">
        <v>68</v>
      </c>
      <c r="AI898" t="s">
        <v>493</v>
      </c>
    </row>
    <row r="899" spans="1:35" customFormat="1">
      <c r="A899" t="s">
        <v>23</v>
      </c>
      <c r="B899" t="s">
        <v>24</v>
      </c>
      <c r="C899" t="s">
        <v>929</v>
      </c>
      <c r="D899" t="s">
        <v>135</v>
      </c>
      <c r="E899" t="s">
        <v>1905</v>
      </c>
      <c r="F899" t="s">
        <v>1906</v>
      </c>
      <c r="G899" t="s">
        <v>136</v>
      </c>
      <c r="H899" t="s">
        <v>493</v>
      </c>
      <c r="I899" t="s">
        <v>932</v>
      </c>
      <c r="J899" t="s">
        <v>933</v>
      </c>
      <c r="K899" t="s">
        <v>65</v>
      </c>
      <c r="L899" t="s">
        <v>1450</v>
      </c>
      <c r="M899" t="s">
        <v>137</v>
      </c>
      <c r="N899" t="s">
        <v>2635</v>
      </c>
      <c r="O899">
        <v>1197</v>
      </c>
      <c r="P899" t="s">
        <v>35</v>
      </c>
      <c r="R899">
        <v>1201</v>
      </c>
      <c r="S899">
        <v>1197</v>
      </c>
      <c r="T899" t="s">
        <v>493</v>
      </c>
      <c r="U899" t="s">
        <v>493</v>
      </c>
      <c r="V899" t="s">
        <v>27</v>
      </c>
      <c r="W899" t="s">
        <v>66</v>
      </c>
      <c r="X899" t="s">
        <v>67</v>
      </c>
      <c r="Y899" t="s">
        <v>138</v>
      </c>
      <c r="AA899" t="s">
        <v>494</v>
      </c>
      <c r="AC899" t="s">
        <v>139</v>
      </c>
      <c r="AD899" t="s">
        <v>2636</v>
      </c>
      <c r="AG899" t="s">
        <v>493</v>
      </c>
      <c r="AH899" t="s">
        <v>68</v>
      </c>
      <c r="AI899" t="s">
        <v>493</v>
      </c>
    </row>
    <row r="900" spans="1:35" customFormat="1">
      <c r="A900" t="s">
        <v>23</v>
      </c>
      <c r="B900" t="s">
        <v>24</v>
      </c>
      <c r="C900" t="s">
        <v>929</v>
      </c>
      <c r="D900" t="s">
        <v>135</v>
      </c>
      <c r="E900" t="s">
        <v>1905</v>
      </c>
      <c r="F900" t="s">
        <v>1906</v>
      </c>
      <c r="G900" t="s">
        <v>136</v>
      </c>
      <c r="H900" t="s">
        <v>493</v>
      </c>
      <c r="I900" t="s">
        <v>932</v>
      </c>
      <c r="J900" t="s">
        <v>933</v>
      </c>
      <c r="K900" t="s">
        <v>65</v>
      </c>
      <c r="L900" t="s">
        <v>1450</v>
      </c>
      <c r="M900" t="s">
        <v>137</v>
      </c>
      <c r="N900" t="s">
        <v>2637</v>
      </c>
      <c r="O900">
        <v>1179</v>
      </c>
      <c r="P900" t="s">
        <v>35</v>
      </c>
      <c r="R900">
        <v>1182</v>
      </c>
      <c r="S900">
        <v>1179</v>
      </c>
      <c r="T900" t="s">
        <v>493</v>
      </c>
      <c r="U900" t="s">
        <v>493</v>
      </c>
      <c r="V900" t="s">
        <v>27</v>
      </c>
      <c r="W900" t="s">
        <v>66</v>
      </c>
      <c r="X900" t="s">
        <v>67</v>
      </c>
      <c r="Y900" t="s">
        <v>138</v>
      </c>
      <c r="AA900" t="s">
        <v>494</v>
      </c>
      <c r="AC900" t="s">
        <v>139</v>
      </c>
      <c r="AD900" t="s">
        <v>2638</v>
      </c>
      <c r="AG900" t="s">
        <v>493</v>
      </c>
      <c r="AH900" t="s">
        <v>68</v>
      </c>
      <c r="AI900" t="s">
        <v>493</v>
      </c>
    </row>
    <row r="901" spans="1:35" customFormat="1">
      <c r="A901" t="s">
        <v>23</v>
      </c>
      <c r="B901" t="s">
        <v>24</v>
      </c>
      <c r="C901" t="s">
        <v>929</v>
      </c>
      <c r="D901" t="s">
        <v>135</v>
      </c>
      <c r="E901" t="s">
        <v>1905</v>
      </c>
      <c r="F901" t="s">
        <v>1906</v>
      </c>
      <c r="G901" t="s">
        <v>136</v>
      </c>
      <c r="H901" t="s">
        <v>493</v>
      </c>
      <c r="I901" t="s">
        <v>932</v>
      </c>
      <c r="J901" t="s">
        <v>933</v>
      </c>
      <c r="K901" t="s">
        <v>65</v>
      </c>
      <c r="L901" t="s">
        <v>1450</v>
      </c>
      <c r="M901" t="s">
        <v>137</v>
      </c>
      <c r="N901" t="s">
        <v>2639</v>
      </c>
      <c r="O901">
        <v>1203</v>
      </c>
      <c r="P901" t="s">
        <v>35</v>
      </c>
      <c r="R901">
        <v>1206</v>
      </c>
      <c r="S901">
        <v>1203</v>
      </c>
      <c r="T901" t="s">
        <v>493</v>
      </c>
      <c r="U901" t="s">
        <v>493</v>
      </c>
      <c r="V901" t="s">
        <v>27</v>
      </c>
      <c r="W901" t="s">
        <v>66</v>
      </c>
      <c r="X901" t="s">
        <v>67</v>
      </c>
      <c r="Y901" t="s">
        <v>138</v>
      </c>
      <c r="AA901" t="s">
        <v>494</v>
      </c>
      <c r="AC901" t="s">
        <v>139</v>
      </c>
      <c r="AD901" t="s">
        <v>2640</v>
      </c>
      <c r="AG901" t="s">
        <v>493</v>
      </c>
      <c r="AH901" t="s">
        <v>68</v>
      </c>
      <c r="AI901" t="s">
        <v>493</v>
      </c>
    </row>
    <row r="902" spans="1:35" customFormat="1">
      <c r="A902" t="s">
        <v>23</v>
      </c>
      <c r="B902" t="s">
        <v>24</v>
      </c>
      <c r="C902" t="s">
        <v>929</v>
      </c>
      <c r="D902" t="s">
        <v>135</v>
      </c>
      <c r="E902" t="s">
        <v>1905</v>
      </c>
      <c r="F902" t="s">
        <v>1906</v>
      </c>
      <c r="G902" t="s">
        <v>136</v>
      </c>
      <c r="H902" t="s">
        <v>493</v>
      </c>
      <c r="I902" t="s">
        <v>932</v>
      </c>
      <c r="J902" t="s">
        <v>933</v>
      </c>
      <c r="K902" t="s">
        <v>65</v>
      </c>
      <c r="L902" t="s">
        <v>1450</v>
      </c>
      <c r="M902" t="s">
        <v>137</v>
      </c>
      <c r="N902" t="s">
        <v>2641</v>
      </c>
      <c r="O902">
        <v>1189</v>
      </c>
      <c r="P902" t="s">
        <v>35</v>
      </c>
      <c r="R902">
        <v>1192</v>
      </c>
      <c r="S902">
        <v>1189</v>
      </c>
      <c r="T902" t="s">
        <v>493</v>
      </c>
      <c r="U902" t="s">
        <v>493</v>
      </c>
      <c r="V902" t="s">
        <v>27</v>
      </c>
      <c r="W902" t="s">
        <v>66</v>
      </c>
      <c r="X902" t="s">
        <v>67</v>
      </c>
      <c r="Y902" t="s">
        <v>138</v>
      </c>
      <c r="AA902" t="s">
        <v>494</v>
      </c>
      <c r="AC902" t="s">
        <v>139</v>
      </c>
      <c r="AD902" t="s">
        <v>2642</v>
      </c>
      <c r="AG902" t="s">
        <v>493</v>
      </c>
      <c r="AH902" t="s">
        <v>68</v>
      </c>
      <c r="AI902" t="s">
        <v>493</v>
      </c>
    </row>
    <row r="903" spans="1:35" customFormat="1">
      <c r="A903" t="s">
        <v>23</v>
      </c>
      <c r="B903" t="s">
        <v>24</v>
      </c>
      <c r="C903" t="s">
        <v>929</v>
      </c>
      <c r="D903" t="s">
        <v>135</v>
      </c>
      <c r="E903" t="s">
        <v>1905</v>
      </c>
      <c r="F903" t="s">
        <v>1906</v>
      </c>
      <c r="G903" t="s">
        <v>136</v>
      </c>
      <c r="H903" t="s">
        <v>493</v>
      </c>
      <c r="I903" t="s">
        <v>932</v>
      </c>
      <c r="J903" t="s">
        <v>933</v>
      </c>
      <c r="K903" t="s">
        <v>65</v>
      </c>
      <c r="L903" t="s">
        <v>1450</v>
      </c>
      <c r="M903" t="s">
        <v>137</v>
      </c>
      <c r="N903" t="s">
        <v>2643</v>
      </c>
      <c r="O903">
        <v>1189</v>
      </c>
      <c r="P903" t="s">
        <v>35</v>
      </c>
      <c r="R903">
        <v>1192</v>
      </c>
      <c r="S903">
        <v>1189</v>
      </c>
      <c r="T903" t="s">
        <v>493</v>
      </c>
      <c r="U903" t="s">
        <v>493</v>
      </c>
      <c r="V903" t="s">
        <v>27</v>
      </c>
      <c r="W903" t="s">
        <v>66</v>
      </c>
      <c r="X903" t="s">
        <v>67</v>
      </c>
      <c r="Y903" t="s">
        <v>138</v>
      </c>
      <c r="AA903" t="s">
        <v>494</v>
      </c>
      <c r="AC903" t="s">
        <v>139</v>
      </c>
      <c r="AD903" t="s">
        <v>2644</v>
      </c>
      <c r="AG903" t="s">
        <v>493</v>
      </c>
      <c r="AH903" t="s">
        <v>68</v>
      </c>
      <c r="AI903" t="s">
        <v>493</v>
      </c>
    </row>
    <row r="904" spans="1:35" customFormat="1">
      <c r="A904" t="s">
        <v>23</v>
      </c>
      <c r="B904" t="s">
        <v>24</v>
      </c>
      <c r="C904" t="s">
        <v>929</v>
      </c>
      <c r="D904" t="s">
        <v>135</v>
      </c>
      <c r="E904" t="s">
        <v>1905</v>
      </c>
      <c r="F904" t="s">
        <v>1906</v>
      </c>
      <c r="G904" t="s">
        <v>136</v>
      </c>
      <c r="H904" t="s">
        <v>493</v>
      </c>
      <c r="I904" t="s">
        <v>932</v>
      </c>
      <c r="J904" t="s">
        <v>933</v>
      </c>
      <c r="K904" t="s">
        <v>65</v>
      </c>
      <c r="L904" t="s">
        <v>1450</v>
      </c>
      <c r="M904" t="s">
        <v>137</v>
      </c>
      <c r="N904" t="s">
        <v>2645</v>
      </c>
      <c r="O904">
        <v>1189</v>
      </c>
      <c r="P904" t="s">
        <v>35</v>
      </c>
      <c r="R904">
        <v>1192</v>
      </c>
      <c r="S904">
        <v>1189</v>
      </c>
      <c r="T904" t="s">
        <v>493</v>
      </c>
      <c r="U904" t="s">
        <v>493</v>
      </c>
      <c r="V904" t="s">
        <v>27</v>
      </c>
      <c r="W904" t="s">
        <v>66</v>
      </c>
      <c r="X904" t="s">
        <v>67</v>
      </c>
      <c r="Y904" t="s">
        <v>138</v>
      </c>
      <c r="AA904" t="s">
        <v>494</v>
      </c>
      <c r="AC904" t="s">
        <v>139</v>
      </c>
      <c r="AD904" t="s">
        <v>2646</v>
      </c>
      <c r="AG904" t="s">
        <v>493</v>
      </c>
      <c r="AH904" t="s">
        <v>68</v>
      </c>
      <c r="AI904" t="s">
        <v>493</v>
      </c>
    </row>
    <row r="905" spans="1:35" customFormat="1">
      <c r="A905" t="s">
        <v>23</v>
      </c>
      <c r="B905" t="s">
        <v>24</v>
      </c>
      <c r="C905" t="s">
        <v>929</v>
      </c>
      <c r="D905" t="s">
        <v>135</v>
      </c>
      <c r="E905" t="s">
        <v>1905</v>
      </c>
      <c r="F905" t="s">
        <v>1906</v>
      </c>
      <c r="G905" t="s">
        <v>136</v>
      </c>
      <c r="H905" t="s">
        <v>493</v>
      </c>
      <c r="I905" t="s">
        <v>932</v>
      </c>
      <c r="J905" t="s">
        <v>933</v>
      </c>
      <c r="K905" t="s">
        <v>65</v>
      </c>
      <c r="L905" t="s">
        <v>1450</v>
      </c>
      <c r="M905" t="s">
        <v>137</v>
      </c>
      <c r="N905" t="s">
        <v>2647</v>
      </c>
      <c r="O905">
        <v>1200</v>
      </c>
      <c r="P905" t="s">
        <v>35</v>
      </c>
      <c r="R905">
        <v>1203</v>
      </c>
      <c r="S905">
        <v>1200</v>
      </c>
      <c r="T905" t="s">
        <v>493</v>
      </c>
      <c r="U905" t="s">
        <v>493</v>
      </c>
      <c r="V905" t="s">
        <v>27</v>
      </c>
      <c r="W905" t="s">
        <v>66</v>
      </c>
      <c r="X905" t="s">
        <v>67</v>
      </c>
      <c r="Y905" t="s">
        <v>138</v>
      </c>
      <c r="AA905" t="s">
        <v>494</v>
      </c>
      <c r="AC905" t="s">
        <v>139</v>
      </c>
      <c r="AD905" t="s">
        <v>2648</v>
      </c>
      <c r="AG905" t="s">
        <v>493</v>
      </c>
      <c r="AH905" t="s">
        <v>68</v>
      </c>
      <c r="AI905" t="s">
        <v>493</v>
      </c>
    </row>
    <row r="906" spans="1:35" customFormat="1">
      <c r="A906" t="s">
        <v>23</v>
      </c>
      <c r="B906" t="s">
        <v>24</v>
      </c>
      <c r="C906" t="s">
        <v>929</v>
      </c>
      <c r="D906" t="s">
        <v>135</v>
      </c>
      <c r="E906" t="s">
        <v>1905</v>
      </c>
      <c r="F906" t="s">
        <v>1906</v>
      </c>
      <c r="G906" t="s">
        <v>136</v>
      </c>
      <c r="H906" t="s">
        <v>493</v>
      </c>
      <c r="I906" t="s">
        <v>932</v>
      </c>
      <c r="J906" t="s">
        <v>933</v>
      </c>
      <c r="K906" t="s">
        <v>65</v>
      </c>
      <c r="L906" t="s">
        <v>1450</v>
      </c>
      <c r="M906" t="s">
        <v>137</v>
      </c>
      <c r="N906" t="s">
        <v>2649</v>
      </c>
      <c r="O906">
        <v>1203</v>
      </c>
      <c r="P906" t="s">
        <v>35</v>
      </c>
      <c r="R906">
        <v>1206</v>
      </c>
      <c r="S906">
        <v>1203</v>
      </c>
      <c r="T906" t="s">
        <v>493</v>
      </c>
      <c r="U906" t="s">
        <v>493</v>
      </c>
      <c r="V906" t="s">
        <v>27</v>
      </c>
      <c r="W906" t="s">
        <v>66</v>
      </c>
      <c r="X906" t="s">
        <v>67</v>
      </c>
      <c r="Y906" t="s">
        <v>138</v>
      </c>
      <c r="AA906" t="s">
        <v>494</v>
      </c>
      <c r="AC906" t="s">
        <v>139</v>
      </c>
      <c r="AD906" t="s">
        <v>2650</v>
      </c>
      <c r="AG906" t="s">
        <v>493</v>
      </c>
      <c r="AH906" t="s">
        <v>68</v>
      </c>
      <c r="AI906" t="s">
        <v>493</v>
      </c>
    </row>
    <row r="907" spans="1:35" customFormat="1">
      <c r="A907" t="s">
        <v>23</v>
      </c>
      <c r="B907" t="s">
        <v>24</v>
      </c>
      <c r="C907" t="s">
        <v>929</v>
      </c>
      <c r="D907" t="s">
        <v>135</v>
      </c>
      <c r="E907" t="s">
        <v>1905</v>
      </c>
      <c r="F907" t="s">
        <v>1906</v>
      </c>
      <c r="G907" t="s">
        <v>136</v>
      </c>
      <c r="H907" t="s">
        <v>493</v>
      </c>
      <c r="I907" t="s">
        <v>932</v>
      </c>
      <c r="J907" t="s">
        <v>933</v>
      </c>
      <c r="K907" t="s">
        <v>65</v>
      </c>
      <c r="L907" t="s">
        <v>1450</v>
      </c>
      <c r="M907" t="s">
        <v>137</v>
      </c>
      <c r="N907" t="s">
        <v>2651</v>
      </c>
      <c r="O907">
        <v>1200</v>
      </c>
      <c r="P907" t="s">
        <v>35</v>
      </c>
      <c r="R907">
        <v>1203</v>
      </c>
      <c r="S907">
        <v>1200</v>
      </c>
      <c r="T907" t="s">
        <v>493</v>
      </c>
      <c r="U907" t="s">
        <v>493</v>
      </c>
      <c r="V907" t="s">
        <v>27</v>
      </c>
      <c r="W907" t="s">
        <v>66</v>
      </c>
      <c r="X907" t="s">
        <v>67</v>
      </c>
      <c r="Y907" t="s">
        <v>138</v>
      </c>
      <c r="AA907" t="s">
        <v>494</v>
      </c>
      <c r="AC907" t="s">
        <v>139</v>
      </c>
      <c r="AD907" t="s">
        <v>2652</v>
      </c>
      <c r="AG907" t="s">
        <v>493</v>
      </c>
      <c r="AH907" t="s">
        <v>68</v>
      </c>
      <c r="AI907" t="s">
        <v>493</v>
      </c>
    </row>
    <row r="908" spans="1:35" customFormat="1">
      <c r="A908" t="s">
        <v>23</v>
      </c>
      <c r="B908" t="s">
        <v>24</v>
      </c>
      <c r="C908" t="s">
        <v>929</v>
      </c>
      <c r="D908" t="s">
        <v>135</v>
      </c>
      <c r="E908" t="s">
        <v>1905</v>
      </c>
      <c r="F908" t="s">
        <v>1906</v>
      </c>
      <c r="G908" t="s">
        <v>136</v>
      </c>
      <c r="H908" t="s">
        <v>493</v>
      </c>
      <c r="I908" t="s">
        <v>932</v>
      </c>
      <c r="J908" t="s">
        <v>933</v>
      </c>
      <c r="K908" t="s">
        <v>65</v>
      </c>
      <c r="L908" t="s">
        <v>1450</v>
      </c>
      <c r="M908" t="s">
        <v>137</v>
      </c>
      <c r="N908" t="s">
        <v>2653</v>
      </c>
      <c r="O908">
        <v>1200</v>
      </c>
      <c r="P908" t="s">
        <v>35</v>
      </c>
      <c r="R908">
        <v>1203</v>
      </c>
      <c r="S908">
        <v>1200</v>
      </c>
      <c r="T908" t="s">
        <v>493</v>
      </c>
      <c r="U908" t="s">
        <v>493</v>
      </c>
      <c r="V908" t="s">
        <v>27</v>
      </c>
      <c r="W908" t="s">
        <v>66</v>
      </c>
      <c r="X908" t="s">
        <v>67</v>
      </c>
      <c r="Y908" t="s">
        <v>138</v>
      </c>
      <c r="AA908" t="s">
        <v>494</v>
      </c>
      <c r="AC908" t="s">
        <v>139</v>
      </c>
      <c r="AD908" t="s">
        <v>2654</v>
      </c>
      <c r="AG908" t="s">
        <v>493</v>
      </c>
      <c r="AH908" t="s">
        <v>68</v>
      </c>
      <c r="AI908" t="s">
        <v>493</v>
      </c>
    </row>
    <row r="909" spans="1:35" customFormat="1">
      <c r="A909" t="s">
        <v>23</v>
      </c>
      <c r="B909" t="s">
        <v>24</v>
      </c>
      <c r="C909" t="s">
        <v>929</v>
      </c>
      <c r="D909" t="s">
        <v>135</v>
      </c>
      <c r="E909" t="s">
        <v>1905</v>
      </c>
      <c r="F909" t="s">
        <v>1906</v>
      </c>
      <c r="G909" t="s">
        <v>136</v>
      </c>
      <c r="H909" t="s">
        <v>493</v>
      </c>
      <c r="I909" t="s">
        <v>932</v>
      </c>
      <c r="J909" t="s">
        <v>933</v>
      </c>
      <c r="K909" t="s">
        <v>65</v>
      </c>
      <c r="L909" t="s">
        <v>1450</v>
      </c>
      <c r="M909" t="s">
        <v>137</v>
      </c>
      <c r="N909" t="s">
        <v>2655</v>
      </c>
      <c r="O909">
        <v>1199</v>
      </c>
      <c r="P909" t="s">
        <v>35</v>
      </c>
      <c r="R909">
        <v>1202</v>
      </c>
      <c r="S909">
        <v>1199</v>
      </c>
      <c r="T909" t="s">
        <v>493</v>
      </c>
      <c r="U909" t="s">
        <v>493</v>
      </c>
      <c r="V909" t="s">
        <v>27</v>
      </c>
      <c r="W909" t="s">
        <v>66</v>
      </c>
      <c r="X909" t="s">
        <v>67</v>
      </c>
      <c r="Y909" t="s">
        <v>138</v>
      </c>
      <c r="AA909" t="s">
        <v>494</v>
      </c>
      <c r="AC909" t="s">
        <v>139</v>
      </c>
      <c r="AD909" t="s">
        <v>2656</v>
      </c>
      <c r="AG909" t="s">
        <v>493</v>
      </c>
      <c r="AH909" t="s">
        <v>68</v>
      </c>
      <c r="AI909" t="s">
        <v>493</v>
      </c>
    </row>
    <row r="910" spans="1:35" customFormat="1">
      <c r="A910" t="s">
        <v>23</v>
      </c>
      <c r="B910" t="s">
        <v>24</v>
      </c>
      <c r="C910" t="s">
        <v>929</v>
      </c>
      <c r="D910" t="s">
        <v>135</v>
      </c>
      <c r="E910" t="s">
        <v>1905</v>
      </c>
      <c r="F910" t="s">
        <v>1906</v>
      </c>
      <c r="G910" t="s">
        <v>136</v>
      </c>
      <c r="H910" t="s">
        <v>493</v>
      </c>
      <c r="I910" t="s">
        <v>932</v>
      </c>
      <c r="J910" t="s">
        <v>933</v>
      </c>
      <c r="K910" t="s">
        <v>65</v>
      </c>
      <c r="L910" t="s">
        <v>1450</v>
      </c>
      <c r="M910" t="s">
        <v>137</v>
      </c>
      <c r="N910" t="s">
        <v>2657</v>
      </c>
      <c r="O910">
        <v>1200</v>
      </c>
      <c r="P910" t="s">
        <v>35</v>
      </c>
      <c r="R910">
        <v>1203</v>
      </c>
      <c r="S910">
        <v>1200</v>
      </c>
      <c r="T910" t="s">
        <v>493</v>
      </c>
      <c r="U910" t="s">
        <v>493</v>
      </c>
      <c r="V910" t="s">
        <v>27</v>
      </c>
      <c r="W910" t="s">
        <v>66</v>
      </c>
      <c r="X910" t="s">
        <v>67</v>
      </c>
      <c r="Y910" t="s">
        <v>138</v>
      </c>
      <c r="AA910" t="s">
        <v>494</v>
      </c>
      <c r="AC910" t="s">
        <v>139</v>
      </c>
      <c r="AD910" t="s">
        <v>2658</v>
      </c>
      <c r="AG910" t="s">
        <v>493</v>
      </c>
      <c r="AH910" t="s">
        <v>68</v>
      </c>
      <c r="AI910" t="s">
        <v>493</v>
      </c>
    </row>
    <row r="911" spans="1:35" customFormat="1">
      <c r="A911" t="s">
        <v>23</v>
      </c>
      <c r="B911" t="s">
        <v>24</v>
      </c>
      <c r="C911" t="s">
        <v>929</v>
      </c>
      <c r="D911" t="s">
        <v>135</v>
      </c>
      <c r="E911" t="s">
        <v>1905</v>
      </c>
      <c r="F911" t="s">
        <v>1906</v>
      </c>
      <c r="G911" t="s">
        <v>136</v>
      </c>
      <c r="H911" t="s">
        <v>493</v>
      </c>
      <c r="I911" t="s">
        <v>932</v>
      </c>
      <c r="J911" t="s">
        <v>933</v>
      </c>
      <c r="K911" t="s">
        <v>65</v>
      </c>
      <c r="L911" t="s">
        <v>1450</v>
      </c>
      <c r="M911" t="s">
        <v>137</v>
      </c>
      <c r="N911" t="s">
        <v>2659</v>
      </c>
      <c r="O911">
        <v>1201</v>
      </c>
      <c r="P911" t="s">
        <v>35</v>
      </c>
      <c r="R911">
        <v>1204</v>
      </c>
      <c r="S911">
        <v>1201</v>
      </c>
      <c r="T911" t="s">
        <v>493</v>
      </c>
      <c r="U911" t="s">
        <v>493</v>
      </c>
      <c r="V911" t="s">
        <v>27</v>
      </c>
      <c r="W911" t="s">
        <v>66</v>
      </c>
      <c r="X911" t="s">
        <v>67</v>
      </c>
      <c r="Y911" t="s">
        <v>138</v>
      </c>
      <c r="AA911" t="s">
        <v>494</v>
      </c>
      <c r="AC911" t="s">
        <v>139</v>
      </c>
      <c r="AD911" t="s">
        <v>2660</v>
      </c>
      <c r="AG911" t="s">
        <v>493</v>
      </c>
      <c r="AH911" t="s">
        <v>68</v>
      </c>
      <c r="AI911" t="s">
        <v>493</v>
      </c>
    </row>
    <row r="912" spans="1:35" customFormat="1">
      <c r="A912" t="s">
        <v>23</v>
      </c>
      <c r="B912" t="s">
        <v>24</v>
      </c>
      <c r="C912" t="s">
        <v>929</v>
      </c>
      <c r="D912" t="s">
        <v>135</v>
      </c>
      <c r="E912" t="s">
        <v>1905</v>
      </c>
      <c r="F912" t="s">
        <v>1906</v>
      </c>
      <c r="G912" t="s">
        <v>136</v>
      </c>
      <c r="H912" t="s">
        <v>493</v>
      </c>
      <c r="I912" t="s">
        <v>932</v>
      </c>
      <c r="J912" t="s">
        <v>933</v>
      </c>
      <c r="K912" t="s">
        <v>65</v>
      </c>
      <c r="L912" t="s">
        <v>1450</v>
      </c>
      <c r="M912" t="s">
        <v>137</v>
      </c>
      <c r="N912" t="s">
        <v>2661</v>
      </c>
      <c r="O912">
        <v>1203</v>
      </c>
      <c r="P912" t="s">
        <v>35</v>
      </c>
      <c r="R912">
        <v>1205</v>
      </c>
      <c r="S912">
        <v>1203</v>
      </c>
      <c r="T912" t="s">
        <v>493</v>
      </c>
      <c r="U912" t="s">
        <v>493</v>
      </c>
      <c r="V912" t="s">
        <v>27</v>
      </c>
      <c r="W912" t="s">
        <v>66</v>
      </c>
      <c r="X912" t="s">
        <v>67</v>
      </c>
      <c r="Y912" t="s">
        <v>138</v>
      </c>
      <c r="AA912" t="s">
        <v>494</v>
      </c>
      <c r="AC912" t="s">
        <v>139</v>
      </c>
      <c r="AD912" t="s">
        <v>2662</v>
      </c>
      <c r="AG912" t="s">
        <v>493</v>
      </c>
      <c r="AH912" t="s">
        <v>68</v>
      </c>
      <c r="AI912" t="s">
        <v>493</v>
      </c>
    </row>
    <row r="913" spans="1:35" customFormat="1">
      <c r="A913" t="s">
        <v>23</v>
      </c>
      <c r="B913" t="s">
        <v>24</v>
      </c>
      <c r="C913" t="s">
        <v>929</v>
      </c>
      <c r="D913" t="s">
        <v>135</v>
      </c>
      <c r="E913" t="s">
        <v>1905</v>
      </c>
      <c r="F913" t="s">
        <v>1906</v>
      </c>
      <c r="G913" t="s">
        <v>136</v>
      </c>
      <c r="H913" t="s">
        <v>493</v>
      </c>
      <c r="I913" t="s">
        <v>932</v>
      </c>
      <c r="J913" t="s">
        <v>933</v>
      </c>
      <c r="K913" t="s">
        <v>65</v>
      </c>
      <c r="L913" t="s">
        <v>1450</v>
      </c>
      <c r="M913" t="s">
        <v>137</v>
      </c>
      <c r="N913" t="s">
        <v>2663</v>
      </c>
      <c r="O913">
        <v>1204</v>
      </c>
      <c r="P913" t="s">
        <v>35</v>
      </c>
      <c r="R913">
        <v>1207</v>
      </c>
      <c r="S913">
        <v>1204</v>
      </c>
      <c r="T913" t="s">
        <v>493</v>
      </c>
      <c r="U913" t="s">
        <v>493</v>
      </c>
      <c r="V913" t="s">
        <v>27</v>
      </c>
      <c r="W913" t="s">
        <v>66</v>
      </c>
      <c r="X913" t="s">
        <v>67</v>
      </c>
      <c r="Y913" t="s">
        <v>138</v>
      </c>
      <c r="AA913" t="s">
        <v>494</v>
      </c>
      <c r="AC913" t="s">
        <v>139</v>
      </c>
      <c r="AD913" t="s">
        <v>2664</v>
      </c>
      <c r="AG913" t="s">
        <v>493</v>
      </c>
      <c r="AH913" t="s">
        <v>68</v>
      </c>
      <c r="AI913" t="s">
        <v>493</v>
      </c>
    </row>
    <row r="914" spans="1:35" customFormat="1">
      <c r="A914" t="s">
        <v>23</v>
      </c>
      <c r="B914" t="s">
        <v>24</v>
      </c>
      <c r="C914" t="s">
        <v>929</v>
      </c>
      <c r="D914" t="s">
        <v>135</v>
      </c>
      <c r="E914" t="s">
        <v>1905</v>
      </c>
      <c r="F914" t="s">
        <v>1906</v>
      </c>
      <c r="G914" t="s">
        <v>136</v>
      </c>
      <c r="H914" t="s">
        <v>493</v>
      </c>
      <c r="I914" t="s">
        <v>932</v>
      </c>
      <c r="J914" t="s">
        <v>933</v>
      </c>
      <c r="K914" t="s">
        <v>65</v>
      </c>
      <c r="L914" t="s">
        <v>1450</v>
      </c>
      <c r="M914" t="s">
        <v>137</v>
      </c>
      <c r="N914" t="s">
        <v>2665</v>
      </c>
      <c r="O914">
        <v>1184</v>
      </c>
      <c r="P914" t="s">
        <v>35</v>
      </c>
      <c r="R914">
        <v>1187</v>
      </c>
      <c r="S914">
        <v>1184</v>
      </c>
      <c r="T914" t="s">
        <v>493</v>
      </c>
      <c r="U914" t="s">
        <v>493</v>
      </c>
      <c r="V914" t="s">
        <v>27</v>
      </c>
      <c r="W914" t="s">
        <v>66</v>
      </c>
      <c r="X914" t="s">
        <v>67</v>
      </c>
      <c r="Y914" t="s">
        <v>138</v>
      </c>
      <c r="AA914" t="s">
        <v>494</v>
      </c>
      <c r="AC914" t="s">
        <v>139</v>
      </c>
      <c r="AD914" t="s">
        <v>2666</v>
      </c>
      <c r="AG914" t="s">
        <v>493</v>
      </c>
      <c r="AH914" t="s">
        <v>68</v>
      </c>
      <c r="AI914" t="s">
        <v>493</v>
      </c>
    </row>
    <row r="915" spans="1:35" customFormat="1">
      <c r="A915" t="s">
        <v>23</v>
      </c>
      <c r="B915" t="s">
        <v>24</v>
      </c>
      <c r="C915" t="s">
        <v>929</v>
      </c>
      <c r="D915" t="s">
        <v>135</v>
      </c>
      <c r="E915" t="s">
        <v>1905</v>
      </c>
      <c r="F915" t="s">
        <v>1906</v>
      </c>
      <c r="G915" t="s">
        <v>136</v>
      </c>
      <c r="H915" t="s">
        <v>493</v>
      </c>
      <c r="I915" t="s">
        <v>932</v>
      </c>
      <c r="J915" t="s">
        <v>933</v>
      </c>
      <c r="K915" t="s">
        <v>65</v>
      </c>
      <c r="L915" t="s">
        <v>1450</v>
      </c>
      <c r="M915" t="s">
        <v>137</v>
      </c>
      <c r="N915" t="s">
        <v>2667</v>
      </c>
      <c r="O915">
        <v>1204</v>
      </c>
      <c r="P915" t="s">
        <v>35</v>
      </c>
      <c r="R915">
        <v>1207</v>
      </c>
      <c r="S915">
        <v>1204</v>
      </c>
      <c r="T915" t="s">
        <v>493</v>
      </c>
      <c r="U915" t="s">
        <v>493</v>
      </c>
      <c r="V915" t="s">
        <v>27</v>
      </c>
      <c r="W915" t="s">
        <v>66</v>
      </c>
      <c r="X915" t="s">
        <v>67</v>
      </c>
      <c r="Y915" t="s">
        <v>138</v>
      </c>
      <c r="AA915" t="s">
        <v>494</v>
      </c>
      <c r="AC915" t="s">
        <v>139</v>
      </c>
      <c r="AD915" t="s">
        <v>2668</v>
      </c>
      <c r="AG915" t="s">
        <v>493</v>
      </c>
      <c r="AH915" t="s">
        <v>68</v>
      </c>
      <c r="AI915" t="s">
        <v>493</v>
      </c>
    </row>
    <row r="916" spans="1:35" customFormat="1">
      <c r="A916" t="s">
        <v>23</v>
      </c>
      <c r="B916" t="s">
        <v>24</v>
      </c>
      <c r="C916" t="s">
        <v>929</v>
      </c>
      <c r="D916" t="s">
        <v>135</v>
      </c>
      <c r="E916" t="s">
        <v>1905</v>
      </c>
      <c r="F916" t="s">
        <v>1906</v>
      </c>
      <c r="G916" t="s">
        <v>136</v>
      </c>
      <c r="H916" t="s">
        <v>493</v>
      </c>
      <c r="I916" t="s">
        <v>932</v>
      </c>
      <c r="J916" t="s">
        <v>933</v>
      </c>
      <c r="K916" t="s">
        <v>65</v>
      </c>
      <c r="L916" t="s">
        <v>1450</v>
      </c>
      <c r="M916" t="s">
        <v>137</v>
      </c>
      <c r="N916" t="s">
        <v>2669</v>
      </c>
      <c r="O916">
        <v>1204</v>
      </c>
      <c r="P916" t="s">
        <v>35</v>
      </c>
      <c r="R916">
        <v>1207</v>
      </c>
      <c r="S916">
        <v>1204</v>
      </c>
      <c r="T916" t="s">
        <v>493</v>
      </c>
      <c r="U916" t="s">
        <v>493</v>
      </c>
      <c r="V916" t="s">
        <v>27</v>
      </c>
      <c r="W916" t="s">
        <v>66</v>
      </c>
      <c r="X916" t="s">
        <v>67</v>
      </c>
      <c r="Y916" t="s">
        <v>138</v>
      </c>
      <c r="AA916" t="s">
        <v>494</v>
      </c>
      <c r="AC916" t="s">
        <v>139</v>
      </c>
      <c r="AD916" t="s">
        <v>2670</v>
      </c>
      <c r="AG916" t="s">
        <v>493</v>
      </c>
      <c r="AH916" t="s">
        <v>68</v>
      </c>
      <c r="AI916" t="s">
        <v>493</v>
      </c>
    </row>
    <row r="917" spans="1:35" customFormat="1">
      <c r="A917" t="s">
        <v>23</v>
      </c>
      <c r="B917" t="s">
        <v>24</v>
      </c>
      <c r="C917" t="s">
        <v>929</v>
      </c>
      <c r="D917" t="s">
        <v>135</v>
      </c>
      <c r="E917" t="s">
        <v>1905</v>
      </c>
      <c r="F917" t="s">
        <v>1906</v>
      </c>
      <c r="G917" t="s">
        <v>136</v>
      </c>
      <c r="H917" t="s">
        <v>493</v>
      </c>
      <c r="I917" t="s">
        <v>932</v>
      </c>
      <c r="J917" t="s">
        <v>933</v>
      </c>
      <c r="K917" t="s">
        <v>65</v>
      </c>
      <c r="L917" t="s">
        <v>1450</v>
      </c>
      <c r="M917" t="s">
        <v>137</v>
      </c>
      <c r="N917" t="s">
        <v>2671</v>
      </c>
      <c r="O917">
        <v>1202</v>
      </c>
      <c r="P917" t="s">
        <v>35</v>
      </c>
      <c r="R917">
        <v>1205</v>
      </c>
      <c r="S917">
        <v>1202</v>
      </c>
      <c r="T917" t="s">
        <v>493</v>
      </c>
      <c r="U917" t="s">
        <v>493</v>
      </c>
      <c r="V917" t="s">
        <v>27</v>
      </c>
      <c r="W917" t="s">
        <v>66</v>
      </c>
      <c r="X917" t="s">
        <v>67</v>
      </c>
      <c r="Y917" t="s">
        <v>138</v>
      </c>
      <c r="AA917" t="s">
        <v>494</v>
      </c>
      <c r="AC917" t="s">
        <v>139</v>
      </c>
      <c r="AD917" t="s">
        <v>2672</v>
      </c>
      <c r="AG917" t="s">
        <v>493</v>
      </c>
      <c r="AH917" t="s">
        <v>68</v>
      </c>
      <c r="AI917" t="s">
        <v>493</v>
      </c>
    </row>
    <row r="918" spans="1:35" customFormat="1">
      <c r="A918" t="s">
        <v>23</v>
      </c>
      <c r="B918" t="s">
        <v>24</v>
      </c>
      <c r="C918" t="s">
        <v>929</v>
      </c>
      <c r="D918" t="s">
        <v>135</v>
      </c>
      <c r="E918" t="s">
        <v>1905</v>
      </c>
      <c r="F918" t="s">
        <v>1906</v>
      </c>
      <c r="G918" t="s">
        <v>136</v>
      </c>
      <c r="H918" t="s">
        <v>493</v>
      </c>
      <c r="I918" t="s">
        <v>932</v>
      </c>
      <c r="J918" t="s">
        <v>933</v>
      </c>
      <c r="K918" t="s">
        <v>65</v>
      </c>
      <c r="L918" t="s">
        <v>1450</v>
      </c>
      <c r="M918" t="s">
        <v>137</v>
      </c>
      <c r="N918" t="s">
        <v>2673</v>
      </c>
      <c r="O918">
        <v>1200</v>
      </c>
      <c r="P918" t="s">
        <v>35</v>
      </c>
      <c r="R918">
        <v>1203</v>
      </c>
      <c r="S918">
        <v>1200</v>
      </c>
      <c r="T918" t="s">
        <v>493</v>
      </c>
      <c r="U918" t="s">
        <v>493</v>
      </c>
      <c r="V918" t="s">
        <v>27</v>
      </c>
      <c r="W918" t="s">
        <v>66</v>
      </c>
      <c r="X918" t="s">
        <v>67</v>
      </c>
      <c r="Y918" t="s">
        <v>138</v>
      </c>
      <c r="AA918" t="s">
        <v>494</v>
      </c>
      <c r="AC918" t="s">
        <v>139</v>
      </c>
      <c r="AD918" t="s">
        <v>2674</v>
      </c>
      <c r="AG918" t="s">
        <v>493</v>
      </c>
      <c r="AH918" t="s">
        <v>68</v>
      </c>
      <c r="AI918" t="s">
        <v>493</v>
      </c>
    </row>
    <row r="919" spans="1:35" customFormat="1">
      <c r="A919" t="s">
        <v>23</v>
      </c>
      <c r="B919" t="s">
        <v>24</v>
      </c>
      <c r="C919" t="s">
        <v>929</v>
      </c>
      <c r="D919" t="s">
        <v>135</v>
      </c>
      <c r="E919" t="s">
        <v>1905</v>
      </c>
      <c r="F919" t="s">
        <v>1906</v>
      </c>
      <c r="G919" t="s">
        <v>136</v>
      </c>
      <c r="H919" t="s">
        <v>493</v>
      </c>
      <c r="I919" t="s">
        <v>932</v>
      </c>
      <c r="J919" t="s">
        <v>933</v>
      </c>
      <c r="K919" t="s">
        <v>65</v>
      </c>
      <c r="L919" t="s">
        <v>1450</v>
      </c>
      <c r="M919" t="s">
        <v>137</v>
      </c>
      <c r="N919" t="s">
        <v>2675</v>
      </c>
      <c r="O919">
        <v>1153</v>
      </c>
      <c r="P919" t="s">
        <v>35</v>
      </c>
      <c r="R919">
        <v>1156</v>
      </c>
      <c r="S919">
        <v>1153</v>
      </c>
      <c r="T919" t="s">
        <v>493</v>
      </c>
      <c r="U919" t="s">
        <v>493</v>
      </c>
      <c r="V919" t="s">
        <v>27</v>
      </c>
      <c r="W919" t="s">
        <v>66</v>
      </c>
      <c r="X919" t="s">
        <v>67</v>
      </c>
      <c r="Y919" t="s">
        <v>138</v>
      </c>
      <c r="AA919" t="s">
        <v>494</v>
      </c>
      <c r="AC919" t="s">
        <v>139</v>
      </c>
      <c r="AD919" t="s">
        <v>2676</v>
      </c>
      <c r="AG919" t="s">
        <v>493</v>
      </c>
      <c r="AH919" t="s">
        <v>68</v>
      </c>
      <c r="AI919" t="s">
        <v>493</v>
      </c>
    </row>
    <row r="920" spans="1:35" customFormat="1">
      <c r="A920" t="s">
        <v>23</v>
      </c>
      <c r="B920" t="s">
        <v>24</v>
      </c>
      <c r="C920" t="s">
        <v>929</v>
      </c>
      <c r="D920" t="s">
        <v>135</v>
      </c>
      <c r="E920" t="s">
        <v>1905</v>
      </c>
      <c r="F920" t="s">
        <v>1906</v>
      </c>
      <c r="G920" t="s">
        <v>136</v>
      </c>
      <c r="H920" t="s">
        <v>493</v>
      </c>
      <c r="I920" t="s">
        <v>932</v>
      </c>
      <c r="J920" t="s">
        <v>933</v>
      </c>
      <c r="K920" t="s">
        <v>65</v>
      </c>
      <c r="L920" t="s">
        <v>1450</v>
      </c>
      <c r="M920" t="s">
        <v>137</v>
      </c>
      <c r="N920" t="s">
        <v>2677</v>
      </c>
      <c r="O920">
        <v>1200</v>
      </c>
      <c r="P920" t="s">
        <v>35</v>
      </c>
      <c r="R920">
        <v>1203</v>
      </c>
      <c r="S920">
        <v>1200</v>
      </c>
      <c r="T920" t="s">
        <v>493</v>
      </c>
      <c r="U920" t="s">
        <v>493</v>
      </c>
      <c r="V920" t="s">
        <v>27</v>
      </c>
      <c r="W920" t="s">
        <v>66</v>
      </c>
      <c r="X920" t="s">
        <v>67</v>
      </c>
      <c r="Y920" t="s">
        <v>138</v>
      </c>
      <c r="AA920" t="s">
        <v>494</v>
      </c>
      <c r="AC920" t="s">
        <v>139</v>
      </c>
      <c r="AD920" t="s">
        <v>2678</v>
      </c>
      <c r="AG920" t="s">
        <v>493</v>
      </c>
      <c r="AH920" t="s">
        <v>68</v>
      </c>
      <c r="AI920" t="s">
        <v>493</v>
      </c>
    </row>
    <row r="921" spans="1:35" customFormat="1">
      <c r="A921" t="s">
        <v>23</v>
      </c>
      <c r="B921" t="s">
        <v>24</v>
      </c>
      <c r="C921" t="s">
        <v>929</v>
      </c>
      <c r="D921" t="s">
        <v>135</v>
      </c>
      <c r="E921" t="s">
        <v>1905</v>
      </c>
      <c r="F921" t="s">
        <v>1906</v>
      </c>
      <c r="G921" t="s">
        <v>136</v>
      </c>
      <c r="H921" t="s">
        <v>493</v>
      </c>
      <c r="I921" t="s">
        <v>932</v>
      </c>
      <c r="J921" t="s">
        <v>933</v>
      </c>
      <c r="K921" t="s">
        <v>65</v>
      </c>
      <c r="L921" t="s">
        <v>1450</v>
      </c>
      <c r="M921" t="s">
        <v>137</v>
      </c>
      <c r="N921" t="s">
        <v>2679</v>
      </c>
      <c r="O921">
        <v>1183</v>
      </c>
      <c r="P921" t="s">
        <v>35</v>
      </c>
      <c r="R921">
        <v>1186</v>
      </c>
      <c r="S921">
        <v>1183</v>
      </c>
      <c r="T921" t="s">
        <v>493</v>
      </c>
      <c r="U921" t="s">
        <v>493</v>
      </c>
      <c r="V921" t="s">
        <v>27</v>
      </c>
      <c r="W921" t="s">
        <v>66</v>
      </c>
      <c r="X921" t="s">
        <v>67</v>
      </c>
      <c r="Y921" t="s">
        <v>138</v>
      </c>
      <c r="AA921" t="s">
        <v>494</v>
      </c>
      <c r="AC921" t="s">
        <v>139</v>
      </c>
      <c r="AD921" t="s">
        <v>2680</v>
      </c>
      <c r="AG921" t="s">
        <v>493</v>
      </c>
      <c r="AH921" t="s">
        <v>68</v>
      </c>
      <c r="AI921" t="s">
        <v>493</v>
      </c>
    </row>
    <row r="922" spans="1:35" customFormat="1">
      <c r="A922" t="s">
        <v>23</v>
      </c>
      <c r="B922" t="s">
        <v>24</v>
      </c>
      <c r="C922" t="s">
        <v>929</v>
      </c>
      <c r="D922" t="s">
        <v>135</v>
      </c>
      <c r="E922" t="s">
        <v>1905</v>
      </c>
      <c r="F922" t="s">
        <v>1906</v>
      </c>
      <c r="G922" t="s">
        <v>136</v>
      </c>
      <c r="H922" t="s">
        <v>493</v>
      </c>
      <c r="I922" t="s">
        <v>932</v>
      </c>
      <c r="J922" t="s">
        <v>933</v>
      </c>
      <c r="K922" t="s">
        <v>65</v>
      </c>
      <c r="L922" t="s">
        <v>1450</v>
      </c>
      <c r="M922" t="s">
        <v>137</v>
      </c>
      <c r="N922" t="s">
        <v>2681</v>
      </c>
      <c r="O922">
        <v>1197</v>
      </c>
      <c r="P922" t="s">
        <v>35</v>
      </c>
      <c r="R922">
        <v>1200</v>
      </c>
      <c r="S922">
        <v>1197</v>
      </c>
      <c r="T922" t="s">
        <v>493</v>
      </c>
      <c r="U922" t="s">
        <v>493</v>
      </c>
      <c r="V922" t="s">
        <v>27</v>
      </c>
      <c r="W922" t="s">
        <v>66</v>
      </c>
      <c r="X922" t="s">
        <v>67</v>
      </c>
      <c r="Y922" t="s">
        <v>138</v>
      </c>
      <c r="AA922" t="s">
        <v>494</v>
      </c>
      <c r="AC922" t="s">
        <v>139</v>
      </c>
      <c r="AD922" t="s">
        <v>2682</v>
      </c>
      <c r="AG922" t="s">
        <v>493</v>
      </c>
      <c r="AH922" t="s">
        <v>68</v>
      </c>
      <c r="AI922" t="s">
        <v>493</v>
      </c>
    </row>
    <row r="923" spans="1:35" customFormat="1">
      <c r="A923" t="s">
        <v>23</v>
      </c>
      <c r="B923" t="s">
        <v>24</v>
      </c>
      <c r="C923" t="s">
        <v>929</v>
      </c>
      <c r="D923" t="s">
        <v>135</v>
      </c>
      <c r="E923" t="s">
        <v>1905</v>
      </c>
      <c r="F923" t="s">
        <v>1906</v>
      </c>
      <c r="G923" t="s">
        <v>136</v>
      </c>
      <c r="H923" t="s">
        <v>493</v>
      </c>
      <c r="I923" t="s">
        <v>932</v>
      </c>
      <c r="J923" t="s">
        <v>933</v>
      </c>
      <c r="K923" t="s">
        <v>65</v>
      </c>
      <c r="L923" t="s">
        <v>1450</v>
      </c>
      <c r="M923" t="s">
        <v>137</v>
      </c>
      <c r="N923" t="s">
        <v>2683</v>
      </c>
      <c r="O923">
        <v>1197</v>
      </c>
      <c r="P923" t="s">
        <v>35</v>
      </c>
      <c r="R923">
        <v>1200</v>
      </c>
      <c r="S923">
        <v>1197</v>
      </c>
      <c r="T923" t="s">
        <v>493</v>
      </c>
      <c r="U923" t="s">
        <v>493</v>
      </c>
      <c r="V923" t="s">
        <v>27</v>
      </c>
      <c r="W923" t="s">
        <v>66</v>
      </c>
      <c r="X923" t="s">
        <v>67</v>
      </c>
      <c r="Y923" t="s">
        <v>138</v>
      </c>
      <c r="AA923" t="s">
        <v>494</v>
      </c>
      <c r="AC923" t="s">
        <v>139</v>
      </c>
      <c r="AD923" t="s">
        <v>2684</v>
      </c>
      <c r="AG923" t="s">
        <v>493</v>
      </c>
      <c r="AH923" t="s">
        <v>68</v>
      </c>
      <c r="AI923" t="s">
        <v>493</v>
      </c>
    </row>
    <row r="924" spans="1:35" customFormat="1">
      <c r="A924" t="s">
        <v>23</v>
      </c>
      <c r="B924" t="s">
        <v>24</v>
      </c>
      <c r="C924" t="s">
        <v>929</v>
      </c>
      <c r="D924" t="s">
        <v>135</v>
      </c>
      <c r="E924" t="s">
        <v>1905</v>
      </c>
      <c r="F924" t="s">
        <v>1906</v>
      </c>
      <c r="G924" t="s">
        <v>136</v>
      </c>
      <c r="H924" t="s">
        <v>493</v>
      </c>
      <c r="I924" t="s">
        <v>932</v>
      </c>
      <c r="J924" t="s">
        <v>933</v>
      </c>
      <c r="K924" t="s">
        <v>65</v>
      </c>
      <c r="L924" t="s">
        <v>1450</v>
      </c>
      <c r="M924" t="s">
        <v>137</v>
      </c>
      <c r="N924" t="s">
        <v>2685</v>
      </c>
      <c r="O924">
        <v>1197</v>
      </c>
      <c r="P924" t="s">
        <v>35</v>
      </c>
      <c r="R924">
        <v>1200</v>
      </c>
      <c r="S924">
        <v>1197</v>
      </c>
      <c r="T924" t="s">
        <v>493</v>
      </c>
      <c r="U924" t="s">
        <v>493</v>
      </c>
      <c r="V924" t="s">
        <v>27</v>
      </c>
      <c r="W924" t="s">
        <v>66</v>
      </c>
      <c r="X924" t="s">
        <v>67</v>
      </c>
      <c r="Y924" t="s">
        <v>138</v>
      </c>
      <c r="AA924" t="s">
        <v>494</v>
      </c>
      <c r="AC924" t="s">
        <v>139</v>
      </c>
      <c r="AD924" t="s">
        <v>2686</v>
      </c>
      <c r="AG924" t="s">
        <v>493</v>
      </c>
      <c r="AH924" t="s">
        <v>68</v>
      </c>
      <c r="AI924" t="s">
        <v>493</v>
      </c>
    </row>
    <row r="925" spans="1:35" customFormat="1">
      <c r="A925" t="s">
        <v>23</v>
      </c>
      <c r="B925" t="s">
        <v>24</v>
      </c>
      <c r="C925" t="s">
        <v>929</v>
      </c>
      <c r="D925" t="s">
        <v>135</v>
      </c>
      <c r="E925" t="s">
        <v>1905</v>
      </c>
      <c r="F925" t="s">
        <v>1906</v>
      </c>
      <c r="G925" t="s">
        <v>136</v>
      </c>
      <c r="H925" t="s">
        <v>493</v>
      </c>
      <c r="I925" t="s">
        <v>932</v>
      </c>
      <c r="J925" t="s">
        <v>933</v>
      </c>
      <c r="K925" t="s">
        <v>65</v>
      </c>
      <c r="L925" t="s">
        <v>1450</v>
      </c>
      <c r="M925" t="s">
        <v>137</v>
      </c>
      <c r="N925" t="s">
        <v>2687</v>
      </c>
      <c r="O925">
        <v>1197</v>
      </c>
      <c r="P925" t="s">
        <v>35</v>
      </c>
      <c r="R925">
        <v>1200</v>
      </c>
      <c r="S925">
        <v>1197</v>
      </c>
      <c r="T925" t="s">
        <v>493</v>
      </c>
      <c r="U925" t="s">
        <v>493</v>
      </c>
      <c r="V925" t="s">
        <v>27</v>
      </c>
      <c r="W925" t="s">
        <v>66</v>
      </c>
      <c r="X925" t="s">
        <v>67</v>
      </c>
      <c r="Y925" t="s">
        <v>138</v>
      </c>
      <c r="AA925" t="s">
        <v>494</v>
      </c>
      <c r="AC925" t="s">
        <v>139</v>
      </c>
      <c r="AD925" t="s">
        <v>2688</v>
      </c>
      <c r="AG925" t="s">
        <v>493</v>
      </c>
      <c r="AH925" t="s">
        <v>68</v>
      </c>
      <c r="AI925" t="s">
        <v>493</v>
      </c>
    </row>
    <row r="926" spans="1:35" customFormat="1">
      <c r="A926" t="s">
        <v>23</v>
      </c>
      <c r="B926" t="s">
        <v>24</v>
      </c>
      <c r="C926" t="s">
        <v>929</v>
      </c>
      <c r="D926" t="s">
        <v>135</v>
      </c>
      <c r="E926" t="s">
        <v>1905</v>
      </c>
      <c r="F926" t="s">
        <v>1906</v>
      </c>
      <c r="G926" t="s">
        <v>136</v>
      </c>
      <c r="H926" t="s">
        <v>493</v>
      </c>
      <c r="I926" t="s">
        <v>932</v>
      </c>
      <c r="J926" t="s">
        <v>933</v>
      </c>
      <c r="K926" t="s">
        <v>65</v>
      </c>
      <c r="L926" t="s">
        <v>1450</v>
      </c>
      <c r="M926" t="s">
        <v>137</v>
      </c>
      <c r="N926" t="s">
        <v>2689</v>
      </c>
      <c r="O926">
        <v>1199</v>
      </c>
      <c r="P926" t="s">
        <v>35</v>
      </c>
      <c r="R926">
        <v>1202</v>
      </c>
      <c r="S926">
        <v>1199</v>
      </c>
      <c r="T926" t="s">
        <v>493</v>
      </c>
      <c r="U926" t="s">
        <v>493</v>
      </c>
      <c r="V926" t="s">
        <v>27</v>
      </c>
      <c r="W926" t="s">
        <v>66</v>
      </c>
      <c r="X926" t="s">
        <v>67</v>
      </c>
      <c r="Y926" t="s">
        <v>138</v>
      </c>
      <c r="AA926" t="s">
        <v>494</v>
      </c>
      <c r="AC926" t="s">
        <v>139</v>
      </c>
      <c r="AD926" t="s">
        <v>2690</v>
      </c>
      <c r="AG926" t="s">
        <v>493</v>
      </c>
      <c r="AH926" t="s">
        <v>68</v>
      </c>
      <c r="AI926" t="s">
        <v>493</v>
      </c>
    </row>
    <row r="927" spans="1:35" customFormat="1">
      <c r="A927" t="s">
        <v>23</v>
      </c>
      <c r="B927" t="s">
        <v>24</v>
      </c>
      <c r="C927" t="s">
        <v>929</v>
      </c>
      <c r="D927" t="s">
        <v>135</v>
      </c>
      <c r="E927" t="s">
        <v>1905</v>
      </c>
      <c r="F927" t="s">
        <v>1906</v>
      </c>
      <c r="G927" t="s">
        <v>136</v>
      </c>
      <c r="H927" t="s">
        <v>493</v>
      </c>
      <c r="I927" t="s">
        <v>932</v>
      </c>
      <c r="J927" t="s">
        <v>933</v>
      </c>
      <c r="K927" t="s">
        <v>65</v>
      </c>
      <c r="L927" t="s">
        <v>1450</v>
      </c>
      <c r="M927" t="s">
        <v>137</v>
      </c>
      <c r="N927" t="s">
        <v>2691</v>
      </c>
      <c r="O927">
        <v>1202</v>
      </c>
      <c r="P927" t="s">
        <v>35</v>
      </c>
      <c r="R927">
        <v>1205</v>
      </c>
      <c r="S927">
        <v>1202</v>
      </c>
      <c r="T927" t="s">
        <v>493</v>
      </c>
      <c r="U927" t="s">
        <v>493</v>
      </c>
      <c r="V927" t="s">
        <v>27</v>
      </c>
      <c r="W927" t="s">
        <v>66</v>
      </c>
      <c r="X927" t="s">
        <v>67</v>
      </c>
      <c r="Y927" t="s">
        <v>138</v>
      </c>
      <c r="AA927" t="s">
        <v>494</v>
      </c>
      <c r="AC927" t="s">
        <v>139</v>
      </c>
      <c r="AD927" t="s">
        <v>2692</v>
      </c>
      <c r="AG927" t="s">
        <v>493</v>
      </c>
      <c r="AH927" t="s">
        <v>68</v>
      </c>
      <c r="AI927" t="s">
        <v>493</v>
      </c>
    </row>
    <row r="928" spans="1:35" customFormat="1">
      <c r="A928" t="s">
        <v>23</v>
      </c>
      <c r="B928" t="s">
        <v>24</v>
      </c>
      <c r="C928" t="s">
        <v>929</v>
      </c>
      <c r="D928" t="s">
        <v>135</v>
      </c>
      <c r="E928" t="s">
        <v>1905</v>
      </c>
      <c r="F928" t="s">
        <v>1906</v>
      </c>
      <c r="G928" t="s">
        <v>136</v>
      </c>
      <c r="H928" t="s">
        <v>493</v>
      </c>
      <c r="I928" t="s">
        <v>932</v>
      </c>
      <c r="J928" t="s">
        <v>933</v>
      </c>
      <c r="K928" t="s">
        <v>65</v>
      </c>
      <c r="L928" t="s">
        <v>1450</v>
      </c>
      <c r="M928" t="s">
        <v>137</v>
      </c>
      <c r="N928" t="s">
        <v>2693</v>
      </c>
      <c r="O928">
        <v>1206</v>
      </c>
      <c r="P928" t="s">
        <v>35</v>
      </c>
      <c r="R928">
        <v>1209</v>
      </c>
      <c r="S928">
        <v>1206</v>
      </c>
      <c r="T928" t="s">
        <v>493</v>
      </c>
      <c r="U928" t="s">
        <v>493</v>
      </c>
      <c r="V928" t="s">
        <v>27</v>
      </c>
      <c r="W928" t="s">
        <v>66</v>
      </c>
      <c r="X928" t="s">
        <v>67</v>
      </c>
      <c r="Y928" t="s">
        <v>138</v>
      </c>
      <c r="AA928" t="s">
        <v>494</v>
      </c>
      <c r="AC928" t="s">
        <v>139</v>
      </c>
      <c r="AD928" t="s">
        <v>2694</v>
      </c>
      <c r="AG928" t="s">
        <v>493</v>
      </c>
      <c r="AH928" t="s">
        <v>68</v>
      </c>
      <c r="AI928" t="s">
        <v>493</v>
      </c>
    </row>
    <row r="929" spans="1:37" customFormat="1">
      <c r="A929" t="s">
        <v>23</v>
      </c>
      <c r="B929" t="s">
        <v>24</v>
      </c>
      <c r="C929" t="s">
        <v>929</v>
      </c>
      <c r="D929" t="s">
        <v>135</v>
      </c>
      <c r="E929" t="s">
        <v>1905</v>
      </c>
      <c r="F929" t="s">
        <v>1906</v>
      </c>
      <c r="G929" t="s">
        <v>136</v>
      </c>
      <c r="H929" t="s">
        <v>493</v>
      </c>
      <c r="I929" t="s">
        <v>932</v>
      </c>
      <c r="J929" t="s">
        <v>933</v>
      </c>
      <c r="K929" t="s">
        <v>65</v>
      </c>
      <c r="L929" t="s">
        <v>1450</v>
      </c>
      <c r="M929" t="s">
        <v>137</v>
      </c>
      <c r="N929" t="s">
        <v>2695</v>
      </c>
      <c r="O929">
        <v>1216</v>
      </c>
      <c r="P929" t="s">
        <v>35</v>
      </c>
      <c r="R929">
        <v>1219</v>
      </c>
      <c r="S929">
        <v>1216</v>
      </c>
      <c r="T929" t="s">
        <v>493</v>
      </c>
      <c r="U929" t="s">
        <v>493</v>
      </c>
      <c r="V929" t="s">
        <v>27</v>
      </c>
      <c r="W929" t="s">
        <v>66</v>
      </c>
      <c r="X929" t="s">
        <v>67</v>
      </c>
      <c r="Y929" t="s">
        <v>138</v>
      </c>
      <c r="AA929" t="s">
        <v>494</v>
      </c>
      <c r="AC929" t="s">
        <v>139</v>
      </c>
      <c r="AD929" t="s">
        <v>2696</v>
      </c>
      <c r="AG929" t="s">
        <v>493</v>
      </c>
      <c r="AH929" t="s">
        <v>68</v>
      </c>
      <c r="AI929" t="s">
        <v>493</v>
      </c>
    </row>
    <row r="930" spans="1:37" customFormat="1">
      <c r="A930" t="s">
        <v>23</v>
      </c>
      <c r="B930" t="s">
        <v>24</v>
      </c>
      <c r="C930" t="s">
        <v>929</v>
      </c>
      <c r="D930" t="s">
        <v>135</v>
      </c>
      <c r="E930" t="s">
        <v>1905</v>
      </c>
      <c r="F930" t="s">
        <v>1906</v>
      </c>
      <c r="G930" t="s">
        <v>136</v>
      </c>
      <c r="H930" t="s">
        <v>493</v>
      </c>
      <c r="I930" t="s">
        <v>932</v>
      </c>
      <c r="J930" t="s">
        <v>933</v>
      </c>
      <c r="K930" t="s">
        <v>65</v>
      </c>
      <c r="L930" t="s">
        <v>1450</v>
      </c>
      <c r="M930" t="s">
        <v>137</v>
      </c>
      <c r="N930" t="s">
        <v>2697</v>
      </c>
      <c r="O930">
        <v>1192</v>
      </c>
      <c r="P930" t="s">
        <v>35</v>
      </c>
      <c r="R930">
        <v>1195</v>
      </c>
      <c r="S930">
        <v>1192</v>
      </c>
      <c r="T930" t="s">
        <v>493</v>
      </c>
      <c r="U930" t="s">
        <v>493</v>
      </c>
      <c r="V930" t="s">
        <v>27</v>
      </c>
      <c r="W930" t="s">
        <v>66</v>
      </c>
      <c r="X930" t="s">
        <v>67</v>
      </c>
      <c r="Y930" t="s">
        <v>138</v>
      </c>
      <c r="AA930" t="s">
        <v>494</v>
      </c>
      <c r="AC930" t="s">
        <v>139</v>
      </c>
      <c r="AD930" t="s">
        <v>2698</v>
      </c>
      <c r="AG930" t="s">
        <v>493</v>
      </c>
      <c r="AH930" t="s">
        <v>68</v>
      </c>
      <c r="AI930" t="s">
        <v>493</v>
      </c>
    </row>
    <row r="931" spans="1:37" customFormat="1">
      <c r="A931" t="s">
        <v>23</v>
      </c>
      <c r="B931" t="s">
        <v>24</v>
      </c>
      <c r="C931" t="s">
        <v>934</v>
      </c>
      <c r="D931" t="s">
        <v>135</v>
      </c>
      <c r="E931" t="s">
        <v>2578</v>
      </c>
      <c r="F931" t="s">
        <v>931</v>
      </c>
      <c r="G931" t="s">
        <v>136</v>
      </c>
      <c r="H931" t="s">
        <v>146</v>
      </c>
      <c r="I931" t="s">
        <v>71</v>
      </c>
      <c r="J931" t="s">
        <v>72</v>
      </c>
      <c r="K931" t="s">
        <v>65</v>
      </c>
      <c r="L931" t="s">
        <v>143</v>
      </c>
      <c r="M931" t="s">
        <v>144</v>
      </c>
      <c r="N931" t="s">
        <v>2699</v>
      </c>
      <c r="O931">
        <v>1125</v>
      </c>
      <c r="P931" t="s">
        <v>35</v>
      </c>
      <c r="R931">
        <v>1128</v>
      </c>
      <c r="S931">
        <v>1125</v>
      </c>
      <c r="T931" t="s">
        <v>493</v>
      </c>
      <c r="U931" t="s">
        <v>493</v>
      </c>
      <c r="V931" t="s">
        <v>27</v>
      </c>
      <c r="W931" t="s">
        <v>66</v>
      </c>
      <c r="X931" t="s">
        <v>67</v>
      </c>
      <c r="Y931" t="s">
        <v>138</v>
      </c>
      <c r="AA931" t="s">
        <v>494</v>
      </c>
      <c r="AC931" t="s">
        <v>139</v>
      </c>
      <c r="AD931" t="s">
        <v>2700</v>
      </c>
      <c r="AG931" t="s">
        <v>71</v>
      </c>
      <c r="AH931" t="s">
        <v>68</v>
      </c>
      <c r="AI931" t="s">
        <v>493</v>
      </c>
    </row>
    <row r="932" spans="1:37" customFormat="1">
      <c r="A932" t="s">
        <v>23</v>
      </c>
      <c r="B932" t="s">
        <v>24</v>
      </c>
      <c r="C932" t="s">
        <v>179</v>
      </c>
      <c r="D932" t="s">
        <v>135</v>
      </c>
      <c r="E932" t="s">
        <v>2419</v>
      </c>
      <c r="F932" t="s">
        <v>931</v>
      </c>
      <c r="G932" t="s">
        <v>136</v>
      </c>
      <c r="H932" t="s">
        <v>146</v>
      </c>
      <c r="I932" t="s">
        <v>156</v>
      </c>
      <c r="J932" t="s">
        <v>26</v>
      </c>
      <c r="K932" t="s">
        <v>157</v>
      </c>
      <c r="L932" t="s">
        <v>150</v>
      </c>
      <c r="M932" t="s">
        <v>144</v>
      </c>
      <c r="N932" t="s">
        <v>2701</v>
      </c>
      <c r="O932">
        <v>1</v>
      </c>
      <c r="P932" t="s">
        <v>160</v>
      </c>
      <c r="R932">
        <v>796</v>
      </c>
      <c r="S932">
        <v>794.8</v>
      </c>
      <c r="T932" t="s">
        <v>145</v>
      </c>
      <c r="U932" t="s">
        <v>161</v>
      </c>
      <c r="V932" t="s">
        <v>27</v>
      </c>
      <c r="W932" t="s">
        <v>66</v>
      </c>
      <c r="X932" t="s">
        <v>67</v>
      </c>
      <c r="Y932" t="s">
        <v>138</v>
      </c>
      <c r="AA932" t="s">
        <v>494</v>
      </c>
      <c r="AC932" t="s">
        <v>139</v>
      </c>
      <c r="AD932" t="s">
        <v>2948</v>
      </c>
      <c r="AG932" t="s">
        <v>156</v>
      </c>
      <c r="AH932" t="s">
        <v>68</v>
      </c>
      <c r="AI932" t="s">
        <v>493</v>
      </c>
      <c r="AK932" t="s">
        <v>2702</v>
      </c>
    </row>
    <row r="933" spans="1:37" customFormat="1">
      <c r="A933" t="s">
        <v>23</v>
      </c>
      <c r="B933" t="s">
        <v>24</v>
      </c>
      <c r="C933" t="s">
        <v>934</v>
      </c>
      <c r="D933" t="s">
        <v>135</v>
      </c>
      <c r="E933" t="s">
        <v>2578</v>
      </c>
      <c r="F933" t="s">
        <v>931</v>
      </c>
      <c r="G933" t="s">
        <v>136</v>
      </c>
      <c r="H933" t="s">
        <v>146</v>
      </c>
      <c r="I933" t="s">
        <v>71</v>
      </c>
      <c r="J933" t="s">
        <v>72</v>
      </c>
      <c r="K933" t="s">
        <v>65</v>
      </c>
      <c r="L933" t="s">
        <v>143</v>
      </c>
      <c r="M933" t="s">
        <v>144</v>
      </c>
      <c r="N933" t="s">
        <v>2703</v>
      </c>
      <c r="O933">
        <v>1114</v>
      </c>
      <c r="P933" t="s">
        <v>35</v>
      </c>
      <c r="R933">
        <v>1117</v>
      </c>
      <c r="S933">
        <v>1114</v>
      </c>
      <c r="T933" t="s">
        <v>493</v>
      </c>
      <c r="U933" t="s">
        <v>493</v>
      </c>
      <c r="V933" t="s">
        <v>27</v>
      </c>
      <c r="W933" t="s">
        <v>66</v>
      </c>
      <c r="X933" t="s">
        <v>67</v>
      </c>
      <c r="Y933" t="s">
        <v>138</v>
      </c>
      <c r="AA933" t="s">
        <v>494</v>
      </c>
      <c r="AC933" t="s">
        <v>139</v>
      </c>
      <c r="AD933" t="s">
        <v>2704</v>
      </c>
      <c r="AG933" t="s">
        <v>71</v>
      </c>
      <c r="AH933" t="s">
        <v>68</v>
      </c>
      <c r="AI933" t="s">
        <v>493</v>
      </c>
    </row>
    <row r="934" spans="1:37" customFormat="1">
      <c r="A934" t="s">
        <v>23</v>
      </c>
      <c r="B934" t="s">
        <v>24</v>
      </c>
      <c r="C934" t="s">
        <v>179</v>
      </c>
      <c r="D934" t="s">
        <v>135</v>
      </c>
      <c r="E934" t="s">
        <v>2419</v>
      </c>
      <c r="F934" t="s">
        <v>931</v>
      </c>
      <c r="G934" t="s">
        <v>136</v>
      </c>
      <c r="H934" t="s">
        <v>146</v>
      </c>
      <c r="I934" t="s">
        <v>156</v>
      </c>
      <c r="J934" t="s">
        <v>26</v>
      </c>
      <c r="K934" t="s">
        <v>157</v>
      </c>
      <c r="L934" t="s">
        <v>150</v>
      </c>
      <c r="M934" t="s">
        <v>144</v>
      </c>
      <c r="N934" t="s">
        <v>2705</v>
      </c>
      <c r="O934">
        <v>1</v>
      </c>
      <c r="P934" t="s">
        <v>160</v>
      </c>
      <c r="R934">
        <v>801</v>
      </c>
      <c r="S934">
        <v>794.8</v>
      </c>
      <c r="T934" t="s">
        <v>145</v>
      </c>
      <c r="U934" t="s">
        <v>161</v>
      </c>
      <c r="V934" t="s">
        <v>27</v>
      </c>
      <c r="W934" t="s">
        <v>66</v>
      </c>
      <c r="X934" t="s">
        <v>67</v>
      </c>
      <c r="Y934" t="s">
        <v>138</v>
      </c>
      <c r="AA934" t="s">
        <v>494</v>
      </c>
      <c r="AC934" t="s">
        <v>139</v>
      </c>
      <c r="AD934" t="s">
        <v>2949</v>
      </c>
      <c r="AG934" t="s">
        <v>156</v>
      </c>
      <c r="AH934" t="s">
        <v>68</v>
      </c>
      <c r="AI934" t="s">
        <v>493</v>
      </c>
      <c r="AK934" t="s">
        <v>2706</v>
      </c>
    </row>
    <row r="935" spans="1:37" customFormat="1">
      <c r="A935" t="s">
        <v>23</v>
      </c>
      <c r="B935" t="s">
        <v>24</v>
      </c>
      <c r="C935" t="s">
        <v>934</v>
      </c>
      <c r="D935" t="s">
        <v>135</v>
      </c>
      <c r="E935" t="s">
        <v>2578</v>
      </c>
      <c r="F935" t="s">
        <v>931</v>
      </c>
      <c r="G935" t="s">
        <v>136</v>
      </c>
      <c r="H935" t="s">
        <v>146</v>
      </c>
      <c r="I935" t="s">
        <v>71</v>
      </c>
      <c r="J935" t="s">
        <v>72</v>
      </c>
      <c r="K935" t="s">
        <v>65</v>
      </c>
      <c r="L935" t="s">
        <v>143</v>
      </c>
      <c r="M935" t="s">
        <v>144</v>
      </c>
      <c r="N935" t="s">
        <v>2707</v>
      </c>
      <c r="O935">
        <v>1117</v>
      </c>
      <c r="P935" t="s">
        <v>35</v>
      </c>
      <c r="R935">
        <v>1120</v>
      </c>
      <c r="S935">
        <v>1117</v>
      </c>
      <c r="T935" t="s">
        <v>493</v>
      </c>
      <c r="U935" t="s">
        <v>493</v>
      </c>
      <c r="V935" t="s">
        <v>27</v>
      </c>
      <c r="W935" t="s">
        <v>66</v>
      </c>
      <c r="X935" t="s">
        <v>67</v>
      </c>
      <c r="Y935" t="s">
        <v>138</v>
      </c>
      <c r="AA935" t="s">
        <v>494</v>
      </c>
      <c r="AC935" t="s">
        <v>139</v>
      </c>
      <c r="AD935" t="s">
        <v>2708</v>
      </c>
      <c r="AG935" t="s">
        <v>71</v>
      </c>
      <c r="AH935" t="s">
        <v>68</v>
      </c>
      <c r="AI935" t="s">
        <v>493</v>
      </c>
    </row>
    <row r="936" spans="1:37" customFormat="1">
      <c r="A936" t="s">
        <v>23</v>
      </c>
      <c r="B936" t="s">
        <v>24</v>
      </c>
      <c r="C936" t="s">
        <v>179</v>
      </c>
      <c r="D936" t="s">
        <v>135</v>
      </c>
      <c r="E936" t="s">
        <v>2419</v>
      </c>
      <c r="F936" t="s">
        <v>931</v>
      </c>
      <c r="G936" t="s">
        <v>136</v>
      </c>
      <c r="H936" t="s">
        <v>146</v>
      </c>
      <c r="I936" t="s">
        <v>156</v>
      </c>
      <c r="J936" t="s">
        <v>26</v>
      </c>
      <c r="K936" t="s">
        <v>157</v>
      </c>
      <c r="L936" t="s">
        <v>150</v>
      </c>
      <c r="M936" t="s">
        <v>144</v>
      </c>
      <c r="N936" t="s">
        <v>2709</v>
      </c>
      <c r="O936">
        <v>1</v>
      </c>
      <c r="P936" t="s">
        <v>160</v>
      </c>
      <c r="R936">
        <v>802</v>
      </c>
      <c r="S936">
        <v>794.8</v>
      </c>
      <c r="T936" t="s">
        <v>145</v>
      </c>
      <c r="U936" t="s">
        <v>161</v>
      </c>
      <c r="V936" t="s">
        <v>27</v>
      </c>
      <c r="W936" t="s">
        <v>66</v>
      </c>
      <c r="X936" t="s">
        <v>67</v>
      </c>
      <c r="Y936" t="s">
        <v>138</v>
      </c>
      <c r="AA936" t="s">
        <v>494</v>
      </c>
      <c r="AC936" t="s">
        <v>139</v>
      </c>
      <c r="AD936" t="s">
        <v>2950</v>
      </c>
      <c r="AG936" t="s">
        <v>156</v>
      </c>
      <c r="AH936" t="s">
        <v>68</v>
      </c>
      <c r="AI936" t="s">
        <v>493</v>
      </c>
      <c r="AK936" t="s">
        <v>2710</v>
      </c>
    </row>
    <row r="937" spans="1:37" customFormat="1">
      <c r="A937" t="s">
        <v>23</v>
      </c>
      <c r="B937" t="s">
        <v>24</v>
      </c>
      <c r="C937" t="s">
        <v>934</v>
      </c>
      <c r="D937" t="s">
        <v>135</v>
      </c>
      <c r="E937" t="s">
        <v>2578</v>
      </c>
      <c r="F937" t="s">
        <v>931</v>
      </c>
      <c r="G937" t="s">
        <v>136</v>
      </c>
      <c r="H937" t="s">
        <v>146</v>
      </c>
      <c r="I937" t="s">
        <v>71</v>
      </c>
      <c r="J937" t="s">
        <v>72</v>
      </c>
      <c r="K937" t="s">
        <v>65</v>
      </c>
      <c r="L937" t="s">
        <v>143</v>
      </c>
      <c r="M937" t="s">
        <v>144</v>
      </c>
      <c r="N937" t="s">
        <v>2711</v>
      </c>
      <c r="O937">
        <v>1116</v>
      </c>
      <c r="P937" t="s">
        <v>35</v>
      </c>
      <c r="R937">
        <v>1119</v>
      </c>
      <c r="S937">
        <v>1116</v>
      </c>
      <c r="T937" t="s">
        <v>493</v>
      </c>
      <c r="U937" t="s">
        <v>493</v>
      </c>
      <c r="V937" t="s">
        <v>27</v>
      </c>
      <c r="W937" t="s">
        <v>66</v>
      </c>
      <c r="X937" t="s">
        <v>67</v>
      </c>
      <c r="Y937" t="s">
        <v>138</v>
      </c>
      <c r="AA937" t="s">
        <v>494</v>
      </c>
      <c r="AC937" t="s">
        <v>139</v>
      </c>
      <c r="AD937" t="s">
        <v>2712</v>
      </c>
      <c r="AG937" t="s">
        <v>71</v>
      </c>
      <c r="AH937" t="s">
        <v>68</v>
      </c>
      <c r="AI937" t="s">
        <v>493</v>
      </c>
    </row>
    <row r="938" spans="1:37" customFormat="1">
      <c r="A938" t="s">
        <v>23</v>
      </c>
      <c r="B938" t="s">
        <v>24</v>
      </c>
      <c r="C938" t="s">
        <v>934</v>
      </c>
      <c r="D938" t="s">
        <v>135</v>
      </c>
      <c r="E938" t="s">
        <v>2578</v>
      </c>
      <c r="F938" t="s">
        <v>931</v>
      </c>
      <c r="G938" t="s">
        <v>136</v>
      </c>
      <c r="H938" t="s">
        <v>146</v>
      </c>
      <c r="I938" t="s">
        <v>71</v>
      </c>
      <c r="J938" t="s">
        <v>72</v>
      </c>
      <c r="K938" t="s">
        <v>65</v>
      </c>
      <c r="L938" t="s">
        <v>143</v>
      </c>
      <c r="M938" t="s">
        <v>144</v>
      </c>
      <c r="N938" t="s">
        <v>2713</v>
      </c>
      <c r="O938">
        <v>1121</v>
      </c>
      <c r="P938" t="s">
        <v>35</v>
      </c>
      <c r="R938">
        <v>1124</v>
      </c>
      <c r="S938">
        <v>1121</v>
      </c>
      <c r="T938" t="s">
        <v>493</v>
      </c>
      <c r="U938" t="s">
        <v>493</v>
      </c>
      <c r="V938" t="s">
        <v>27</v>
      </c>
      <c r="W938" t="s">
        <v>66</v>
      </c>
      <c r="X938" t="s">
        <v>67</v>
      </c>
      <c r="Y938" t="s">
        <v>138</v>
      </c>
      <c r="AA938" t="s">
        <v>494</v>
      </c>
      <c r="AC938" t="s">
        <v>139</v>
      </c>
      <c r="AD938" t="s">
        <v>2714</v>
      </c>
      <c r="AG938" t="s">
        <v>71</v>
      </c>
      <c r="AH938" t="s">
        <v>68</v>
      </c>
      <c r="AI938" t="s">
        <v>493</v>
      </c>
    </row>
    <row r="939" spans="1:37" customFormat="1">
      <c r="A939" t="s">
        <v>23</v>
      </c>
      <c r="B939" t="s">
        <v>24</v>
      </c>
      <c r="C939" t="s">
        <v>179</v>
      </c>
      <c r="D939" t="s">
        <v>135</v>
      </c>
      <c r="E939" t="s">
        <v>2419</v>
      </c>
      <c r="F939" t="s">
        <v>931</v>
      </c>
      <c r="G939" t="s">
        <v>136</v>
      </c>
      <c r="H939" t="s">
        <v>146</v>
      </c>
      <c r="I939" t="s">
        <v>156</v>
      </c>
      <c r="J939" t="s">
        <v>26</v>
      </c>
      <c r="K939" t="s">
        <v>157</v>
      </c>
      <c r="L939" t="s">
        <v>150</v>
      </c>
      <c r="M939" t="s">
        <v>144</v>
      </c>
      <c r="N939" t="s">
        <v>2715</v>
      </c>
      <c r="O939">
        <v>1</v>
      </c>
      <c r="P939" t="s">
        <v>160</v>
      </c>
      <c r="R939">
        <v>798</v>
      </c>
      <c r="S939">
        <v>794.8</v>
      </c>
      <c r="T939" t="s">
        <v>145</v>
      </c>
      <c r="U939" t="s">
        <v>161</v>
      </c>
      <c r="V939" t="s">
        <v>27</v>
      </c>
      <c r="W939" t="s">
        <v>66</v>
      </c>
      <c r="X939" t="s">
        <v>67</v>
      </c>
      <c r="Y939" t="s">
        <v>138</v>
      </c>
      <c r="AA939" t="s">
        <v>494</v>
      </c>
      <c r="AC939" t="s">
        <v>139</v>
      </c>
      <c r="AD939" t="s">
        <v>2951</v>
      </c>
      <c r="AG939" t="s">
        <v>156</v>
      </c>
      <c r="AH939" t="s">
        <v>68</v>
      </c>
      <c r="AI939" t="s">
        <v>493</v>
      </c>
      <c r="AK939" t="s">
        <v>2716</v>
      </c>
    </row>
    <row r="940" spans="1:37" customFormat="1">
      <c r="A940" t="s">
        <v>23</v>
      </c>
      <c r="B940" t="s">
        <v>24</v>
      </c>
      <c r="C940" t="s">
        <v>934</v>
      </c>
      <c r="D940" t="s">
        <v>135</v>
      </c>
      <c r="E940" t="s">
        <v>2578</v>
      </c>
      <c r="F940" t="s">
        <v>931</v>
      </c>
      <c r="G940" t="s">
        <v>136</v>
      </c>
      <c r="H940" t="s">
        <v>146</v>
      </c>
      <c r="I940" t="s">
        <v>71</v>
      </c>
      <c r="J940" t="s">
        <v>72</v>
      </c>
      <c r="K940" t="s">
        <v>65</v>
      </c>
      <c r="L940" t="s">
        <v>143</v>
      </c>
      <c r="M940" t="s">
        <v>144</v>
      </c>
      <c r="N940" t="s">
        <v>2717</v>
      </c>
      <c r="O940">
        <v>1120</v>
      </c>
      <c r="P940" t="s">
        <v>35</v>
      </c>
      <c r="R940">
        <v>1123</v>
      </c>
      <c r="S940">
        <v>1120</v>
      </c>
      <c r="T940" t="s">
        <v>493</v>
      </c>
      <c r="U940" t="s">
        <v>493</v>
      </c>
      <c r="V940" t="s">
        <v>27</v>
      </c>
      <c r="W940" t="s">
        <v>66</v>
      </c>
      <c r="X940" t="s">
        <v>67</v>
      </c>
      <c r="Y940" t="s">
        <v>138</v>
      </c>
      <c r="AA940" t="s">
        <v>494</v>
      </c>
      <c r="AC940" t="s">
        <v>139</v>
      </c>
      <c r="AD940" t="s">
        <v>2718</v>
      </c>
      <c r="AG940" t="s">
        <v>71</v>
      </c>
      <c r="AH940" t="s">
        <v>68</v>
      </c>
      <c r="AI940" t="s">
        <v>493</v>
      </c>
    </row>
    <row r="941" spans="1:37" customFormat="1">
      <c r="A941" t="s">
        <v>23</v>
      </c>
      <c r="B941" t="s">
        <v>24</v>
      </c>
      <c r="C941" t="s">
        <v>934</v>
      </c>
      <c r="D941" t="s">
        <v>135</v>
      </c>
      <c r="E941" t="s">
        <v>2578</v>
      </c>
      <c r="F941" t="s">
        <v>931</v>
      </c>
      <c r="G941" t="s">
        <v>136</v>
      </c>
      <c r="H941" t="s">
        <v>146</v>
      </c>
      <c r="I941" t="s">
        <v>71</v>
      </c>
      <c r="J941" t="s">
        <v>72</v>
      </c>
      <c r="K941" t="s">
        <v>65</v>
      </c>
      <c r="L941" t="s">
        <v>143</v>
      </c>
      <c r="M941" t="s">
        <v>144</v>
      </c>
      <c r="N941" t="s">
        <v>2719</v>
      </c>
      <c r="O941">
        <v>1117</v>
      </c>
      <c r="P941" t="s">
        <v>35</v>
      </c>
      <c r="R941">
        <v>1120</v>
      </c>
      <c r="S941">
        <v>1117</v>
      </c>
      <c r="T941" t="s">
        <v>493</v>
      </c>
      <c r="U941" t="s">
        <v>493</v>
      </c>
      <c r="V941" t="s">
        <v>27</v>
      </c>
      <c r="W941" t="s">
        <v>66</v>
      </c>
      <c r="X941" t="s">
        <v>67</v>
      </c>
      <c r="Y941" t="s">
        <v>138</v>
      </c>
      <c r="AA941" t="s">
        <v>494</v>
      </c>
      <c r="AC941" t="s">
        <v>139</v>
      </c>
      <c r="AD941" t="s">
        <v>2720</v>
      </c>
      <c r="AG941" t="s">
        <v>71</v>
      </c>
      <c r="AH941" t="s">
        <v>68</v>
      </c>
      <c r="AI941" t="s">
        <v>493</v>
      </c>
    </row>
    <row r="942" spans="1:37" customFormat="1">
      <c r="A942" t="s">
        <v>23</v>
      </c>
      <c r="B942" t="s">
        <v>24</v>
      </c>
      <c r="C942" t="s">
        <v>179</v>
      </c>
      <c r="D942" t="s">
        <v>135</v>
      </c>
      <c r="E942" t="s">
        <v>2419</v>
      </c>
      <c r="F942" t="s">
        <v>931</v>
      </c>
      <c r="G942" t="s">
        <v>136</v>
      </c>
      <c r="H942" t="s">
        <v>146</v>
      </c>
      <c r="I942" t="s">
        <v>156</v>
      </c>
      <c r="J942" t="s">
        <v>26</v>
      </c>
      <c r="K942" t="s">
        <v>157</v>
      </c>
      <c r="L942" t="s">
        <v>150</v>
      </c>
      <c r="M942" t="s">
        <v>144</v>
      </c>
      <c r="N942" t="s">
        <v>2721</v>
      </c>
      <c r="O942">
        <v>1</v>
      </c>
      <c r="P942" t="s">
        <v>160</v>
      </c>
      <c r="R942">
        <v>798</v>
      </c>
      <c r="S942">
        <v>794.8</v>
      </c>
      <c r="T942" t="s">
        <v>145</v>
      </c>
      <c r="U942" t="s">
        <v>161</v>
      </c>
      <c r="V942" t="s">
        <v>27</v>
      </c>
      <c r="W942" t="s">
        <v>66</v>
      </c>
      <c r="X942" t="s">
        <v>67</v>
      </c>
      <c r="Y942" t="s">
        <v>138</v>
      </c>
      <c r="AA942" t="s">
        <v>494</v>
      </c>
      <c r="AC942" t="s">
        <v>139</v>
      </c>
      <c r="AD942" t="s">
        <v>2952</v>
      </c>
      <c r="AG942" t="s">
        <v>156</v>
      </c>
      <c r="AH942" t="s">
        <v>68</v>
      </c>
      <c r="AI942" t="s">
        <v>493</v>
      </c>
      <c r="AK942" t="s">
        <v>2722</v>
      </c>
    </row>
    <row r="943" spans="1:37" customFormat="1">
      <c r="A943" t="s">
        <v>23</v>
      </c>
      <c r="B943" t="s">
        <v>24</v>
      </c>
      <c r="C943" t="s">
        <v>179</v>
      </c>
      <c r="D943" t="s">
        <v>135</v>
      </c>
      <c r="E943" t="s">
        <v>2419</v>
      </c>
      <c r="F943" t="s">
        <v>931</v>
      </c>
      <c r="G943" t="s">
        <v>136</v>
      </c>
      <c r="H943" t="s">
        <v>146</v>
      </c>
      <c r="I943" t="s">
        <v>156</v>
      </c>
      <c r="J943" t="s">
        <v>26</v>
      </c>
      <c r="K943" t="s">
        <v>157</v>
      </c>
      <c r="L943" t="s">
        <v>150</v>
      </c>
      <c r="M943" t="s">
        <v>144</v>
      </c>
      <c r="N943" t="s">
        <v>2723</v>
      </c>
      <c r="O943">
        <v>1</v>
      </c>
      <c r="P943" t="s">
        <v>160</v>
      </c>
      <c r="R943">
        <v>798</v>
      </c>
      <c r="S943">
        <v>794.8</v>
      </c>
      <c r="T943" t="s">
        <v>145</v>
      </c>
      <c r="U943" t="s">
        <v>161</v>
      </c>
      <c r="V943" t="s">
        <v>27</v>
      </c>
      <c r="W943" t="s">
        <v>66</v>
      </c>
      <c r="X943" t="s">
        <v>67</v>
      </c>
      <c r="Y943" t="s">
        <v>138</v>
      </c>
      <c r="AA943" t="s">
        <v>494</v>
      </c>
      <c r="AC943" t="s">
        <v>139</v>
      </c>
      <c r="AD943" t="s">
        <v>2953</v>
      </c>
      <c r="AG943" t="s">
        <v>156</v>
      </c>
      <c r="AH943" t="s">
        <v>68</v>
      </c>
      <c r="AI943" t="s">
        <v>493</v>
      </c>
      <c r="AK943" t="s">
        <v>2724</v>
      </c>
    </row>
    <row r="944" spans="1:37" customFormat="1">
      <c r="A944" t="s">
        <v>23</v>
      </c>
      <c r="B944" t="s">
        <v>24</v>
      </c>
      <c r="C944" t="s">
        <v>934</v>
      </c>
      <c r="D944" t="s">
        <v>135</v>
      </c>
      <c r="E944" t="s">
        <v>2578</v>
      </c>
      <c r="F944" t="s">
        <v>931</v>
      </c>
      <c r="G944" t="s">
        <v>136</v>
      </c>
      <c r="H944" t="s">
        <v>146</v>
      </c>
      <c r="I944" t="s">
        <v>71</v>
      </c>
      <c r="J944" t="s">
        <v>72</v>
      </c>
      <c r="K944" t="s">
        <v>65</v>
      </c>
      <c r="L944" t="s">
        <v>143</v>
      </c>
      <c r="M944" t="s">
        <v>144</v>
      </c>
      <c r="N944" t="s">
        <v>2725</v>
      </c>
      <c r="O944">
        <v>1117</v>
      </c>
      <c r="P944" t="s">
        <v>35</v>
      </c>
      <c r="R944">
        <v>1120</v>
      </c>
      <c r="S944">
        <v>1117</v>
      </c>
      <c r="T944" t="s">
        <v>493</v>
      </c>
      <c r="U944" t="s">
        <v>493</v>
      </c>
      <c r="V944" t="s">
        <v>27</v>
      </c>
      <c r="W944" t="s">
        <v>66</v>
      </c>
      <c r="X944" t="s">
        <v>67</v>
      </c>
      <c r="Y944" t="s">
        <v>138</v>
      </c>
      <c r="AA944" t="s">
        <v>494</v>
      </c>
      <c r="AC944" t="s">
        <v>139</v>
      </c>
      <c r="AD944" t="s">
        <v>2726</v>
      </c>
      <c r="AG944" t="s">
        <v>71</v>
      </c>
      <c r="AH944" t="s">
        <v>68</v>
      </c>
      <c r="AI944" t="s">
        <v>493</v>
      </c>
    </row>
    <row r="945" spans="1:37" customFormat="1">
      <c r="A945" t="s">
        <v>23</v>
      </c>
      <c r="B945" t="s">
        <v>24</v>
      </c>
      <c r="C945" t="s">
        <v>934</v>
      </c>
      <c r="D945" t="s">
        <v>135</v>
      </c>
      <c r="E945" t="s">
        <v>2578</v>
      </c>
      <c r="F945" t="s">
        <v>931</v>
      </c>
      <c r="G945" t="s">
        <v>136</v>
      </c>
      <c r="H945" t="s">
        <v>146</v>
      </c>
      <c r="I945" t="s">
        <v>71</v>
      </c>
      <c r="J945" t="s">
        <v>72</v>
      </c>
      <c r="K945" t="s">
        <v>65</v>
      </c>
      <c r="L945" t="s">
        <v>143</v>
      </c>
      <c r="M945" t="s">
        <v>144</v>
      </c>
      <c r="N945" t="s">
        <v>2727</v>
      </c>
      <c r="O945">
        <v>1117</v>
      </c>
      <c r="P945" t="s">
        <v>35</v>
      </c>
      <c r="R945">
        <v>1120</v>
      </c>
      <c r="S945">
        <v>1117</v>
      </c>
      <c r="T945" t="s">
        <v>493</v>
      </c>
      <c r="U945" t="s">
        <v>493</v>
      </c>
      <c r="V945" t="s">
        <v>27</v>
      </c>
      <c r="W945" t="s">
        <v>66</v>
      </c>
      <c r="X945" t="s">
        <v>67</v>
      </c>
      <c r="Y945" t="s">
        <v>138</v>
      </c>
      <c r="AA945" t="s">
        <v>494</v>
      </c>
      <c r="AC945" t="s">
        <v>139</v>
      </c>
      <c r="AD945" t="s">
        <v>2728</v>
      </c>
      <c r="AG945" t="s">
        <v>71</v>
      </c>
      <c r="AH945" t="s">
        <v>68</v>
      </c>
      <c r="AI945" t="s">
        <v>493</v>
      </c>
    </row>
    <row r="946" spans="1:37" customFormat="1">
      <c r="A946" t="s">
        <v>23</v>
      </c>
      <c r="B946" t="s">
        <v>24</v>
      </c>
      <c r="C946" t="s">
        <v>179</v>
      </c>
      <c r="D946" t="s">
        <v>135</v>
      </c>
      <c r="E946" t="s">
        <v>2419</v>
      </c>
      <c r="F946" t="s">
        <v>931</v>
      </c>
      <c r="G946" t="s">
        <v>136</v>
      </c>
      <c r="H946" t="s">
        <v>146</v>
      </c>
      <c r="I946" t="s">
        <v>156</v>
      </c>
      <c r="J946" t="s">
        <v>26</v>
      </c>
      <c r="K946" t="s">
        <v>157</v>
      </c>
      <c r="L946" t="s">
        <v>150</v>
      </c>
      <c r="M946" t="s">
        <v>144</v>
      </c>
      <c r="N946" t="s">
        <v>2729</v>
      </c>
      <c r="O946">
        <v>1</v>
      </c>
      <c r="P946" t="s">
        <v>160</v>
      </c>
      <c r="R946">
        <v>796</v>
      </c>
      <c r="S946">
        <v>794.8</v>
      </c>
      <c r="T946" t="s">
        <v>145</v>
      </c>
      <c r="U946" t="s">
        <v>161</v>
      </c>
      <c r="V946" t="s">
        <v>27</v>
      </c>
      <c r="W946" t="s">
        <v>66</v>
      </c>
      <c r="X946" t="s">
        <v>67</v>
      </c>
      <c r="Y946" t="s">
        <v>138</v>
      </c>
      <c r="AA946" t="s">
        <v>494</v>
      </c>
      <c r="AC946" t="s">
        <v>139</v>
      </c>
      <c r="AD946" t="s">
        <v>2954</v>
      </c>
      <c r="AG946" t="s">
        <v>156</v>
      </c>
      <c r="AH946" t="s">
        <v>68</v>
      </c>
      <c r="AI946" t="s">
        <v>493</v>
      </c>
      <c r="AK946" t="s">
        <v>2730</v>
      </c>
    </row>
    <row r="947" spans="1:37" customFormat="1">
      <c r="A947" t="s">
        <v>23</v>
      </c>
      <c r="B947" t="s">
        <v>24</v>
      </c>
      <c r="C947" t="s">
        <v>179</v>
      </c>
      <c r="D947" t="s">
        <v>135</v>
      </c>
      <c r="E947" t="s">
        <v>2419</v>
      </c>
      <c r="F947" t="s">
        <v>931</v>
      </c>
      <c r="G947" t="s">
        <v>136</v>
      </c>
      <c r="H947" t="s">
        <v>146</v>
      </c>
      <c r="I947" t="s">
        <v>156</v>
      </c>
      <c r="J947" t="s">
        <v>26</v>
      </c>
      <c r="K947" t="s">
        <v>157</v>
      </c>
      <c r="L947" t="s">
        <v>150</v>
      </c>
      <c r="M947" t="s">
        <v>144</v>
      </c>
      <c r="N947" t="s">
        <v>2731</v>
      </c>
      <c r="O947">
        <v>1</v>
      </c>
      <c r="P947" t="s">
        <v>160</v>
      </c>
      <c r="R947">
        <v>796</v>
      </c>
      <c r="S947">
        <v>794.8</v>
      </c>
      <c r="T947" t="s">
        <v>145</v>
      </c>
      <c r="U947" t="s">
        <v>161</v>
      </c>
      <c r="V947" t="s">
        <v>27</v>
      </c>
      <c r="W947" t="s">
        <v>66</v>
      </c>
      <c r="X947" t="s">
        <v>67</v>
      </c>
      <c r="Y947" t="s">
        <v>138</v>
      </c>
      <c r="AA947" t="s">
        <v>494</v>
      </c>
      <c r="AC947" t="s">
        <v>139</v>
      </c>
      <c r="AD947" t="s">
        <v>2955</v>
      </c>
      <c r="AG947" t="s">
        <v>156</v>
      </c>
      <c r="AH947" t="s">
        <v>68</v>
      </c>
      <c r="AI947" t="s">
        <v>493</v>
      </c>
      <c r="AK947" t="s">
        <v>2732</v>
      </c>
    </row>
    <row r="948" spans="1:37" customFormat="1">
      <c r="A948" t="s">
        <v>23</v>
      </c>
      <c r="B948" t="s">
        <v>24</v>
      </c>
      <c r="C948" t="s">
        <v>179</v>
      </c>
      <c r="D948" t="s">
        <v>135</v>
      </c>
      <c r="E948" t="s">
        <v>2419</v>
      </c>
      <c r="F948" t="s">
        <v>931</v>
      </c>
      <c r="G948" t="s">
        <v>136</v>
      </c>
      <c r="H948" t="s">
        <v>146</v>
      </c>
      <c r="I948" t="s">
        <v>156</v>
      </c>
      <c r="J948" t="s">
        <v>26</v>
      </c>
      <c r="K948" t="s">
        <v>157</v>
      </c>
      <c r="L948" t="s">
        <v>150</v>
      </c>
      <c r="M948" t="s">
        <v>144</v>
      </c>
      <c r="N948" t="s">
        <v>2733</v>
      </c>
      <c r="O948">
        <v>1</v>
      </c>
      <c r="P948" t="s">
        <v>160</v>
      </c>
      <c r="R948">
        <v>798</v>
      </c>
      <c r="S948">
        <v>794.8</v>
      </c>
      <c r="T948" t="s">
        <v>145</v>
      </c>
      <c r="U948" t="s">
        <v>161</v>
      </c>
      <c r="V948" t="s">
        <v>27</v>
      </c>
      <c r="W948" t="s">
        <v>66</v>
      </c>
      <c r="X948" t="s">
        <v>67</v>
      </c>
      <c r="Y948" t="s">
        <v>138</v>
      </c>
      <c r="AA948" t="s">
        <v>494</v>
      </c>
      <c r="AC948" t="s">
        <v>139</v>
      </c>
      <c r="AD948" t="s">
        <v>2956</v>
      </c>
      <c r="AG948" t="s">
        <v>156</v>
      </c>
      <c r="AH948" t="s">
        <v>68</v>
      </c>
      <c r="AI948" t="s">
        <v>493</v>
      </c>
      <c r="AK948" t="s">
        <v>2734</v>
      </c>
    </row>
    <row r="949" spans="1:37" customFormat="1">
      <c r="A949" t="s">
        <v>23</v>
      </c>
      <c r="B949" t="s">
        <v>24</v>
      </c>
      <c r="C949" t="s">
        <v>934</v>
      </c>
      <c r="D949" t="s">
        <v>135</v>
      </c>
      <c r="E949" t="s">
        <v>2578</v>
      </c>
      <c r="F949" t="s">
        <v>931</v>
      </c>
      <c r="G949" t="s">
        <v>136</v>
      </c>
      <c r="H949" t="s">
        <v>146</v>
      </c>
      <c r="I949" t="s">
        <v>71</v>
      </c>
      <c r="J949" t="s">
        <v>72</v>
      </c>
      <c r="K949" t="s">
        <v>65</v>
      </c>
      <c r="L949" t="s">
        <v>143</v>
      </c>
      <c r="M949" t="s">
        <v>144</v>
      </c>
      <c r="N949" t="s">
        <v>2735</v>
      </c>
      <c r="O949">
        <v>1123</v>
      </c>
      <c r="P949" t="s">
        <v>35</v>
      </c>
      <c r="R949">
        <v>1126</v>
      </c>
      <c r="S949">
        <v>1123</v>
      </c>
      <c r="T949" t="s">
        <v>493</v>
      </c>
      <c r="U949" t="s">
        <v>493</v>
      </c>
      <c r="V949" t="s">
        <v>27</v>
      </c>
      <c r="W949" t="s">
        <v>66</v>
      </c>
      <c r="X949" t="s">
        <v>67</v>
      </c>
      <c r="Y949" t="s">
        <v>138</v>
      </c>
      <c r="AA949" t="s">
        <v>494</v>
      </c>
      <c r="AC949" t="s">
        <v>139</v>
      </c>
      <c r="AD949" t="s">
        <v>2736</v>
      </c>
      <c r="AG949" t="s">
        <v>71</v>
      </c>
      <c r="AH949" t="s">
        <v>68</v>
      </c>
      <c r="AI949" t="s">
        <v>493</v>
      </c>
    </row>
    <row r="950" spans="1:37" customFormat="1">
      <c r="A950" t="s">
        <v>23</v>
      </c>
      <c r="B950" t="s">
        <v>24</v>
      </c>
      <c r="C950" t="s">
        <v>934</v>
      </c>
      <c r="D950" t="s">
        <v>135</v>
      </c>
      <c r="E950" t="s">
        <v>2578</v>
      </c>
      <c r="F950" t="s">
        <v>931</v>
      </c>
      <c r="G950" t="s">
        <v>136</v>
      </c>
      <c r="H950" t="s">
        <v>146</v>
      </c>
      <c r="I950" t="s">
        <v>71</v>
      </c>
      <c r="J950" t="s">
        <v>72</v>
      </c>
      <c r="K950" t="s">
        <v>65</v>
      </c>
      <c r="L950" t="s">
        <v>143</v>
      </c>
      <c r="M950" t="s">
        <v>144</v>
      </c>
      <c r="N950" t="s">
        <v>2737</v>
      </c>
      <c r="O950">
        <v>1121</v>
      </c>
      <c r="P950" t="s">
        <v>35</v>
      </c>
      <c r="R950">
        <v>1124</v>
      </c>
      <c r="S950">
        <v>1121</v>
      </c>
      <c r="T950" t="s">
        <v>493</v>
      </c>
      <c r="U950" t="s">
        <v>493</v>
      </c>
      <c r="V950" t="s">
        <v>27</v>
      </c>
      <c r="W950" t="s">
        <v>66</v>
      </c>
      <c r="X950" t="s">
        <v>67</v>
      </c>
      <c r="Y950" t="s">
        <v>138</v>
      </c>
      <c r="AA950" t="s">
        <v>494</v>
      </c>
      <c r="AC950" t="s">
        <v>139</v>
      </c>
      <c r="AD950" t="s">
        <v>2738</v>
      </c>
      <c r="AG950" t="s">
        <v>71</v>
      </c>
      <c r="AH950" t="s">
        <v>68</v>
      </c>
      <c r="AI950" t="s">
        <v>493</v>
      </c>
    </row>
    <row r="951" spans="1:37" customFormat="1">
      <c r="A951" t="s">
        <v>23</v>
      </c>
      <c r="B951" t="s">
        <v>24</v>
      </c>
      <c r="C951" t="s">
        <v>934</v>
      </c>
      <c r="D951" t="s">
        <v>135</v>
      </c>
      <c r="E951" t="s">
        <v>2578</v>
      </c>
      <c r="F951" t="s">
        <v>931</v>
      </c>
      <c r="G951" t="s">
        <v>136</v>
      </c>
      <c r="H951" t="s">
        <v>146</v>
      </c>
      <c r="I951" t="s">
        <v>71</v>
      </c>
      <c r="J951" t="s">
        <v>72</v>
      </c>
      <c r="K951" t="s">
        <v>65</v>
      </c>
      <c r="L951" t="s">
        <v>143</v>
      </c>
      <c r="M951" t="s">
        <v>144</v>
      </c>
      <c r="N951" t="s">
        <v>2739</v>
      </c>
      <c r="O951">
        <v>1120</v>
      </c>
      <c r="P951" t="s">
        <v>35</v>
      </c>
      <c r="R951">
        <v>1123</v>
      </c>
      <c r="S951">
        <v>1120</v>
      </c>
      <c r="T951" t="s">
        <v>493</v>
      </c>
      <c r="U951" t="s">
        <v>493</v>
      </c>
      <c r="V951" t="s">
        <v>27</v>
      </c>
      <c r="W951" t="s">
        <v>66</v>
      </c>
      <c r="X951" t="s">
        <v>67</v>
      </c>
      <c r="Y951" t="s">
        <v>138</v>
      </c>
      <c r="AA951" t="s">
        <v>494</v>
      </c>
      <c r="AC951" t="s">
        <v>139</v>
      </c>
      <c r="AD951" t="s">
        <v>2740</v>
      </c>
      <c r="AG951" t="s">
        <v>71</v>
      </c>
      <c r="AH951" t="s">
        <v>68</v>
      </c>
      <c r="AI951" t="s">
        <v>493</v>
      </c>
    </row>
    <row r="952" spans="1:37" customFormat="1">
      <c r="A952" t="s">
        <v>23</v>
      </c>
      <c r="B952" t="s">
        <v>24</v>
      </c>
      <c r="C952" t="s">
        <v>179</v>
      </c>
      <c r="D952" t="s">
        <v>135</v>
      </c>
      <c r="E952" t="s">
        <v>2419</v>
      </c>
      <c r="F952" t="s">
        <v>931</v>
      </c>
      <c r="G952" t="s">
        <v>136</v>
      </c>
      <c r="H952" t="s">
        <v>146</v>
      </c>
      <c r="I952" t="s">
        <v>156</v>
      </c>
      <c r="J952" t="s">
        <v>26</v>
      </c>
      <c r="K952" t="s">
        <v>157</v>
      </c>
      <c r="L952" t="s">
        <v>150</v>
      </c>
      <c r="M952" t="s">
        <v>144</v>
      </c>
      <c r="N952" t="s">
        <v>2741</v>
      </c>
      <c r="O952">
        <v>1</v>
      </c>
      <c r="P952" t="s">
        <v>160</v>
      </c>
      <c r="R952">
        <v>797</v>
      </c>
      <c r="S952">
        <v>794.8</v>
      </c>
      <c r="T952" t="s">
        <v>145</v>
      </c>
      <c r="U952" t="s">
        <v>161</v>
      </c>
      <c r="V952" t="s">
        <v>27</v>
      </c>
      <c r="W952" t="s">
        <v>66</v>
      </c>
      <c r="X952" t="s">
        <v>67</v>
      </c>
      <c r="Y952" t="s">
        <v>138</v>
      </c>
      <c r="AA952" t="s">
        <v>494</v>
      </c>
      <c r="AC952" t="s">
        <v>139</v>
      </c>
      <c r="AD952" t="s">
        <v>2957</v>
      </c>
      <c r="AG952" t="s">
        <v>156</v>
      </c>
      <c r="AH952" t="s">
        <v>68</v>
      </c>
      <c r="AI952" t="s">
        <v>493</v>
      </c>
      <c r="AK952" t="s">
        <v>2742</v>
      </c>
    </row>
    <row r="953" spans="1:37" customFormat="1">
      <c r="A953" t="s">
        <v>23</v>
      </c>
      <c r="B953" t="s">
        <v>24</v>
      </c>
      <c r="C953" t="s">
        <v>934</v>
      </c>
      <c r="D953" t="s">
        <v>135</v>
      </c>
      <c r="E953" t="s">
        <v>2578</v>
      </c>
      <c r="F953" t="s">
        <v>931</v>
      </c>
      <c r="G953" t="s">
        <v>136</v>
      </c>
      <c r="H953" t="s">
        <v>146</v>
      </c>
      <c r="I953" t="s">
        <v>71</v>
      </c>
      <c r="J953" t="s">
        <v>72</v>
      </c>
      <c r="K953" t="s">
        <v>65</v>
      </c>
      <c r="L953" t="s">
        <v>143</v>
      </c>
      <c r="M953" t="s">
        <v>144</v>
      </c>
      <c r="N953" t="s">
        <v>2743</v>
      </c>
      <c r="O953">
        <v>1128</v>
      </c>
      <c r="P953" t="s">
        <v>35</v>
      </c>
      <c r="R953">
        <v>1131</v>
      </c>
      <c r="S953">
        <v>1128</v>
      </c>
      <c r="T953" t="s">
        <v>493</v>
      </c>
      <c r="U953" t="s">
        <v>493</v>
      </c>
      <c r="V953" t="s">
        <v>27</v>
      </c>
      <c r="W953" t="s">
        <v>66</v>
      </c>
      <c r="X953" t="s">
        <v>67</v>
      </c>
      <c r="Y953" t="s">
        <v>138</v>
      </c>
      <c r="AA953" t="s">
        <v>494</v>
      </c>
      <c r="AC953" t="s">
        <v>139</v>
      </c>
      <c r="AD953" t="s">
        <v>2744</v>
      </c>
      <c r="AG953" t="s">
        <v>71</v>
      </c>
      <c r="AH953" t="s">
        <v>68</v>
      </c>
      <c r="AI953" t="s">
        <v>493</v>
      </c>
    </row>
    <row r="954" spans="1:37" customFormat="1">
      <c r="A954" t="s">
        <v>23</v>
      </c>
      <c r="B954" t="s">
        <v>24</v>
      </c>
      <c r="C954" t="s">
        <v>179</v>
      </c>
      <c r="D954" t="s">
        <v>135</v>
      </c>
      <c r="E954" t="s">
        <v>2419</v>
      </c>
      <c r="F954" t="s">
        <v>931</v>
      </c>
      <c r="G954" t="s">
        <v>136</v>
      </c>
      <c r="H954" t="s">
        <v>146</v>
      </c>
      <c r="I954" t="s">
        <v>156</v>
      </c>
      <c r="J954" t="s">
        <v>26</v>
      </c>
      <c r="K954" t="s">
        <v>157</v>
      </c>
      <c r="L954" t="s">
        <v>150</v>
      </c>
      <c r="M954" t="s">
        <v>144</v>
      </c>
      <c r="N954" t="s">
        <v>2745</v>
      </c>
      <c r="O954">
        <v>1</v>
      </c>
      <c r="P954" t="s">
        <v>160</v>
      </c>
      <c r="R954">
        <v>796</v>
      </c>
      <c r="S954">
        <v>794.8</v>
      </c>
      <c r="T954" t="s">
        <v>145</v>
      </c>
      <c r="U954" t="s">
        <v>161</v>
      </c>
      <c r="V954" t="s">
        <v>27</v>
      </c>
      <c r="W954" t="s">
        <v>66</v>
      </c>
      <c r="X954" t="s">
        <v>67</v>
      </c>
      <c r="Y954" t="s">
        <v>138</v>
      </c>
      <c r="AA954" t="s">
        <v>494</v>
      </c>
      <c r="AC954" t="s">
        <v>139</v>
      </c>
      <c r="AD954" t="s">
        <v>2958</v>
      </c>
      <c r="AG954" t="s">
        <v>156</v>
      </c>
      <c r="AH954" t="s">
        <v>68</v>
      </c>
      <c r="AI954" t="s">
        <v>493</v>
      </c>
      <c r="AK954" t="s">
        <v>2746</v>
      </c>
    </row>
    <row r="955" spans="1:37" customFormat="1">
      <c r="A955" t="s">
        <v>23</v>
      </c>
      <c r="B955" t="s">
        <v>24</v>
      </c>
      <c r="C955" t="s">
        <v>934</v>
      </c>
      <c r="D955" t="s">
        <v>135</v>
      </c>
      <c r="E955" t="s">
        <v>2578</v>
      </c>
      <c r="F955" t="s">
        <v>931</v>
      </c>
      <c r="G955" t="s">
        <v>136</v>
      </c>
      <c r="H955" t="s">
        <v>146</v>
      </c>
      <c r="I955" t="s">
        <v>71</v>
      </c>
      <c r="J955" t="s">
        <v>72</v>
      </c>
      <c r="K955" t="s">
        <v>65</v>
      </c>
      <c r="L955" t="s">
        <v>143</v>
      </c>
      <c r="M955" t="s">
        <v>144</v>
      </c>
      <c r="N955" t="s">
        <v>2747</v>
      </c>
      <c r="O955">
        <v>1121</v>
      </c>
      <c r="P955" t="s">
        <v>35</v>
      </c>
      <c r="R955">
        <v>1124</v>
      </c>
      <c r="S955">
        <v>1121</v>
      </c>
      <c r="T955" t="s">
        <v>493</v>
      </c>
      <c r="U955" t="s">
        <v>493</v>
      </c>
      <c r="V955" t="s">
        <v>27</v>
      </c>
      <c r="W955" t="s">
        <v>66</v>
      </c>
      <c r="X955" t="s">
        <v>67</v>
      </c>
      <c r="Y955" t="s">
        <v>138</v>
      </c>
      <c r="AA955" t="s">
        <v>494</v>
      </c>
      <c r="AC955" t="s">
        <v>139</v>
      </c>
      <c r="AD955" t="s">
        <v>2748</v>
      </c>
      <c r="AG955" t="s">
        <v>71</v>
      </c>
      <c r="AH955" t="s">
        <v>68</v>
      </c>
      <c r="AI955" t="s">
        <v>493</v>
      </c>
    </row>
    <row r="956" spans="1:37" customFormat="1">
      <c r="A956" t="s">
        <v>23</v>
      </c>
      <c r="B956" t="s">
        <v>24</v>
      </c>
      <c r="C956" t="s">
        <v>179</v>
      </c>
      <c r="D956" t="s">
        <v>135</v>
      </c>
      <c r="E956" t="s">
        <v>2419</v>
      </c>
      <c r="F956" t="s">
        <v>931</v>
      </c>
      <c r="G956" t="s">
        <v>136</v>
      </c>
      <c r="H956" t="s">
        <v>146</v>
      </c>
      <c r="I956" t="s">
        <v>156</v>
      </c>
      <c r="J956" t="s">
        <v>26</v>
      </c>
      <c r="K956" t="s">
        <v>157</v>
      </c>
      <c r="L956" t="s">
        <v>150</v>
      </c>
      <c r="M956" t="s">
        <v>144</v>
      </c>
      <c r="N956" t="s">
        <v>2749</v>
      </c>
      <c r="O956">
        <v>1</v>
      </c>
      <c r="P956" t="s">
        <v>160</v>
      </c>
      <c r="R956">
        <v>801</v>
      </c>
      <c r="S956">
        <v>794.8</v>
      </c>
      <c r="T956" t="s">
        <v>145</v>
      </c>
      <c r="U956" t="s">
        <v>161</v>
      </c>
      <c r="V956" t="s">
        <v>27</v>
      </c>
      <c r="W956" t="s">
        <v>66</v>
      </c>
      <c r="X956" t="s">
        <v>67</v>
      </c>
      <c r="Y956" t="s">
        <v>138</v>
      </c>
      <c r="AA956" t="s">
        <v>494</v>
      </c>
      <c r="AC956" t="s">
        <v>139</v>
      </c>
      <c r="AD956" t="s">
        <v>2959</v>
      </c>
      <c r="AG956" t="s">
        <v>156</v>
      </c>
      <c r="AH956" t="s">
        <v>68</v>
      </c>
      <c r="AI956" t="s">
        <v>493</v>
      </c>
      <c r="AK956" t="s">
        <v>2750</v>
      </c>
    </row>
    <row r="957" spans="1:37" customFormat="1">
      <c r="A957" t="s">
        <v>23</v>
      </c>
      <c r="B957" t="s">
        <v>24</v>
      </c>
      <c r="C957" t="s">
        <v>934</v>
      </c>
      <c r="D957" t="s">
        <v>135</v>
      </c>
      <c r="E957" t="s">
        <v>2578</v>
      </c>
      <c r="F957" t="s">
        <v>931</v>
      </c>
      <c r="G957" t="s">
        <v>136</v>
      </c>
      <c r="H957" t="s">
        <v>146</v>
      </c>
      <c r="I957" t="s">
        <v>71</v>
      </c>
      <c r="J957" t="s">
        <v>72</v>
      </c>
      <c r="K957" t="s">
        <v>65</v>
      </c>
      <c r="L957" t="s">
        <v>143</v>
      </c>
      <c r="M957" t="s">
        <v>144</v>
      </c>
      <c r="N957" t="s">
        <v>2751</v>
      </c>
      <c r="O957">
        <v>1117</v>
      </c>
      <c r="P957" t="s">
        <v>35</v>
      </c>
      <c r="R957">
        <v>1120</v>
      </c>
      <c r="S957">
        <v>1117</v>
      </c>
      <c r="T957" t="s">
        <v>493</v>
      </c>
      <c r="U957" t="s">
        <v>493</v>
      </c>
      <c r="V957" t="s">
        <v>27</v>
      </c>
      <c r="W957" t="s">
        <v>66</v>
      </c>
      <c r="X957" t="s">
        <v>67</v>
      </c>
      <c r="Y957" t="s">
        <v>138</v>
      </c>
      <c r="AA957" t="s">
        <v>494</v>
      </c>
      <c r="AC957" t="s">
        <v>139</v>
      </c>
      <c r="AD957" t="s">
        <v>2752</v>
      </c>
      <c r="AG957" t="s">
        <v>71</v>
      </c>
      <c r="AH957" t="s">
        <v>68</v>
      </c>
      <c r="AI957" t="s">
        <v>493</v>
      </c>
    </row>
    <row r="958" spans="1:37" customFormat="1">
      <c r="A958" t="s">
        <v>23</v>
      </c>
      <c r="B958" t="s">
        <v>24</v>
      </c>
      <c r="C958" t="s">
        <v>179</v>
      </c>
      <c r="D958" t="s">
        <v>135</v>
      </c>
      <c r="E958" t="s">
        <v>2419</v>
      </c>
      <c r="F958" t="s">
        <v>931</v>
      </c>
      <c r="G958" t="s">
        <v>136</v>
      </c>
      <c r="H958" t="s">
        <v>146</v>
      </c>
      <c r="I958" t="s">
        <v>156</v>
      </c>
      <c r="J958" t="s">
        <v>26</v>
      </c>
      <c r="K958" t="s">
        <v>157</v>
      </c>
      <c r="L958" t="s">
        <v>150</v>
      </c>
      <c r="M958" t="s">
        <v>144</v>
      </c>
      <c r="N958" t="s">
        <v>2753</v>
      </c>
      <c r="O958">
        <v>1</v>
      </c>
      <c r="P958" t="s">
        <v>160</v>
      </c>
      <c r="R958">
        <v>795</v>
      </c>
      <c r="S958">
        <v>794.8</v>
      </c>
      <c r="T958" t="s">
        <v>145</v>
      </c>
      <c r="U958" t="s">
        <v>161</v>
      </c>
      <c r="V958" t="s">
        <v>27</v>
      </c>
      <c r="W958" t="s">
        <v>66</v>
      </c>
      <c r="X958" t="s">
        <v>67</v>
      </c>
      <c r="Y958" t="s">
        <v>138</v>
      </c>
      <c r="AA958" t="s">
        <v>494</v>
      </c>
      <c r="AC958" t="s">
        <v>139</v>
      </c>
      <c r="AD958" t="s">
        <v>2960</v>
      </c>
      <c r="AG958" t="s">
        <v>156</v>
      </c>
      <c r="AH958" t="s">
        <v>68</v>
      </c>
      <c r="AI958" t="s">
        <v>493</v>
      </c>
      <c r="AK958" t="s">
        <v>2754</v>
      </c>
    </row>
    <row r="959" spans="1:37" customFormat="1">
      <c r="A959" t="s">
        <v>23</v>
      </c>
      <c r="B959" t="s">
        <v>24</v>
      </c>
      <c r="C959" t="s">
        <v>934</v>
      </c>
      <c r="D959" t="s">
        <v>135</v>
      </c>
      <c r="E959" t="s">
        <v>2578</v>
      </c>
      <c r="F959" t="s">
        <v>931</v>
      </c>
      <c r="G959" t="s">
        <v>136</v>
      </c>
      <c r="H959" t="s">
        <v>146</v>
      </c>
      <c r="I959" t="s">
        <v>71</v>
      </c>
      <c r="J959" t="s">
        <v>72</v>
      </c>
      <c r="K959" t="s">
        <v>65</v>
      </c>
      <c r="L959" t="s">
        <v>143</v>
      </c>
      <c r="M959" t="s">
        <v>144</v>
      </c>
      <c r="N959" t="s">
        <v>2755</v>
      </c>
      <c r="O959">
        <v>1117</v>
      </c>
      <c r="P959" t="s">
        <v>35</v>
      </c>
      <c r="R959">
        <v>1120</v>
      </c>
      <c r="S959">
        <v>1117</v>
      </c>
      <c r="T959" t="s">
        <v>493</v>
      </c>
      <c r="U959" t="s">
        <v>493</v>
      </c>
      <c r="V959" t="s">
        <v>27</v>
      </c>
      <c r="W959" t="s">
        <v>66</v>
      </c>
      <c r="X959" t="s">
        <v>67</v>
      </c>
      <c r="Y959" t="s">
        <v>138</v>
      </c>
      <c r="AA959" t="s">
        <v>494</v>
      </c>
      <c r="AC959" t="s">
        <v>139</v>
      </c>
      <c r="AD959" t="s">
        <v>2756</v>
      </c>
      <c r="AG959" t="s">
        <v>71</v>
      </c>
      <c r="AH959" t="s">
        <v>68</v>
      </c>
      <c r="AI959" t="s">
        <v>493</v>
      </c>
    </row>
    <row r="960" spans="1:37" customFormat="1">
      <c r="A960" t="s">
        <v>23</v>
      </c>
      <c r="B960" t="s">
        <v>24</v>
      </c>
      <c r="C960" t="s">
        <v>179</v>
      </c>
      <c r="D960" t="s">
        <v>135</v>
      </c>
      <c r="E960" t="s">
        <v>2419</v>
      </c>
      <c r="F960" t="s">
        <v>931</v>
      </c>
      <c r="G960" t="s">
        <v>136</v>
      </c>
      <c r="H960" t="s">
        <v>146</v>
      </c>
      <c r="I960" t="s">
        <v>156</v>
      </c>
      <c r="J960" t="s">
        <v>26</v>
      </c>
      <c r="K960" t="s">
        <v>157</v>
      </c>
      <c r="L960" t="s">
        <v>150</v>
      </c>
      <c r="M960" t="s">
        <v>144</v>
      </c>
      <c r="N960" t="s">
        <v>2757</v>
      </c>
      <c r="O960">
        <v>1</v>
      </c>
      <c r="P960" t="s">
        <v>160</v>
      </c>
      <c r="R960">
        <v>795</v>
      </c>
      <c r="S960">
        <v>794.8</v>
      </c>
      <c r="T960" t="s">
        <v>145</v>
      </c>
      <c r="U960" t="s">
        <v>161</v>
      </c>
      <c r="V960" t="s">
        <v>27</v>
      </c>
      <c r="W960" t="s">
        <v>66</v>
      </c>
      <c r="X960" t="s">
        <v>67</v>
      </c>
      <c r="Y960" t="s">
        <v>138</v>
      </c>
      <c r="AA960" t="s">
        <v>494</v>
      </c>
      <c r="AC960" t="s">
        <v>139</v>
      </c>
      <c r="AD960" t="s">
        <v>2961</v>
      </c>
      <c r="AG960" t="s">
        <v>156</v>
      </c>
      <c r="AH960" t="s">
        <v>68</v>
      </c>
      <c r="AI960" t="s">
        <v>493</v>
      </c>
      <c r="AK960" t="s">
        <v>2758</v>
      </c>
    </row>
    <row r="961" spans="1:37" customFormat="1">
      <c r="A961" t="s">
        <v>23</v>
      </c>
      <c r="B961" t="s">
        <v>24</v>
      </c>
      <c r="C961" t="s">
        <v>179</v>
      </c>
      <c r="D961" t="s">
        <v>135</v>
      </c>
      <c r="E961" t="s">
        <v>2419</v>
      </c>
      <c r="F961" t="s">
        <v>931</v>
      </c>
      <c r="G961" t="s">
        <v>136</v>
      </c>
      <c r="H961" t="s">
        <v>146</v>
      </c>
      <c r="I961" t="s">
        <v>156</v>
      </c>
      <c r="J961" t="s">
        <v>26</v>
      </c>
      <c r="K961" t="s">
        <v>157</v>
      </c>
      <c r="L961" t="s">
        <v>150</v>
      </c>
      <c r="M961" t="s">
        <v>144</v>
      </c>
      <c r="N961" t="s">
        <v>2759</v>
      </c>
      <c r="O961">
        <v>1</v>
      </c>
      <c r="P961" t="s">
        <v>160</v>
      </c>
      <c r="R961">
        <v>795</v>
      </c>
      <c r="S961">
        <v>794.8</v>
      </c>
      <c r="T961" t="s">
        <v>145</v>
      </c>
      <c r="U961" t="s">
        <v>161</v>
      </c>
      <c r="V961" t="s">
        <v>27</v>
      </c>
      <c r="W961" t="s">
        <v>66</v>
      </c>
      <c r="X961" t="s">
        <v>67</v>
      </c>
      <c r="Y961" t="s">
        <v>138</v>
      </c>
      <c r="AA961" t="s">
        <v>494</v>
      </c>
      <c r="AC961" t="s">
        <v>139</v>
      </c>
      <c r="AD961" t="s">
        <v>2962</v>
      </c>
      <c r="AG961" t="s">
        <v>156</v>
      </c>
      <c r="AH961" t="s">
        <v>68</v>
      </c>
      <c r="AI961" t="s">
        <v>493</v>
      </c>
      <c r="AK961" t="s">
        <v>2760</v>
      </c>
    </row>
    <row r="962" spans="1:37" customFormat="1">
      <c r="A962" t="s">
        <v>23</v>
      </c>
      <c r="B962" t="s">
        <v>24</v>
      </c>
      <c r="C962" t="s">
        <v>179</v>
      </c>
      <c r="D962" t="s">
        <v>135</v>
      </c>
      <c r="E962" t="s">
        <v>2419</v>
      </c>
      <c r="F962" t="s">
        <v>931</v>
      </c>
      <c r="G962" t="s">
        <v>136</v>
      </c>
      <c r="H962" t="s">
        <v>146</v>
      </c>
      <c r="I962" t="s">
        <v>156</v>
      </c>
      <c r="J962" t="s">
        <v>26</v>
      </c>
      <c r="K962" t="s">
        <v>157</v>
      </c>
      <c r="L962" t="s">
        <v>150</v>
      </c>
      <c r="M962" t="s">
        <v>144</v>
      </c>
      <c r="N962" t="s">
        <v>2761</v>
      </c>
      <c r="O962">
        <v>1</v>
      </c>
      <c r="P962" t="s">
        <v>160</v>
      </c>
      <c r="R962">
        <v>795</v>
      </c>
      <c r="S962">
        <v>794.8</v>
      </c>
      <c r="T962" t="s">
        <v>145</v>
      </c>
      <c r="U962" t="s">
        <v>161</v>
      </c>
      <c r="V962" t="s">
        <v>27</v>
      </c>
      <c r="W962" t="s">
        <v>66</v>
      </c>
      <c r="X962" t="s">
        <v>67</v>
      </c>
      <c r="Y962" t="s">
        <v>138</v>
      </c>
      <c r="AA962" t="s">
        <v>494</v>
      </c>
      <c r="AC962" t="s">
        <v>139</v>
      </c>
      <c r="AD962" t="s">
        <v>2963</v>
      </c>
      <c r="AG962" t="s">
        <v>156</v>
      </c>
      <c r="AH962" t="s">
        <v>68</v>
      </c>
      <c r="AI962" t="s">
        <v>493</v>
      </c>
      <c r="AK962" t="s">
        <v>2762</v>
      </c>
    </row>
    <row r="963" spans="1:37" customFormat="1">
      <c r="A963" t="s">
        <v>23</v>
      </c>
      <c r="B963" t="s">
        <v>24</v>
      </c>
      <c r="C963" t="s">
        <v>934</v>
      </c>
      <c r="D963" t="s">
        <v>135</v>
      </c>
      <c r="E963" t="s">
        <v>2578</v>
      </c>
      <c r="F963" t="s">
        <v>931</v>
      </c>
      <c r="G963" t="s">
        <v>136</v>
      </c>
      <c r="H963" t="s">
        <v>146</v>
      </c>
      <c r="I963" t="s">
        <v>71</v>
      </c>
      <c r="J963" t="s">
        <v>72</v>
      </c>
      <c r="K963" t="s">
        <v>65</v>
      </c>
      <c r="L963" t="s">
        <v>143</v>
      </c>
      <c r="M963" t="s">
        <v>144</v>
      </c>
      <c r="N963" t="s">
        <v>2763</v>
      </c>
      <c r="O963">
        <v>1117</v>
      </c>
      <c r="P963" t="s">
        <v>35</v>
      </c>
      <c r="R963">
        <v>1120</v>
      </c>
      <c r="S963">
        <v>1117</v>
      </c>
      <c r="T963" t="s">
        <v>493</v>
      </c>
      <c r="U963" t="s">
        <v>493</v>
      </c>
      <c r="V963" t="s">
        <v>27</v>
      </c>
      <c r="W963" t="s">
        <v>66</v>
      </c>
      <c r="X963" t="s">
        <v>67</v>
      </c>
      <c r="Y963" t="s">
        <v>138</v>
      </c>
      <c r="AA963" t="s">
        <v>494</v>
      </c>
      <c r="AC963" t="s">
        <v>139</v>
      </c>
      <c r="AD963" t="s">
        <v>2764</v>
      </c>
      <c r="AG963" t="s">
        <v>71</v>
      </c>
      <c r="AH963" t="s">
        <v>68</v>
      </c>
      <c r="AI963" t="s">
        <v>493</v>
      </c>
    </row>
    <row r="964" spans="1:37" customFormat="1">
      <c r="A964" t="s">
        <v>23</v>
      </c>
      <c r="B964" t="s">
        <v>24</v>
      </c>
      <c r="C964" t="s">
        <v>179</v>
      </c>
      <c r="D964" t="s">
        <v>135</v>
      </c>
      <c r="E964" t="s">
        <v>2419</v>
      </c>
      <c r="F964" t="s">
        <v>931</v>
      </c>
      <c r="G964" t="s">
        <v>136</v>
      </c>
      <c r="H964" t="s">
        <v>146</v>
      </c>
      <c r="I964" t="s">
        <v>156</v>
      </c>
      <c r="J964" t="s">
        <v>26</v>
      </c>
      <c r="K964" t="s">
        <v>157</v>
      </c>
      <c r="L964" t="s">
        <v>150</v>
      </c>
      <c r="M964" t="s">
        <v>144</v>
      </c>
      <c r="N964" t="s">
        <v>2765</v>
      </c>
      <c r="O964">
        <v>1</v>
      </c>
      <c r="P964" t="s">
        <v>160</v>
      </c>
      <c r="R964">
        <v>796</v>
      </c>
      <c r="S964">
        <v>794.8</v>
      </c>
      <c r="T964" t="s">
        <v>145</v>
      </c>
      <c r="U964" t="s">
        <v>161</v>
      </c>
      <c r="V964" t="s">
        <v>27</v>
      </c>
      <c r="W964" t="s">
        <v>66</v>
      </c>
      <c r="X964" t="s">
        <v>67</v>
      </c>
      <c r="Y964" t="s">
        <v>138</v>
      </c>
      <c r="AA964" t="s">
        <v>494</v>
      </c>
      <c r="AC964" t="s">
        <v>139</v>
      </c>
      <c r="AD964" t="s">
        <v>2964</v>
      </c>
      <c r="AG964" t="s">
        <v>156</v>
      </c>
      <c r="AH964" t="s">
        <v>68</v>
      </c>
      <c r="AI964" t="s">
        <v>493</v>
      </c>
      <c r="AK964" t="s">
        <v>2766</v>
      </c>
    </row>
    <row r="965" spans="1:37" customFormat="1">
      <c r="A965" t="s">
        <v>23</v>
      </c>
      <c r="B965" t="s">
        <v>24</v>
      </c>
      <c r="C965" t="s">
        <v>934</v>
      </c>
      <c r="D965" t="s">
        <v>135</v>
      </c>
      <c r="E965" t="s">
        <v>2578</v>
      </c>
      <c r="F965" t="s">
        <v>931</v>
      </c>
      <c r="G965" t="s">
        <v>136</v>
      </c>
      <c r="H965" t="s">
        <v>146</v>
      </c>
      <c r="I965" t="s">
        <v>71</v>
      </c>
      <c r="J965" t="s">
        <v>72</v>
      </c>
      <c r="K965" t="s">
        <v>65</v>
      </c>
      <c r="L965" t="s">
        <v>143</v>
      </c>
      <c r="M965" t="s">
        <v>144</v>
      </c>
      <c r="N965" t="s">
        <v>2767</v>
      </c>
      <c r="O965">
        <v>1116</v>
      </c>
      <c r="P965" t="s">
        <v>35</v>
      </c>
      <c r="R965">
        <v>1119</v>
      </c>
      <c r="S965">
        <v>1116</v>
      </c>
      <c r="T965" t="s">
        <v>493</v>
      </c>
      <c r="U965" t="s">
        <v>493</v>
      </c>
      <c r="V965" t="s">
        <v>27</v>
      </c>
      <c r="W965" t="s">
        <v>66</v>
      </c>
      <c r="X965" t="s">
        <v>67</v>
      </c>
      <c r="Y965" t="s">
        <v>138</v>
      </c>
      <c r="AA965" t="s">
        <v>494</v>
      </c>
      <c r="AC965" t="s">
        <v>139</v>
      </c>
      <c r="AD965" t="s">
        <v>2768</v>
      </c>
      <c r="AG965" t="s">
        <v>71</v>
      </c>
      <c r="AH965" t="s">
        <v>68</v>
      </c>
      <c r="AI965" t="s">
        <v>493</v>
      </c>
    </row>
    <row r="966" spans="1:37" customFormat="1">
      <c r="A966" t="s">
        <v>23</v>
      </c>
      <c r="B966" t="s">
        <v>24</v>
      </c>
      <c r="C966" t="s">
        <v>179</v>
      </c>
      <c r="D966" t="s">
        <v>135</v>
      </c>
      <c r="E966" t="s">
        <v>2419</v>
      </c>
      <c r="F966" t="s">
        <v>931</v>
      </c>
      <c r="G966" t="s">
        <v>136</v>
      </c>
      <c r="H966" t="s">
        <v>146</v>
      </c>
      <c r="I966" t="s">
        <v>156</v>
      </c>
      <c r="J966" t="s">
        <v>26</v>
      </c>
      <c r="K966" t="s">
        <v>157</v>
      </c>
      <c r="L966" t="s">
        <v>150</v>
      </c>
      <c r="M966" t="s">
        <v>144</v>
      </c>
      <c r="N966" t="s">
        <v>2769</v>
      </c>
      <c r="O966">
        <v>1</v>
      </c>
      <c r="P966" t="s">
        <v>160</v>
      </c>
      <c r="R966">
        <v>796</v>
      </c>
      <c r="S966">
        <v>794.8</v>
      </c>
      <c r="T966" t="s">
        <v>145</v>
      </c>
      <c r="U966" t="s">
        <v>161</v>
      </c>
      <c r="V966" t="s">
        <v>27</v>
      </c>
      <c r="W966" t="s">
        <v>66</v>
      </c>
      <c r="X966" t="s">
        <v>67</v>
      </c>
      <c r="Y966" t="s">
        <v>138</v>
      </c>
      <c r="AA966" t="s">
        <v>494</v>
      </c>
      <c r="AC966" t="s">
        <v>139</v>
      </c>
      <c r="AD966" t="s">
        <v>2965</v>
      </c>
      <c r="AG966" t="s">
        <v>156</v>
      </c>
      <c r="AH966" t="s">
        <v>68</v>
      </c>
      <c r="AI966" t="s">
        <v>493</v>
      </c>
      <c r="AK966" t="s">
        <v>2770</v>
      </c>
    </row>
    <row r="967" spans="1:37" customFormat="1">
      <c r="A967" t="s">
        <v>23</v>
      </c>
      <c r="B967" t="s">
        <v>24</v>
      </c>
      <c r="C967" t="s">
        <v>934</v>
      </c>
      <c r="D967" t="s">
        <v>135</v>
      </c>
      <c r="E967" t="s">
        <v>2578</v>
      </c>
      <c r="F967" t="s">
        <v>931</v>
      </c>
      <c r="G967" t="s">
        <v>136</v>
      </c>
      <c r="H967" t="s">
        <v>146</v>
      </c>
      <c r="I967" t="s">
        <v>71</v>
      </c>
      <c r="J967" t="s">
        <v>72</v>
      </c>
      <c r="K967" t="s">
        <v>65</v>
      </c>
      <c r="L967" t="s">
        <v>143</v>
      </c>
      <c r="M967" t="s">
        <v>144</v>
      </c>
      <c r="N967" t="s">
        <v>2771</v>
      </c>
      <c r="O967">
        <v>1119</v>
      </c>
      <c r="P967" t="s">
        <v>35</v>
      </c>
      <c r="R967">
        <v>1122</v>
      </c>
      <c r="S967">
        <v>1119</v>
      </c>
      <c r="T967" t="s">
        <v>493</v>
      </c>
      <c r="U967" t="s">
        <v>493</v>
      </c>
      <c r="V967" t="s">
        <v>27</v>
      </c>
      <c r="W967" t="s">
        <v>66</v>
      </c>
      <c r="X967" t="s">
        <v>67</v>
      </c>
      <c r="Y967" t="s">
        <v>138</v>
      </c>
      <c r="AA967" t="s">
        <v>494</v>
      </c>
      <c r="AC967" t="s">
        <v>139</v>
      </c>
      <c r="AD967" t="s">
        <v>2772</v>
      </c>
      <c r="AG967" t="s">
        <v>71</v>
      </c>
      <c r="AH967" t="s">
        <v>68</v>
      </c>
      <c r="AI967" t="s">
        <v>493</v>
      </c>
    </row>
    <row r="968" spans="1:37" customFormat="1">
      <c r="A968" t="s">
        <v>23</v>
      </c>
      <c r="B968" t="s">
        <v>24</v>
      </c>
      <c r="C968" t="s">
        <v>179</v>
      </c>
      <c r="D968" t="s">
        <v>135</v>
      </c>
      <c r="E968" t="s">
        <v>2419</v>
      </c>
      <c r="F968" t="s">
        <v>931</v>
      </c>
      <c r="G968" t="s">
        <v>136</v>
      </c>
      <c r="H968" t="s">
        <v>146</v>
      </c>
      <c r="I968" t="s">
        <v>156</v>
      </c>
      <c r="J968" t="s">
        <v>26</v>
      </c>
      <c r="K968" t="s">
        <v>157</v>
      </c>
      <c r="L968" t="s">
        <v>150</v>
      </c>
      <c r="M968" t="s">
        <v>144</v>
      </c>
      <c r="N968" t="s">
        <v>2773</v>
      </c>
      <c r="O968">
        <v>1</v>
      </c>
      <c r="P968" t="s">
        <v>160</v>
      </c>
      <c r="R968">
        <v>801</v>
      </c>
      <c r="S968">
        <v>794.8</v>
      </c>
      <c r="T968" t="s">
        <v>145</v>
      </c>
      <c r="U968" t="s">
        <v>161</v>
      </c>
      <c r="V968" t="s">
        <v>27</v>
      </c>
      <c r="W968" t="s">
        <v>66</v>
      </c>
      <c r="X968" t="s">
        <v>67</v>
      </c>
      <c r="Y968" t="s">
        <v>138</v>
      </c>
      <c r="AA968" t="s">
        <v>494</v>
      </c>
      <c r="AC968" t="s">
        <v>139</v>
      </c>
      <c r="AD968" t="s">
        <v>2966</v>
      </c>
      <c r="AG968" t="s">
        <v>156</v>
      </c>
      <c r="AH968" t="s">
        <v>68</v>
      </c>
      <c r="AI968" t="s">
        <v>493</v>
      </c>
      <c r="AK968" t="s">
        <v>2774</v>
      </c>
    </row>
    <row r="969" spans="1:37" customFormat="1">
      <c r="A969" t="s">
        <v>23</v>
      </c>
      <c r="B969" t="s">
        <v>24</v>
      </c>
      <c r="C969" t="s">
        <v>934</v>
      </c>
      <c r="D969" t="s">
        <v>135</v>
      </c>
      <c r="E969" t="s">
        <v>2578</v>
      </c>
      <c r="F969" t="s">
        <v>931</v>
      </c>
      <c r="G969" t="s">
        <v>136</v>
      </c>
      <c r="H969" t="s">
        <v>146</v>
      </c>
      <c r="I969" t="s">
        <v>71</v>
      </c>
      <c r="J969" t="s">
        <v>72</v>
      </c>
      <c r="K969" t="s">
        <v>65</v>
      </c>
      <c r="L969" t="s">
        <v>143</v>
      </c>
      <c r="M969" t="s">
        <v>144</v>
      </c>
      <c r="N969" t="s">
        <v>2775</v>
      </c>
      <c r="O969">
        <v>1083</v>
      </c>
      <c r="P969" t="s">
        <v>35</v>
      </c>
      <c r="R969">
        <v>1086</v>
      </c>
      <c r="S969">
        <v>1083</v>
      </c>
      <c r="T969" t="s">
        <v>493</v>
      </c>
      <c r="U969" t="s">
        <v>493</v>
      </c>
      <c r="V969" t="s">
        <v>27</v>
      </c>
      <c r="W969" t="s">
        <v>66</v>
      </c>
      <c r="X969" t="s">
        <v>67</v>
      </c>
      <c r="Y969" t="s">
        <v>138</v>
      </c>
      <c r="AA969" t="s">
        <v>494</v>
      </c>
      <c r="AC969" t="s">
        <v>139</v>
      </c>
      <c r="AD969" t="s">
        <v>2776</v>
      </c>
      <c r="AG969" t="s">
        <v>71</v>
      </c>
      <c r="AH969" t="s">
        <v>68</v>
      </c>
      <c r="AI969" t="s">
        <v>493</v>
      </c>
    </row>
    <row r="970" spans="1:37" customFormat="1">
      <c r="A970" t="s">
        <v>23</v>
      </c>
      <c r="B970" t="s">
        <v>24</v>
      </c>
      <c r="C970" t="s">
        <v>934</v>
      </c>
      <c r="D970" t="s">
        <v>135</v>
      </c>
      <c r="E970" t="s">
        <v>2578</v>
      </c>
      <c r="F970" t="s">
        <v>931</v>
      </c>
      <c r="G970" t="s">
        <v>136</v>
      </c>
      <c r="H970" t="s">
        <v>146</v>
      </c>
      <c r="I970" t="s">
        <v>71</v>
      </c>
      <c r="J970" t="s">
        <v>72</v>
      </c>
      <c r="K970" t="s">
        <v>65</v>
      </c>
      <c r="L970" t="s">
        <v>143</v>
      </c>
      <c r="M970" t="s">
        <v>144</v>
      </c>
      <c r="N970" t="s">
        <v>2777</v>
      </c>
      <c r="O970">
        <v>1042</v>
      </c>
      <c r="P970" t="s">
        <v>35</v>
      </c>
      <c r="R970">
        <v>1045</v>
      </c>
      <c r="S970">
        <v>1042</v>
      </c>
      <c r="T970" t="s">
        <v>493</v>
      </c>
      <c r="U970" t="s">
        <v>493</v>
      </c>
      <c r="V970" t="s">
        <v>27</v>
      </c>
      <c r="W970" t="s">
        <v>66</v>
      </c>
      <c r="X970" t="s">
        <v>67</v>
      </c>
      <c r="Y970" t="s">
        <v>138</v>
      </c>
      <c r="AA970" t="s">
        <v>494</v>
      </c>
      <c r="AC970" t="s">
        <v>139</v>
      </c>
      <c r="AD970" t="s">
        <v>2778</v>
      </c>
      <c r="AG970" t="s">
        <v>71</v>
      </c>
      <c r="AH970" t="s">
        <v>68</v>
      </c>
      <c r="AI970" t="s">
        <v>493</v>
      </c>
    </row>
    <row r="971" spans="1:37" customFormat="1">
      <c r="A971" t="s">
        <v>23</v>
      </c>
      <c r="B971" t="s">
        <v>24</v>
      </c>
      <c r="C971" t="s">
        <v>177</v>
      </c>
      <c r="D971" t="s">
        <v>135</v>
      </c>
      <c r="E971" t="s">
        <v>2421</v>
      </c>
      <c r="F971" t="s">
        <v>931</v>
      </c>
      <c r="G971" t="s">
        <v>136</v>
      </c>
      <c r="H971" t="s">
        <v>146</v>
      </c>
      <c r="I971" t="s">
        <v>156</v>
      </c>
      <c r="J971" t="s">
        <v>25</v>
      </c>
      <c r="K971" t="s">
        <v>157</v>
      </c>
      <c r="L971" t="s">
        <v>150</v>
      </c>
      <c r="M971" t="s">
        <v>144</v>
      </c>
      <c r="N971" t="s">
        <v>2779</v>
      </c>
      <c r="O971">
        <v>16</v>
      </c>
      <c r="P971" t="s">
        <v>159</v>
      </c>
      <c r="R971">
        <v>347</v>
      </c>
      <c r="S971">
        <v>317.92</v>
      </c>
      <c r="T971" t="s">
        <v>145</v>
      </c>
      <c r="U971" t="s">
        <v>185</v>
      </c>
      <c r="V971" t="s">
        <v>27</v>
      </c>
      <c r="W971" t="s">
        <v>66</v>
      </c>
      <c r="X971" t="s">
        <v>67</v>
      </c>
      <c r="Y971" t="s">
        <v>138</v>
      </c>
      <c r="AA971" t="s">
        <v>494</v>
      </c>
      <c r="AC971" t="s">
        <v>139</v>
      </c>
      <c r="AD971" t="s">
        <v>2967</v>
      </c>
      <c r="AG971" t="s">
        <v>156</v>
      </c>
      <c r="AH971" t="s">
        <v>68</v>
      </c>
      <c r="AI971" t="s">
        <v>493</v>
      </c>
    </row>
    <row r="972" spans="1:37" customFormat="1">
      <c r="A972" t="s">
        <v>23</v>
      </c>
      <c r="B972" t="s">
        <v>24</v>
      </c>
      <c r="C972" t="s">
        <v>934</v>
      </c>
      <c r="D972" t="s">
        <v>135</v>
      </c>
      <c r="E972" t="s">
        <v>2780</v>
      </c>
      <c r="F972" t="s">
        <v>931</v>
      </c>
      <c r="G972" t="s">
        <v>136</v>
      </c>
      <c r="H972" t="s">
        <v>146</v>
      </c>
      <c r="I972" t="s">
        <v>71</v>
      </c>
      <c r="J972" t="s">
        <v>72</v>
      </c>
      <c r="K972" t="s">
        <v>65</v>
      </c>
      <c r="L972" t="s">
        <v>150</v>
      </c>
      <c r="M972" t="s">
        <v>144</v>
      </c>
      <c r="N972" t="s">
        <v>2781</v>
      </c>
      <c r="O972">
        <v>1122</v>
      </c>
      <c r="P972" t="s">
        <v>35</v>
      </c>
      <c r="R972">
        <v>1125</v>
      </c>
      <c r="S972">
        <v>1122</v>
      </c>
      <c r="T972" t="s">
        <v>1817</v>
      </c>
      <c r="U972" t="s">
        <v>2050</v>
      </c>
      <c r="V972" t="s">
        <v>27</v>
      </c>
      <c r="W972" t="s">
        <v>66</v>
      </c>
      <c r="X972" t="s">
        <v>67</v>
      </c>
      <c r="Y972" t="s">
        <v>138</v>
      </c>
      <c r="AA972" t="s">
        <v>494</v>
      </c>
      <c r="AC972" t="s">
        <v>139</v>
      </c>
      <c r="AD972" t="s">
        <v>2968</v>
      </c>
      <c r="AG972" t="s">
        <v>71</v>
      </c>
      <c r="AH972" t="s">
        <v>68</v>
      </c>
      <c r="AI972" t="s">
        <v>493</v>
      </c>
    </row>
    <row r="973" spans="1:37" customFormat="1">
      <c r="A973" t="s">
        <v>23</v>
      </c>
      <c r="B973" t="s">
        <v>24</v>
      </c>
      <c r="C973" t="s">
        <v>179</v>
      </c>
      <c r="D973" t="s">
        <v>135</v>
      </c>
      <c r="E973" t="s">
        <v>2782</v>
      </c>
      <c r="F973" t="s">
        <v>931</v>
      </c>
      <c r="G973" t="s">
        <v>136</v>
      </c>
      <c r="H973" t="s">
        <v>146</v>
      </c>
      <c r="I973" t="s">
        <v>156</v>
      </c>
      <c r="J973" t="s">
        <v>26</v>
      </c>
      <c r="K973" t="s">
        <v>157</v>
      </c>
      <c r="L973" t="s">
        <v>162</v>
      </c>
      <c r="M973" t="s">
        <v>144</v>
      </c>
      <c r="N973" t="s">
        <v>2783</v>
      </c>
      <c r="O973">
        <v>1</v>
      </c>
      <c r="P973" t="s">
        <v>160</v>
      </c>
      <c r="R973">
        <v>806</v>
      </c>
      <c r="S973">
        <v>798.4</v>
      </c>
      <c r="T973" t="s">
        <v>145</v>
      </c>
      <c r="U973" t="s">
        <v>3292</v>
      </c>
      <c r="V973" t="s">
        <v>27</v>
      </c>
      <c r="W973" t="s">
        <v>66</v>
      </c>
      <c r="X973" t="s">
        <v>67</v>
      </c>
      <c r="Y973" t="s">
        <v>148</v>
      </c>
      <c r="AA973" t="s">
        <v>494</v>
      </c>
      <c r="AC973" t="s">
        <v>139</v>
      </c>
      <c r="AD973" t="s">
        <v>3293</v>
      </c>
      <c r="AF973" t="s">
        <v>493</v>
      </c>
      <c r="AG973" t="s">
        <v>156</v>
      </c>
      <c r="AH973" t="s">
        <v>68</v>
      </c>
      <c r="AI973" t="s">
        <v>493</v>
      </c>
      <c r="AK973" t="s">
        <v>2784</v>
      </c>
    </row>
    <row r="974" spans="1:37" customFormat="1">
      <c r="A974" t="s">
        <v>23</v>
      </c>
      <c r="B974" t="s">
        <v>24</v>
      </c>
      <c r="C974" t="s">
        <v>934</v>
      </c>
      <c r="D974" t="s">
        <v>135</v>
      </c>
      <c r="E974" t="s">
        <v>2780</v>
      </c>
      <c r="F974" t="s">
        <v>931</v>
      </c>
      <c r="G974" t="s">
        <v>136</v>
      </c>
      <c r="H974" t="s">
        <v>146</v>
      </c>
      <c r="I974" t="s">
        <v>71</v>
      </c>
      <c r="J974" t="s">
        <v>72</v>
      </c>
      <c r="K974" t="s">
        <v>65</v>
      </c>
      <c r="L974" t="s">
        <v>150</v>
      </c>
      <c r="M974" t="s">
        <v>144</v>
      </c>
      <c r="N974" t="s">
        <v>2785</v>
      </c>
      <c r="O974">
        <v>1179</v>
      </c>
      <c r="P974" t="s">
        <v>35</v>
      </c>
      <c r="R974">
        <v>1182</v>
      </c>
      <c r="S974">
        <v>1179</v>
      </c>
      <c r="T974" t="s">
        <v>1817</v>
      </c>
      <c r="U974" t="s">
        <v>2969</v>
      </c>
      <c r="V974" t="s">
        <v>27</v>
      </c>
      <c r="W974" t="s">
        <v>66</v>
      </c>
      <c r="X974" t="s">
        <v>67</v>
      </c>
      <c r="Y974" t="s">
        <v>138</v>
      </c>
      <c r="AA974" t="s">
        <v>494</v>
      </c>
      <c r="AC974" t="s">
        <v>139</v>
      </c>
      <c r="AD974" t="s">
        <v>2970</v>
      </c>
      <c r="AG974" t="s">
        <v>71</v>
      </c>
      <c r="AH974" t="s">
        <v>68</v>
      </c>
      <c r="AI974" t="s">
        <v>493</v>
      </c>
    </row>
    <row r="975" spans="1:37" customFormat="1">
      <c r="A975" t="s">
        <v>23</v>
      </c>
      <c r="B975" t="s">
        <v>24</v>
      </c>
      <c r="C975" t="s">
        <v>934</v>
      </c>
      <c r="D975" t="s">
        <v>135</v>
      </c>
      <c r="E975" t="s">
        <v>2780</v>
      </c>
      <c r="F975" t="s">
        <v>931</v>
      </c>
      <c r="G975" t="s">
        <v>136</v>
      </c>
      <c r="H975" t="s">
        <v>146</v>
      </c>
      <c r="I975" t="s">
        <v>71</v>
      </c>
      <c r="J975" t="s">
        <v>72</v>
      </c>
      <c r="K975" t="s">
        <v>65</v>
      </c>
      <c r="L975" t="s">
        <v>150</v>
      </c>
      <c r="M975" t="s">
        <v>144</v>
      </c>
      <c r="N975" t="s">
        <v>2786</v>
      </c>
      <c r="O975">
        <v>1149</v>
      </c>
      <c r="P975" t="s">
        <v>35</v>
      </c>
      <c r="R975">
        <v>1152</v>
      </c>
      <c r="S975">
        <v>1149</v>
      </c>
      <c r="T975" t="s">
        <v>1817</v>
      </c>
      <c r="U975" t="s">
        <v>2969</v>
      </c>
      <c r="V975" t="s">
        <v>27</v>
      </c>
      <c r="W975" t="s">
        <v>66</v>
      </c>
      <c r="X975" t="s">
        <v>67</v>
      </c>
      <c r="Y975" t="s">
        <v>138</v>
      </c>
      <c r="AA975" t="s">
        <v>494</v>
      </c>
      <c r="AC975" t="s">
        <v>139</v>
      </c>
      <c r="AD975" t="s">
        <v>2971</v>
      </c>
      <c r="AG975" t="s">
        <v>71</v>
      </c>
      <c r="AH975" t="s">
        <v>68</v>
      </c>
      <c r="AI975" t="s">
        <v>493</v>
      </c>
    </row>
    <row r="976" spans="1:37" customFormat="1">
      <c r="A976" t="s">
        <v>23</v>
      </c>
      <c r="B976" t="s">
        <v>24</v>
      </c>
      <c r="C976" t="s">
        <v>179</v>
      </c>
      <c r="D976" t="s">
        <v>135</v>
      </c>
      <c r="E976" t="s">
        <v>2782</v>
      </c>
      <c r="F976" t="s">
        <v>931</v>
      </c>
      <c r="G976" t="s">
        <v>136</v>
      </c>
      <c r="H976" t="s">
        <v>146</v>
      </c>
      <c r="I976" t="s">
        <v>156</v>
      </c>
      <c r="J976" t="s">
        <v>26</v>
      </c>
      <c r="K976" t="s">
        <v>157</v>
      </c>
      <c r="L976" t="s">
        <v>162</v>
      </c>
      <c r="M976" t="s">
        <v>144</v>
      </c>
      <c r="N976" t="s">
        <v>2787</v>
      </c>
      <c r="O976">
        <v>1</v>
      </c>
      <c r="P976" t="s">
        <v>160</v>
      </c>
      <c r="R976">
        <v>802</v>
      </c>
      <c r="S976">
        <v>798.4</v>
      </c>
      <c r="T976" t="s">
        <v>145</v>
      </c>
      <c r="U976" t="s">
        <v>3292</v>
      </c>
      <c r="V976" t="s">
        <v>27</v>
      </c>
      <c r="W976" t="s">
        <v>66</v>
      </c>
      <c r="X976" t="s">
        <v>67</v>
      </c>
      <c r="Y976" t="s">
        <v>148</v>
      </c>
      <c r="AA976" t="s">
        <v>494</v>
      </c>
      <c r="AC976" t="s">
        <v>139</v>
      </c>
      <c r="AD976" t="s">
        <v>3294</v>
      </c>
      <c r="AF976" t="s">
        <v>493</v>
      </c>
      <c r="AG976" t="s">
        <v>156</v>
      </c>
      <c r="AH976" t="s">
        <v>68</v>
      </c>
      <c r="AI976" t="s">
        <v>493</v>
      </c>
      <c r="AK976" t="s">
        <v>2788</v>
      </c>
    </row>
    <row r="977" spans="1:37" customFormat="1">
      <c r="A977" t="s">
        <v>23</v>
      </c>
      <c r="B977" t="s">
        <v>24</v>
      </c>
      <c r="C977" t="s">
        <v>934</v>
      </c>
      <c r="D977" t="s">
        <v>135</v>
      </c>
      <c r="E977" t="s">
        <v>2780</v>
      </c>
      <c r="F977" t="s">
        <v>931</v>
      </c>
      <c r="G977" t="s">
        <v>136</v>
      </c>
      <c r="H977" t="s">
        <v>146</v>
      </c>
      <c r="I977" t="s">
        <v>71</v>
      </c>
      <c r="J977" t="s">
        <v>72</v>
      </c>
      <c r="K977" t="s">
        <v>65</v>
      </c>
      <c r="L977" t="s">
        <v>150</v>
      </c>
      <c r="M977" t="s">
        <v>144</v>
      </c>
      <c r="N977" t="s">
        <v>2789</v>
      </c>
      <c r="O977">
        <v>1153</v>
      </c>
      <c r="P977" t="s">
        <v>35</v>
      </c>
      <c r="R977">
        <v>1156</v>
      </c>
      <c r="S977">
        <v>1153</v>
      </c>
      <c r="T977" t="s">
        <v>1817</v>
      </c>
      <c r="U977" t="s">
        <v>2969</v>
      </c>
      <c r="V977" t="s">
        <v>27</v>
      </c>
      <c r="W977" t="s">
        <v>66</v>
      </c>
      <c r="X977" t="s">
        <v>67</v>
      </c>
      <c r="Y977" t="s">
        <v>138</v>
      </c>
      <c r="AA977" t="s">
        <v>494</v>
      </c>
      <c r="AC977" t="s">
        <v>139</v>
      </c>
      <c r="AD977" t="s">
        <v>2972</v>
      </c>
      <c r="AG977" t="s">
        <v>71</v>
      </c>
      <c r="AH977" t="s">
        <v>68</v>
      </c>
      <c r="AI977" t="s">
        <v>493</v>
      </c>
    </row>
    <row r="978" spans="1:37" customFormat="1">
      <c r="A978" t="s">
        <v>23</v>
      </c>
      <c r="B978" t="s">
        <v>24</v>
      </c>
      <c r="C978" t="s">
        <v>179</v>
      </c>
      <c r="D978" t="s">
        <v>135</v>
      </c>
      <c r="E978" t="s">
        <v>2782</v>
      </c>
      <c r="F978" t="s">
        <v>931</v>
      </c>
      <c r="G978" t="s">
        <v>136</v>
      </c>
      <c r="H978" t="s">
        <v>146</v>
      </c>
      <c r="I978" t="s">
        <v>156</v>
      </c>
      <c r="J978" t="s">
        <v>26</v>
      </c>
      <c r="K978" t="s">
        <v>157</v>
      </c>
      <c r="L978" t="s">
        <v>162</v>
      </c>
      <c r="M978" t="s">
        <v>144</v>
      </c>
      <c r="N978" t="s">
        <v>2790</v>
      </c>
      <c r="O978">
        <v>1</v>
      </c>
      <c r="P978" t="s">
        <v>160</v>
      </c>
      <c r="R978">
        <v>801</v>
      </c>
      <c r="S978">
        <v>798.4</v>
      </c>
      <c r="T978" t="s">
        <v>145</v>
      </c>
      <c r="U978" t="s">
        <v>3292</v>
      </c>
      <c r="V978" t="s">
        <v>27</v>
      </c>
      <c r="W978" t="s">
        <v>66</v>
      </c>
      <c r="X978" t="s">
        <v>67</v>
      </c>
      <c r="Y978" t="s">
        <v>148</v>
      </c>
      <c r="AA978" t="s">
        <v>494</v>
      </c>
      <c r="AC978" t="s">
        <v>139</v>
      </c>
      <c r="AD978" t="s">
        <v>3295</v>
      </c>
      <c r="AF978" t="s">
        <v>493</v>
      </c>
      <c r="AG978" t="s">
        <v>156</v>
      </c>
      <c r="AH978" t="s">
        <v>68</v>
      </c>
      <c r="AI978" t="s">
        <v>493</v>
      </c>
      <c r="AK978" t="s">
        <v>2791</v>
      </c>
    </row>
    <row r="979" spans="1:37" customFormat="1">
      <c r="A979" t="s">
        <v>23</v>
      </c>
      <c r="B979" t="s">
        <v>24</v>
      </c>
      <c r="C979" t="s">
        <v>934</v>
      </c>
      <c r="D979" t="s">
        <v>135</v>
      </c>
      <c r="E979" t="s">
        <v>2780</v>
      </c>
      <c r="F979" t="s">
        <v>931</v>
      </c>
      <c r="G979" t="s">
        <v>136</v>
      </c>
      <c r="H979" t="s">
        <v>146</v>
      </c>
      <c r="I979" t="s">
        <v>71</v>
      </c>
      <c r="J979" t="s">
        <v>72</v>
      </c>
      <c r="K979" t="s">
        <v>65</v>
      </c>
      <c r="L979" t="s">
        <v>150</v>
      </c>
      <c r="M979" t="s">
        <v>144</v>
      </c>
      <c r="N979" t="s">
        <v>2792</v>
      </c>
      <c r="O979">
        <v>1151</v>
      </c>
      <c r="P979" t="s">
        <v>35</v>
      </c>
      <c r="R979">
        <v>1154</v>
      </c>
      <c r="S979">
        <v>1151</v>
      </c>
      <c r="T979" t="s">
        <v>1817</v>
      </c>
      <c r="U979" t="s">
        <v>2969</v>
      </c>
      <c r="V979" t="s">
        <v>27</v>
      </c>
      <c r="W979" t="s">
        <v>66</v>
      </c>
      <c r="X979" t="s">
        <v>67</v>
      </c>
      <c r="Y979" t="s">
        <v>138</v>
      </c>
      <c r="AA979" t="s">
        <v>494</v>
      </c>
      <c r="AC979" t="s">
        <v>139</v>
      </c>
      <c r="AD979" t="s">
        <v>2973</v>
      </c>
      <c r="AG979" t="s">
        <v>71</v>
      </c>
      <c r="AH979" t="s">
        <v>68</v>
      </c>
      <c r="AI979" t="s">
        <v>493</v>
      </c>
    </row>
    <row r="980" spans="1:37" customFormat="1">
      <c r="A980" t="s">
        <v>23</v>
      </c>
      <c r="B980" t="s">
        <v>24</v>
      </c>
      <c r="C980" t="s">
        <v>934</v>
      </c>
      <c r="D980" t="s">
        <v>135</v>
      </c>
      <c r="E980" t="s">
        <v>2780</v>
      </c>
      <c r="F980" t="s">
        <v>931</v>
      </c>
      <c r="G980" t="s">
        <v>136</v>
      </c>
      <c r="H980" t="s">
        <v>146</v>
      </c>
      <c r="I980" t="s">
        <v>71</v>
      </c>
      <c r="J980" t="s">
        <v>72</v>
      </c>
      <c r="K980" t="s">
        <v>65</v>
      </c>
      <c r="L980" t="s">
        <v>150</v>
      </c>
      <c r="M980" t="s">
        <v>144</v>
      </c>
      <c r="N980" t="s">
        <v>2793</v>
      </c>
      <c r="O980">
        <v>1152</v>
      </c>
      <c r="P980" t="s">
        <v>35</v>
      </c>
      <c r="R980">
        <v>1155</v>
      </c>
      <c r="S980">
        <v>1152</v>
      </c>
      <c r="T980" t="s">
        <v>1817</v>
      </c>
      <c r="U980" t="s">
        <v>2050</v>
      </c>
      <c r="V980" t="s">
        <v>27</v>
      </c>
      <c r="W980" t="s">
        <v>66</v>
      </c>
      <c r="X980" t="s">
        <v>67</v>
      </c>
      <c r="Y980" t="s">
        <v>138</v>
      </c>
      <c r="AA980" t="s">
        <v>494</v>
      </c>
      <c r="AC980" t="s">
        <v>139</v>
      </c>
      <c r="AD980" t="s">
        <v>2974</v>
      </c>
      <c r="AG980" t="s">
        <v>71</v>
      </c>
      <c r="AH980" t="s">
        <v>68</v>
      </c>
      <c r="AI980" t="s">
        <v>493</v>
      </c>
    </row>
    <row r="981" spans="1:37" customFormat="1">
      <c r="A981" t="s">
        <v>23</v>
      </c>
      <c r="B981" t="s">
        <v>24</v>
      </c>
      <c r="C981" t="s">
        <v>179</v>
      </c>
      <c r="D981" t="s">
        <v>135</v>
      </c>
      <c r="E981" t="s">
        <v>2782</v>
      </c>
      <c r="F981" t="s">
        <v>931</v>
      </c>
      <c r="G981" t="s">
        <v>136</v>
      </c>
      <c r="H981" t="s">
        <v>146</v>
      </c>
      <c r="I981" t="s">
        <v>156</v>
      </c>
      <c r="J981" t="s">
        <v>26</v>
      </c>
      <c r="K981" t="s">
        <v>157</v>
      </c>
      <c r="L981" t="s">
        <v>162</v>
      </c>
      <c r="M981" t="s">
        <v>144</v>
      </c>
      <c r="N981" t="s">
        <v>2794</v>
      </c>
      <c r="O981">
        <v>1</v>
      </c>
      <c r="P981" t="s">
        <v>160</v>
      </c>
      <c r="R981">
        <v>801</v>
      </c>
      <c r="S981">
        <v>798.4</v>
      </c>
      <c r="T981" t="s">
        <v>145</v>
      </c>
      <c r="U981" t="s">
        <v>3292</v>
      </c>
      <c r="V981" t="s">
        <v>27</v>
      </c>
      <c r="W981" t="s">
        <v>66</v>
      </c>
      <c r="X981" t="s">
        <v>67</v>
      </c>
      <c r="Y981" t="s">
        <v>148</v>
      </c>
      <c r="AA981" t="s">
        <v>494</v>
      </c>
      <c r="AC981" t="s">
        <v>139</v>
      </c>
      <c r="AD981" t="s">
        <v>3296</v>
      </c>
      <c r="AF981" t="s">
        <v>493</v>
      </c>
      <c r="AG981" t="s">
        <v>156</v>
      </c>
      <c r="AH981" t="s">
        <v>68</v>
      </c>
      <c r="AI981" t="s">
        <v>493</v>
      </c>
      <c r="AK981" t="s">
        <v>2795</v>
      </c>
    </row>
    <row r="982" spans="1:37" customFormat="1">
      <c r="A982" t="s">
        <v>23</v>
      </c>
      <c r="B982" t="s">
        <v>24</v>
      </c>
      <c r="C982" t="s">
        <v>934</v>
      </c>
      <c r="D982" t="s">
        <v>135</v>
      </c>
      <c r="E982" t="s">
        <v>2780</v>
      </c>
      <c r="F982" t="s">
        <v>931</v>
      </c>
      <c r="G982" t="s">
        <v>136</v>
      </c>
      <c r="H982" t="s">
        <v>146</v>
      </c>
      <c r="I982" t="s">
        <v>71</v>
      </c>
      <c r="J982" t="s">
        <v>72</v>
      </c>
      <c r="K982" t="s">
        <v>65</v>
      </c>
      <c r="L982" t="s">
        <v>150</v>
      </c>
      <c r="M982" t="s">
        <v>144</v>
      </c>
      <c r="N982" t="s">
        <v>2796</v>
      </c>
      <c r="O982">
        <v>1152</v>
      </c>
      <c r="P982" t="s">
        <v>35</v>
      </c>
      <c r="R982">
        <v>1155</v>
      </c>
      <c r="S982">
        <v>1152</v>
      </c>
      <c r="T982" t="s">
        <v>1817</v>
      </c>
      <c r="U982" t="s">
        <v>2050</v>
      </c>
      <c r="V982" t="s">
        <v>27</v>
      </c>
      <c r="W982" t="s">
        <v>66</v>
      </c>
      <c r="X982" t="s">
        <v>67</v>
      </c>
      <c r="Y982" t="s">
        <v>138</v>
      </c>
      <c r="AA982" t="s">
        <v>494</v>
      </c>
      <c r="AC982" t="s">
        <v>139</v>
      </c>
      <c r="AD982" t="s">
        <v>2975</v>
      </c>
      <c r="AG982" t="s">
        <v>71</v>
      </c>
      <c r="AH982" t="s">
        <v>68</v>
      </c>
      <c r="AI982" t="s">
        <v>493</v>
      </c>
    </row>
    <row r="983" spans="1:37" customFormat="1">
      <c r="A983" t="s">
        <v>23</v>
      </c>
      <c r="B983" t="s">
        <v>24</v>
      </c>
      <c r="C983" t="s">
        <v>179</v>
      </c>
      <c r="D983" t="s">
        <v>135</v>
      </c>
      <c r="E983" t="s">
        <v>2782</v>
      </c>
      <c r="F983" t="s">
        <v>931</v>
      </c>
      <c r="G983" t="s">
        <v>136</v>
      </c>
      <c r="H983" t="s">
        <v>146</v>
      </c>
      <c r="I983" t="s">
        <v>156</v>
      </c>
      <c r="J983" t="s">
        <v>26</v>
      </c>
      <c r="K983" t="s">
        <v>157</v>
      </c>
      <c r="L983" t="s">
        <v>162</v>
      </c>
      <c r="M983" t="s">
        <v>144</v>
      </c>
      <c r="N983" t="s">
        <v>2797</v>
      </c>
      <c r="O983">
        <v>1</v>
      </c>
      <c r="P983" t="s">
        <v>160</v>
      </c>
      <c r="R983">
        <v>802</v>
      </c>
      <c r="S983">
        <v>798.4</v>
      </c>
      <c r="T983" t="s">
        <v>145</v>
      </c>
      <c r="U983" t="s">
        <v>3292</v>
      </c>
      <c r="V983" t="s">
        <v>27</v>
      </c>
      <c r="W983" t="s">
        <v>66</v>
      </c>
      <c r="X983" t="s">
        <v>67</v>
      </c>
      <c r="Y983" t="s">
        <v>148</v>
      </c>
      <c r="AA983" t="s">
        <v>494</v>
      </c>
      <c r="AC983" t="s">
        <v>139</v>
      </c>
      <c r="AD983" t="s">
        <v>3297</v>
      </c>
      <c r="AF983" t="s">
        <v>493</v>
      </c>
      <c r="AG983" t="s">
        <v>156</v>
      </c>
      <c r="AH983" t="s">
        <v>68</v>
      </c>
      <c r="AI983" t="s">
        <v>493</v>
      </c>
      <c r="AK983" t="s">
        <v>2798</v>
      </c>
    </row>
    <row r="984" spans="1:37" customFormat="1">
      <c r="A984" t="s">
        <v>23</v>
      </c>
      <c r="B984" t="s">
        <v>24</v>
      </c>
      <c r="C984" t="s">
        <v>934</v>
      </c>
      <c r="D984" t="s">
        <v>135</v>
      </c>
      <c r="E984" t="s">
        <v>2780</v>
      </c>
      <c r="F984" t="s">
        <v>931</v>
      </c>
      <c r="G984" t="s">
        <v>136</v>
      </c>
      <c r="H984" t="s">
        <v>146</v>
      </c>
      <c r="I984" t="s">
        <v>71</v>
      </c>
      <c r="J984" t="s">
        <v>72</v>
      </c>
      <c r="K984" t="s">
        <v>65</v>
      </c>
      <c r="L984" t="s">
        <v>150</v>
      </c>
      <c r="M984" t="s">
        <v>144</v>
      </c>
      <c r="N984" t="s">
        <v>2799</v>
      </c>
      <c r="O984">
        <v>1128</v>
      </c>
      <c r="P984" t="s">
        <v>35</v>
      </c>
      <c r="R984">
        <v>1131</v>
      </c>
      <c r="S984">
        <v>1128</v>
      </c>
      <c r="T984" t="s">
        <v>1817</v>
      </c>
      <c r="U984" t="s">
        <v>2050</v>
      </c>
      <c r="V984" t="s">
        <v>27</v>
      </c>
      <c r="W984" t="s">
        <v>66</v>
      </c>
      <c r="X984" t="s">
        <v>67</v>
      </c>
      <c r="Y984" t="s">
        <v>138</v>
      </c>
      <c r="AA984" t="s">
        <v>494</v>
      </c>
      <c r="AC984" t="s">
        <v>139</v>
      </c>
      <c r="AD984" t="s">
        <v>2976</v>
      </c>
      <c r="AG984" t="s">
        <v>71</v>
      </c>
      <c r="AH984" t="s">
        <v>68</v>
      </c>
      <c r="AI984" t="s">
        <v>493</v>
      </c>
    </row>
    <row r="985" spans="1:37" customFormat="1">
      <c r="A985" t="s">
        <v>23</v>
      </c>
      <c r="B985" t="s">
        <v>24</v>
      </c>
      <c r="C985" t="s">
        <v>179</v>
      </c>
      <c r="D985" t="s">
        <v>135</v>
      </c>
      <c r="E985" t="s">
        <v>2782</v>
      </c>
      <c r="F985" t="s">
        <v>931</v>
      </c>
      <c r="G985" t="s">
        <v>136</v>
      </c>
      <c r="H985" t="s">
        <v>146</v>
      </c>
      <c r="I985" t="s">
        <v>156</v>
      </c>
      <c r="J985" t="s">
        <v>26</v>
      </c>
      <c r="K985" t="s">
        <v>157</v>
      </c>
      <c r="L985" t="s">
        <v>162</v>
      </c>
      <c r="M985" t="s">
        <v>144</v>
      </c>
      <c r="N985" t="s">
        <v>2800</v>
      </c>
      <c r="O985">
        <v>1</v>
      </c>
      <c r="P985" t="s">
        <v>160</v>
      </c>
      <c r="R985">
        <v>803</v>
      </c>
      <c r="S985">
        <v>798.4</v>
      </c>
      <c r="T985" t="s">
        <v>145</v>
      </c>
      <c r="U985" t="s">
        <v>3292</v>
      </c>
      <c r="V985" t="s">
        <v>27</v>
      </c>
      <c r="W985" t="s">
        <v>66</v>
      </c>
      <c r="X985" t="s">
        <v>67</v>
      </c>
      <c r="Y985" t="s">
        <v>148</v>
      </c>
      <c r="AA985" t="s">
        <v>494</v>
      </c>
      <c r="AC985" t="s">
        <v>139</v>
      </c>
      <c r="AD985" t="s">
        <v>3298</v>
      </c>
      <c r="AF985" t="s">
        <v>493</v>
      </c>
      <c r="AG985" t="s">
        <v>156</v>
      </c>
      <c r="AH985" t="s">
        <v>68</v>
      </c>
      <c r="AI985" t="s">
        <v>493</v>
      </c>
      <c r="AK985" t="s">
        <v>2801</v>
      </c>
    </row>
    <row r="986" spans="1:37" customFormat="1">
      <c r="A986" t="s">
        <v>23</v>
      </c>
      <c r="B986" t="s">
        <v>24</v>
      </c>
      <c r="C986" t="s">
        <v>934</v>
      </c>
      <c r="D986" t="s">
        <v>135</v>
      </c>
      <c r="E986" t="s">
        <v>2780</v>
      </c>
      <c r="F986" t="s">
        <v>931</v>
      </c>
      <c r="G986" t="s">
        <v>136</v>
      </c>
      <c r="H986" t="s">
        <v>146</v>
      </c>
      <c r="I986" t="s">
        <v>71</v>
      </c>
      <c r="J986" t="s">
        <v>72</v>
      </c>
      <c r="K986" t="s">
        <v>65</v>
      </c>
      <c r="L986" t="s">
        <v>150</v>
      </c>
      <c r="M986" t="s">
        <v>144</v>
      </c>
      <c r="N986" t="s">
        <v>2802</v>
      </c>
      <c r="O986">
        <v>1159</v>
      </c>
      <c r="P986" t="s">
        <v>35</v>
      </c>
      <c r="R986">
        <v>1162</v>
      </c>
      <c r="S986">
        <v>1159</v>
      </c>
      <c r="T986" t="s">
        <v>1817</v>
      </c>
      <c r="U986" t="s">
        <v>2050</v>
      </c>
      <c r="V986" t="s">
        <v>27</v>
      </c>
      <c r="W986" t="s">
        <v>66</v>
      </c>
      <c r="X986" t="s">
        <v>67</v>
      </c>
      <c r="Y986" t="s">
        <v>138</v>
      </c>
      <c r="AA986" t="s">
        <v>494</v>
      </c>
      <c r="AC986" t="s">
        <v>139</v>
      </c>
      <c r="AD986" t="s">
        <v>2977</v>
      </c>
      <c r="AG986" t="s">
        <v>71</v>
      </c>
      <c r="AH986" t="s">
        <v>68</v>
      </c>
      <c r="AI986" t="s">
        <v>493</v>
      </c>
    </row>
    <row r="987" spans="1:37" customFormat="1">
      <c r="A987" t="s">
        <v>23</v>
      </c>
      <c r="B987" t="s">
        <v>24</v>
      </c>
      <c r="C987" t="s">
        <v>934</v>
      </c>
      <c r="D987" t="s">
        <v>135</v>
      </c>
      <c r="E987" t="s">
        <v>2780</v>
      </c>
      <c r="F987" t="s">
        <v>931</v>
      </c>
      <c r="G987" t="s">
        <v>136</v>
      </c>
      <c r="H987" t="s">
        <v>146</v>
      </c>
      <c r="I987" t="s">
        <v>71</v>
      </c>
      <c r="J987" t="s">
        <v>72</v>
      </c>
      <c r="K987" t="s">
        <v>65</v>
      </c>
      <c r="L987" t="s">
        <v>150</v>
      </c>
      <c r="M987" t="s">
        <v>144</v>
      </c>
      <c r="N987" t="s">
        <v>2803</v>
      </c>
      <c r="O987">
        <v>1139</v>
      </c>
      <c r="P987" t="s">
        <v>35</v>
      </c>
      <c r="R987">
        <v>1142</v>
      </c>
      <c r="S987">
        <v>1139</v>
      </c>
      <c r="T987" t="s">
        <v>1817</v>
      </c>
      <c r="U987" t="s">
        <v>2050</v>
      </c>
      <c r="V987" t="s">
        <v>27</v>
      </c>
      <c r="W987" t="s">
        <v>66</v>
      </c>
      <c r="X987" t="s">
        <v>67</v>
      </c>
      <c r="Y987" t="s">
        <v>138</v>
      </c>
      <c r="AA987" t="s">
        <v>494</v>
      </c>
      <c r="AC987" t="s">
        <v>139</v>
      </c>
      <c r="AD987" t="s">
        <v>2978</v>
      </c>
      <c r="AG987" t="s">
        <v>71</v>
      </c>
      <c r="AH987" t="s">
        <v>68</v>
      </c>
      <c r="AI987" t="s">
        <v>493</v>
      </c>
    </row>
    <row r="988" spans="1:37" customFormat="1">
      <c r="A988" t="s">
        <v>23</v>
      </c>
      <c r="B988" t="s">
        <v>24</v>
      </c>
      <c r="C988" t="s">
        <v>179</v>
      </c>
      <c r="D988" t="s">
        <v>135</v>
      </c>
      <c r="E988" t="s">
        <v>2782</v>
      </c>
      <c r="F988" t="s">
        <v>931</v>
      </c>
      <c r="G988" t="s">
        <v>136</v>
      </c>
      <c r="H988" t="s">
        <v>146</v>
      </c>
      <c r="I988" t="s">
        <v>156</v>
      </c>
      <c r="J988" t="s">
        <v>26</v>
      </c>
      <c r="K988" t="s">
        <v>157</v>
      </c>
      <c r="L988" t="s">
        <v>162</v>
      </c>
      <c r="M988" t="s">
        <v>144</v>
      </c>
      <c r="N988" t="s">
        <v>2804</v>
      </c>
      <c r="O988">
        <v>1</v>
      </c>
      <c r="P988" t="s">
        <v>160</v>
      </c>
      <c r="R988">
        <v>798.5</v>
      </c>
      <c r="S988">
        <v>798.4</v>
      </c>
      <c r="T988" t="s">
        <v>145</v>
      </c>
      <c r="U988" t="s">
        <v>3292</v>
      </c>
      <c r="V988" t="s">
        <v>27</v>
      </c>
      <c r="W988" t="s">
        <v>66</v>
      </c>
      <c r="X988" t="s">
        <v>67</v>
      </c>
      <c r="Y988" t="s">
        <v>148</v>
      </c>
      <c r="AA988" t="s">
        <v>494</v>
      </c>
      <c r="AC988" t="s">
        <v>139</v>
      </c>
      <c r="AD988" t="s">
        <v>3299</v>
      </c>
      <c r="AF988" t="s">
        <v>493</v>
      </c>
      <c r="AG988" t="s">
        <v>156</v>
      </c>
      <c r="AH988" t="s">
        <v>68</v>
      </c>
      <c r="AI988" t="s">
        <v>493</v>
      </c>
      <c r="AK988" t="s">
        <v>2805</v>
      </c>
    </row>
    <row r="989" spans="1:37" customFormat="1">
      <c r="A989" t="s">
        <v>23</v>
      </c>
      <c r="B989" t="s">
        <v>24</v>
      </c>
      <c r="C989" t="s">
        <v>179</v>
      </c>
      <c r="D989" t="s">
        <v>135</v>
      </c>
      <c r="E989" t="s">
        <v>2782</v>
      </c>
      <c r="F989" t="s">
        <v>931</v>
      </c>
      <c r="G989" t="s">
        <v>136</v>
      </c>
      <c r="H989" t="s">
        <v>146</v>
      </c>
      <c r="I989" t="s">
        <v>156</v>
      </c>
      <c r="J989" t="s">
        <v>26</v>
      </c>
      <c r="K989" t="s">
        <v>157</v>
      </c>
      <c r="L989" t="s">
        <v>162</v>
      </c>
      <c r="M989" t="s">
        <v>144</v>
      </c>
      <c r="N989" t="s">
        <v>2806</v>
      </c>
      <c r="O989">
        <v>1</v>
      </c>
      <c r="P989" t="s">
        <v>160</v>
      </c>
      <c r="R989">
        <v>803</v>
      </c>
      <c r="S989">
        <v>798.4</v>
      </c>
      <c r="T989" t="s">
        <v>145</v>
      </c>
      <c r="U989" t="s">
        <v>3292</v>
      </c>
      <c r="V989" t="s">
        <v>27</v>
      </c>
      <c r="W989" t="s">
        <v>66</v>
      </c>
      <c r="X989" t="s">
        <v>67</v>
      </c>
      <c r="Y989" t="s">
        <v>148</v>
      </c>
      <c r="AA989" t="s">
        <v>494</v>
      </c>
      <c r="AC989" t="s">
        <v>139</v>
      </c>
      <c r="AD989" t="s">
        <v>3300</v>
      </c>
      <c r="AF989" t="s">
        <v>493</v>
      </c>
      <c r="AG989" t="s">
        <v>156</v>
      </c>
      <c r="AH989" t="s">
        <v>68</v>
      </c>
      <c r="AI989" t="s">
        <v>493</v>
      </c>
      <c r="AK989" t="s">
        <v>2807</v>
      </c>
    </row>
    <row r="990" spans="1:37" customFormat="1">
      <c r="A990" t="s">
        <v>23</v>
      </c>
      <c r="B990" t="s">
        <v>24</v>
      </c>
      <c r="C990" t="s">
        <v>179</v>
      </c>
      <c r="D990" t="s">
        <v>135</v>
      </c>
      <c r="E990" t="s">
        <v>2782</v>
      </c>
      <c r="F990" t="s">
        <v>931</v>
      </c>
      <c r="G990" t="s">
        <v>136</v>
      </c>
      <c r="H990" t="s">
        <v>146</v>
      </c>
      <c r="I990" t="s">
        <v>156</v>
      </c>
      <c r="J990" t="s">
        <v>26</v>
      </c>
      <c r="K990" t="s">
        <v>157</v>
      </c>
      <c r="L990" t="s">
        <v>162</v>
      </c>
      <c r="M990" t="s">
        <v>144</v>
      </c>
      <c r="N990" t="s">
        <v>2808</v>
      </c>
      <c r="O990">
        <v>1</v>
      </c>
      <c r="P990" t="s">
        <v>160</v>
      </c>
      <c r="R990">
        <v>804</v>
      </c>
      <c r="S990">
        <v>798.4</v>
      </c>
      <c r="T990" t="s">
        <v>145</v>
      </c>
      <c r="U990" t="s">
        <v>3292</v>
      </c>
      <c r="V990" t="s">
        <v>27</v>
      </c>
      <c r="W990" t="s">
        <v>66</v>
      </c>
      <c r="X990" t="s">
        <v>67</v>
      </c>
      <c r="Y990" t="s">
        <v>148</v>
      </c>
      <c r="AA990" t="s">
        <v>494</v>
      </c>
      <c r="AC990" t="s">
        <v>139</v>
      </c>
      <c r="AD990" t="s">
        <v>3301</v>
      </c>
      <c r="AF990" t="s">
        <v>493</v>
      </c>
      <c r="AG990" t="s">
        <v>156</v>
      </c>
      <c r="AH990" t="s">
        <v>68</v>
      </c>
      <c r="AI990" t="s">
        <v>493</v>
      </c>
      <c r="AK990" t="s">
        <v>2809</v>
      </c>
    </row>
    <row r="991" spans="1:37" customFormat="1">
      <c r="A991" t="s">
        <v>23</v>
      </c>
      <c r="B991" t="s">
        <v>24</v>
      </c>
      <c r="C991" t="s">
        <v>179</v>
      </c>
      <c r="D991" t="s">
        <v>135</v>
      </c>
      <c r="E991" t="s">
        <v>2782</v>
      </c>
      <c r="F991" t="s">
        <v>931</v>
      </c>
      <c r="G991" t="s">
        <v>136</v>
      </c>
      <c r="H991" t="s">
        <v>146</v>
      </c>
      <c r="I991" t="s">
        <v>156</v>
      </c>
      <c r="J991" t="s">
        <v>26</v>
      </c>
      <c r="K991" t="s">
        <v>157</v>
      </c>
      <c r="L991" t="s">
        <v>162</v>
      </c>
      <c r="M991" t="s">
        <v>144</v>
      </c>
      <c r="N991" t="s">
        <v>2810</v>
      </c>
      <c r="O991">
        <v>1</v>
      </c>
      <c r="P991" t="s">
        <v>160</v>
      </c>
      <c r="R991">
        <v>801</v>
      </c>
      <c r="S991">
        <v>798.4</v>
      </c>
      <c r="T991" t="s">
        <v>145</v>
      </c>
      <c r="U991" t="s">
        <v>3292</v>
      </c>
      <c r="V991" t="s">
        <v>27</v>
      </c>
      <c r="W991" t="s">
        <v>66</v>
      </c>
      <c r="X991" t="s">
        <v>67</v>
      </c>
      <c r="Y991" t="s">
        <v>148</v>
      </c>
      <c r="AA991" t="s">
        <v>494</v>
      </c>
      <c r="AC991" t="s">
        <v>139</v>
      </c>
      <c r="AD991" t="s">
        <v>3302</v>
      </c>
      <c r="AF991" t="s">
        <v>493</v>
      </c>
      <c r="AG991" t="s">
        <v>156</v>
      </c>
      <c r="AH991" t="s">
        <v>68</v>
      </c>
      <c r="AI991" t="s">
        <v>493</v>
      </c>
      <c r="AK991" t="s">
        <v>2811</v>
      </c>
    </row>
    <row r="992" spans="1:37" customFormat="1">
      <c r="A992" t="s">
        <v>23</v>
      </c>
      <c r="B992" t="s">
        <v>24</v>
      </c>
      <c r="C992" t="s">
        <v>934</v>
      </c>
      <c r="D992" t="s">
        <v>135</v>
      </c>
      <c r="E992" t="s">
        <v>2780</v>
      </c>
      <c r="F992" t="s">
        <v>931</v>
      </c>
      <c r="G992" t="s">
        <v>136</v>
      </c>
      <c r="H992" t="s">
        <v>146</v>
      </c>
      <c r="I992" t="s">
        <v>71</v>
      </c>
      <c r="J992" t="s">
        <v>72</v>
      </c>
      <c r="K992" t="s">
        <v>65</v>
      </c>
      <c r="L992" t="s">
        <v>150</v>
      </c>
      <c r="M992" t="s">
        <v>144</v>
      </c>
      <c r="N992" t="s">
        <v>2812</v>
      </c>
      <c r="O992">
        <v>1154</v>
      </c>
      <c r="P992" t="s">
        <v>35</v>
      </c>
      <c r="R992">
        <v>1157</v>
      </c>
      <c r="S992">
        <v>1154</v>
      </c>
      <c r="T992" t="s">
        <v>1817</v>
      </c>
      <c r="U992" t="s">
        <v>2050</v>
      </c>
      <c r="V992" t="s">
        <v>27</v>
      </c>
      <c r="W992" t="s">
        <v>66</v>
      </c>
      <c r="X992" t="s">
        <v>67</v>
      </c>
      <c r="Y992" t="s">
        <v>138</v>
      </c>
      <c r="AA992" t="s">
        <v>494</v>
      </c>
      <c r="AC992" t="s">
        <v>139</v>
      </c>
      <c r="AD992" t="s">
        <v>2979</v>
      </c>
      <c r="AG992" t="s">
        <v>71</v>
      </c>
      <c r="AH992" t="s">
        <v>68</v>
      </c>
      <c r="AI992" t="s">
        <v>493</v>
      </c>
    </row>
    <row r="993" spans="1:37" customFormat="1">
      <c r="A993" t="s">
        <v>23</v>
      </c>
      <c r="B993" t="s">
        <v>24</v>
      </c>
      <c r="C993" t="s">
        <v>179</v>
      </c>
      <c r="D993" t="s">
        <v>135</v>
      </c>
      <c r="E993" t="s">
        <v>2782</v>
      </c>
      <c r="F993" t="s">
        <v>931</v>
      </c>
      <c r="G993" t="s">
        <v>136</v>
      </c>
      <c r="H993" t="s">
        <v>146</v>
      </c>
      <c r="I993" t="s">
        <v>156</v>
      </c>
      <c r="J993" t="s">
        <v>26</v>
      </c>
      <c r="K993" t="s">
        <v>157</v>
      </c>
      <c r="L993" t="s">
        <v>162</v>
      </c>
      <c r="M993" t="s">
        <v>144</v>
      </c>
      <c r="N993" t="s">
        <v>2813</v>
      </c>
      <c r="O993">
        <v>1</v>
      </c>
      <c r="P993" t="s">
        <v>160</v>
      </c>
      <c r="R993">
        <v>800</v>
      </c>
      <c r="S993">
        <v>798.4</v>
      </c>
      <c r="T993" t="s">
        <v>145</v>
      </c>
      <c r="U993" t="s">
        <v>3292</v>
      </c>
      <c r="V993" t="s">
        <v>27</v>
      </c>
      <c r="W993" t="s">
        <v>66</v>
      </c>
      <c r="X993" t="s">
        <v>67</v>
      </c>
      <c r="Y993" t="s">
        <v>148</v>
      </c>
      <c r="AA993" t="s">
        <v>494</v>
      </c>
      <c r="AC993" t="s">
        <v>139</v>
      </c>
      <c r="AD993" t="s">
        <v>3303</v>
      </c>
      <c r="AF993" t="s">
        <v>493</v>
      </c>
      <c r="AG993" t="s">
        <v>156</v>
      </c>
      <c r="AH993" t="s">
        <v>68</v>
      </c>
      <c r="AI993" t="s">
        <v>493</v>
      </c>
      <c r="AK993" t="s">
        <v>2814</v>
      </c>
    </row>
    <row r="994" spans="1:37" customFormat="1">
      <c r="A994" t="s">
        <v>23</v>
      </c>
      <c r="B994" t="s">
        <v>24</v>
      </c>
      <c r="C994" t="s">
        <v>179</v>
      </c>
      <c r="D994" t="s">
        <v>135</v>
      </c>
      <c r="E994" t="s">
        <v>2782</v>
      </c>
      <c r="F994" t="s">
        <v>931</v>
      </c>
      <c r="G994" t="s">
        <v>136</v>
      </c>
      <c r="H994" t="s">
        <v>146</v>
      </c>
      <c r="I994" t="s">
        <v>156</v>
      </c>
      <c r="J994" t="s">
        <v>26</v>
      </c>
      <c r="K994" t="s">
        <v>157</v>
      </c>
      <c r="L994" t="s">
        <v>162</v>
      </c>
      <c r="M994" t="s">
        <v>144</v>
      </c>
      <c r="N994" t="s">
        <v>2815</v>
      </c>
      <c r="O994">
        <v>1</v>
      </c>
      <c r="P994" t="s">
        <v>160</v>
      </c>
      <c r="R994">
        <v>801</v>
      </c>
      <c r="S994">
        <v>798.4</v>
      </c>
      <c r="T994" t="s">
        <v>145</v>
      </c>
      <c r="U994" t="s">
        <v>3292</v>
      </c>
      <c r="V994" t="s">
        <v>27</v>
      </c>
      <c r="W994" t="s">
        <v>66</v>
      </c>
      <c r="X994" t="s">
        <v>67</v>
      </c>
      <c r="Y994" t="s">
        <v>148</v>
      </c>
      <c r="AA994" t="s">
        <v>494</v>
      </c>
      <c r="AC994" t="s">
        <v>139</v>
      </c>
      <c r="AD994" t="s">
        <v>3304</v>
      </c>
      <c r="AF994" t="s">
        <v>493</v>
      </c>
      <c r="AG994" t="s">
        <v>156</v>
      </c>
      <c r="AH994" t="s">
        <v>68</v>
      </c>
      <c r="AI994" t="s">
        <v>493</v>
      </c>
      <c r="AK994" t="s">
        <v>2816</v>
      </c>
    </row>
    <row r="995" spans="1:37" customFormat="1">
      <c r="A995" t="s">
        <v>23</v>
      </c>
      <c r="B995" t="s">
        <v>24</v>
      </c>
      <c r="C995" t="s">
        <v>934</v>
      </c>
      <c r="D995" t="s">
        <v>135</v>
      </c>
      <c r="E995" t="s">
        <v>2780</v>
      </c>
      <c r="F995" t="s">
        <v>931</v>
      </c>
      <c r="G995" t="s">
        <v>136</v>
      </c>
      <c r="H995" t="s">
        <v>146</v>
      </c>
      <c r="I995" t="s">
        <v>71</v>
      </c>
      <c r="J995" t="s">
        <v>72</v>
      </c>
      <c r="K995" t="s">
        <v>65</v>
      </c>
      <c r="L995" t="s">
        <v>150</v>
      </c>
      <c r="M995" t="s">
        <v>144</v>
      </c>
      <c r="N995" t="s">
        <v>2817</v>
      </c>
      <c r="O995">
        <v>1158</v>
      </c>
      <c r="P995" t="s">
        <v>35</v>
      </c>
      <c r="R995">
        <v>1161</v>
      </c>
      <c r="S995">
        <v>1158</v>
      </c>
      <c r="T995" t="s">
        <v>1817</v>
      </c>
      <c r="U995" t="s">
        <v>2050</v>
      </c>
      <c r="V995" t="s">
        <v>27</v>
      </c>
      <c r="W995" t="s">
        <v>66</v>
      </c>
      <c r="X995" t="s">
        <v>67</v>
      </c>
      <c r="Y995" t="s">
        <v>138</v>
      </c>
      <c r="AA995" t="s">
        <v>494</v>
      </c>
      <c r="AC995" t="s">
        <v>139</v>
      </c>
      <c r="AD995" t="s">
        <v>2980</v>
      </c>
      <c r="AG995" t="s">
        <v>71</v>
      </c>
      <c r="AH995" t="s">
        <v>68</v>
      </c>
      <c r="AI995" t="s">
        <v>493</v>
      </c>
    </row>
    <row r="996" spans="1:37" customFormat="1">
      <c r="A996" t="s">
        <v>23</v>
      </c>
      <c r="B996" t="s">
        <v>24</v>
      </c>
      <c r="C996" t="s">
        <v>934</v>
      </c>
      <c r="D996" t="s">
        <v>135</v>
      </c>
      <c r="E996" t="s">
        <v>2780</v>
      </c>
      <c r="F996" t="s">
        <v>931</v>
      </c>
      <c r="G996" t="s">
        <v>136</v>
      </c>
      <c r="H996" t="s">
        <v>146</v>
      </c>
      <c r="I996" t="s">
        <v>71</v>
      </c>
      <c r="J996" t="s">
        <v>72</v>
      </c>
      <c r="K996" t="s">
        <v>65</v>
      </c>
      <c r="L996" t="s">
        <v>150</v>
      </c>
      <c r="M996" t="s">
        <v>144</v>
      </c>
      <c r="N996" t="s">
        <v>2818</v>
      </c>
      <c r="O996">
        <v>1152</v>
      </c>
      <c r="P996" t="s">
        <v>35</v>
      </c>
      <c r="R996">
        <v>1155</v>
      </c>
      <c r="S996">
        <v>1152</v>
      </c>
      <c r="T996" t="s">
        <v>1817</v>
      </c>
      <c r="U996" t="s">
        <v>2050</v>
      </c>
      <c r="V996" t="s">
        <v>27</v>
      </c>
      <c r="W996" t="s">
        <v>66</v>
      </c>
      <c r="X996" t="s">
        <v>67</v>
      </c>
      <c r="Y996" t="s">
        <v>138</v>
      </c>
      <c r="AA996" t="s">
        <v>494</v>
      </c>
      <c r="AC996" t="s">
        <v>139</v>
      </c>
      <c r="AD996" t="s">
        <v>2981</v>
      </c>
      <c r="AG996" t="s">
        <v>71</v>
      </c>
      <c r="AH996" t="s">
        <v>68</v>
      </c>
      <c r="AI996" t="s">
        <v>493</v>
      </c>
    </row>
    <row r="997" spans="1:37" customFormat="1">
      <c r="A997" t="s">
        <v>23</v>
      </c>
      <c r="B997" t="s">
        <v>24</v>
      </c>
      <c r="C997" t="s">
        <v>934</v>
      </c>
      <c r="D997" t="s">
        <v>135</v>
      </c>
      <c r="E997" t="s">
        <v>2780</v>
      </c>
      <c r="F997" t="s">
        <v>931</v>
      </c>
      <c r="G997" t="s">
        <v>136</v>
      </c>
      <c r="H997" t="s">
        <v>146</v>
      </c>
      <c r="I997" t="s">
        <v>71</v>
      </c>
      <c r="J997" t="s">
        <v>72</v>
      </c>
      <c r="K997" t="s">
        <v>65</v>
      </c>
      <c r="L997" t="s">
        <v>150</v>
      </c>
      <c r="M997" t="s">
        <v>144</v>
      </c>
      <c r="N997" t="s">
        <v>2819</v>
      </c>
      <c r="O997">
        <v>1161</v>
      </c>
      <c r="P997" t="s">
        <v>35</v>
      </c>
      <c r="R997">
        <v>1164</v>
      </c>
      <c r="S997">
        <v>1161</v>
      </c>
      <c r="T997" t="s">
        <v>1817</v>
      </c>
      <c r="U997" t="s">
        <v>2050</v>
      </c>
      <c r="V997" t="s">
        <v>27</v>
      </c>
      <c r="W997" t="s">
        <v>66</v>
      </c>
      <c r="X997" t="s">
        <v>67</v>
      </c>
      <c r="Y997" t="s">
        <v>138</v>
      </c>
      <c r="AA997" t="s">
        <v>494</v>
      </c>
      <c r="AC997" t="s">
        <v>139</v>
      </c>
      <c r="AD997" t="s">
        <v>2982</v>
      </c>
      <c r="AG997" t="s">
        <v>71</v>
      </c>
      <c r="AH997" t="s">
        <v>68</v>
      </c>
      <c r="AI997" t="s">
        <v>493</v>
      </c>
    </row>
    <row r="998" spans="1:37" customFormat="1">
      <c r="A998" t="s">
        <v>23</v>
      </c>
      <c r="B998" t="s">
        <v>24</v>
      </c>
      <c r="C998" t="s">
        <v>934</v>
      </c>
      <c r="D998" t="s">
        <v>135</v>
      </c>
      <c r="E998" t="s">
        <v>2780</v>
      </c>
      <c r="F998" t="s">
        <v>931</v>
      </c>
      <c r="G998" t="s">
        <v>136</v>
      </c>
      <c r="H998" t="s">
        <v>146</v>
      </c>
      <c r="I998" t="s">
        <v>71</v>
      </c>
      <c r="J998" t="s">
        <v>72</v>
      </c>
      <c r="K998" t="s">
        <v>65</v>
      </c>
      <c r="L998" t="s">
        <v>150</v>
      </c>
      <c r="M998" t="s">
        <v>144</v>
      </c>
      <c r="N998" t="s">
        <v>2820</v>
      </c>
      <c r="O998">
        <v>1166</v>
      </c>
      <c r="P998" t="s">
        <v>35</v>
      </c>
      <c r="R998">
        <v>1169</v>
      </c>
      <c r="S998">
        <v>1166</v>
      </c>
      <c r="T998" t="s">
        <v>1817</v>
      </c>
      <c r="U998" t="s">
        <v>2050</v>
      </c>
      <c r="V998" t="s">
        <v>27</v>
      </c>
      <c r="W998" t="s">
        <v>66</v>
      </c>
      <c r="X998" t="s">
        <v>67</v>
      </c>
      <c r="Y998" t="s">
        <v>138</v>
      </c>
      <c r="AA998" t="s">
        <v>494</v>
      </c>
      <c r="AC998" t="s">
        <v>139</v>
      </c>
      <c r="AD998" t="s">
        <v>2983</v>
      </c>
      <c r="AG998" t="s">
        <v>71</v>
      </c>
      <c r="AH998" t="s">
        <v>68</v>
      </c>
      <c r="AI998" t="s">
        <v>493</v>
      </c>
    </row>
    <row r="999" spans="1:37" customFormat="1">
      <c r="A999" t="s">
        <v>23</v>
      </c>
      <c r="B999" t="s">
        <v>24</v>
      </c>
      <c r="C999" t="s">
        <v>934</v>
      </c>
      <c r="D999" t="s">
        <v>135</v>
      </c>
      <c r="E999" t="s">
        <v>2780</v>
      </c>
      <c r="F999" t="s">
        <v>931</v>
      </c>
      <c r="G999" t="s">
        <v>136</v>
      </c>
      <c r="H999" t="s">
        <v>146</v>
      </c>
      <c r="I999" t="s">
        <v>71</v>
      </c>
      <c r="J999" t="s">
        <v>72</v>
      </c>
      <c r="K999" t="s">
        <v>65</v>
      </c>
      <c r="L999" t="s">
        <v>150</v>
      </c>
      <c r="M999" t="s">
        <v>144</v>
      </c>
      <c r="N999" t="s">
        <v>2821</v>
      </c>
      <c r="O999">
        <v>1161</v>
      </c>
      <c r="P999" t="s">
        <v>35</v>
      </c>
      <c r="R999">
        <v>1164</v>
      </c>
      <c r="S999">
        <v>1161</v>
      </c>
      <c r="T999" t="s">
        <v>1817</v>
      </c>
      <c r="U999" t="s">
        <v>2050</v>
      </c>
      <c r="V999" t="s">
        <v>27</v>
      </c>
      <c r="W999" t="s">
        <v>66</v>
      </c>
      <c r="X999" t="s">
        <v>67</v>
      </c>
      <c r="Y999" t="s">
        <v>138</v>
      </c>
      <c r="AA999" t="s">
        <v>494</v>
      </c>
      <c r="AC999" t="s">
        <v>139</v>
      </c>
      <c r="AD999" t="s">
        <v>2984</v>
      </c>
      <c r="AG999" t="s">
        <v>71</v>
      </c>
      <c r="AH999" t="s">
        <v>68</v>
      </c>
      <c r="AI999" t="s">
        <v>493</v>
      </c>
    </row>
    <row r="1000" spans="1:37" customFormat="1">
      <c r="A1000" t="s">
        <v>23</v>
      </c>
      <c r="B1000" t="s">
        <v>24</v>
      </c>
      <c r="C1000" t="s">
        <v>934</v>
      </c>
      <c r="D1000" t="s">
        <v>135</v>
      </c>
      <c r="E1000" t="s">
        <v>2780</v>
      </c>
      <c r="F1000" t="s">
        <v>931</v>
      </c>
      <c r="G1000" t="s">
        <v>136</v>
      </c>
      <c r="H1000" t="s">
        <v>146</v>
      </c>
      <c r="I1000" t="s">
        <v>71</v>
      </c>
      <c r="J1000" t="s">
        <v>72</v>
      </c>
      <c r="K1000" t="s">
        <v>65</v>
      </c>
      <c r="L1000" t="s">
        <v>150</v>
      </c>
      <c r="M1000" t="s">
        <v>144</v>
      </c>
      <c r="N1000" t="s">
        <v>2822</v>
      </c>
      <c r="O1000">
        <v>1150</v>
      </c>
      <c r="P1000" t="s">
        <v>35</v>
      </c>
      <c r="R1000">
        <v>1153</v>
      </c>
      <c r="S1000">
        <v>1150</v>
      </c>
      <c r="T1000" t="s">
        <v>1817</v>
      </c>
      <c r="U1000" t="s">
        <v>2050</v>
      </c>
      <c r="V1000" t="s">
        <v>27</v>
      </c>
      <c r="W1000" t="s">
        <v>66</v>
      </c>
      <c r="X1000" t="s">
        <v>67</v>
      </c>
      <c r="Y1000" t="s">
        <v>138</v>
      </c>
      <c r="AA1000" t="s">
        <v>494</v>
      </c>
      <c r="AC1000" t="s">
        <v>139</v>
      </c>
      <c r="AD1000" t="s">
        <v>2985</v>
      </c>
      <c r="AG1000" t="s">
        <v>71</v>
      </c>
      <c r="AH1000" t="s">
        <v>68</v>
      </c>
      <c r="AI1000" t="s">
        <v>493</v>
      </c>
    </row>
    <row r="1001" spans="1:37" customFormat="1">
      <c r="A1001" t="s">
        <v>23</v>
      </c>
      <c r="B1001" t="s">
        <v>24</v>
      </c>
      <c r="C1001" t="s">
        <v>934</v>
      </c>
      <c r="D1001" t="s">
        <v>135</v>
      </c>
      <c r="E1001" t="s">
        <v>2780</v>
      </c>
      <c r="F1001" t="s">
        <v>931</v>
      </c>
      <c r="G1001" t="s">
        <v>136</v>
      </c>
      <c r="H1001" t="s">
        <v>146</v>
      </c>
      <c r="I1001" t="s">
        <v>71</v>
      </c>
      <c r="J1001" t="s">
        <v>72</v>
      </c>
      <c r="K1001" t="s">
        <v>65</v>
      </c>
      <c r="L1001" t="s">
        <v>150</v>
      </c>
      <c r="M1001" t="s">
        <v>144</v>
      </c>
      <c r="N1001" t="s">
        <v>2823</v>
      </c>
      <c r="O1001">
        <v>1153</v>
      </c>
      <c r="P1001" t="s">
        <v>35</v>
      </c>
      <c r="R1001">
        <v>1156</v>
      </c>
      <c r="S1001">
        <v>1153</v>
      </c>
      <c r="T1001" t="s">
        <v>1817</v>
      </c>
      <c r="U1001" t="s">
        <v>2050</v>
      </c>
      <c r="V1001" t="s">
        <v>27</v>
      </c>
      <c r="W1001" t="s">
        <v>66</v>
      </c>
      <c r="X1001" t="s">
        <v>67</v>
      </c>
      <c r="Y1001" t="s">
        <v>138</v>
      </c>
      <c r="AA1001" t="s">
        <v>494</v>
      </c>
      <c r="AC1001" t="s">
        <v>139</v>
      </c>
      <c r="AD1001" t="s">
        <v>2986</v>
      </c>
      <c r="AG1001" t="s">
        <v>71</v>
      </c>
      <c r="AH1001" t="s">
        <v>68</v>
      </c>
      <c r="AI1001" t="s">
        <v>493</v>
      </c>
    </row>
    <row r="1002" spans="1:37" customFormat="1">
      <c r="A1002" t="s">
        <v>23</v>
      </c>
      <c r="B1002" t="s">
        <v>24</v>
      </c>
      <c r="C1002" t="s">
        <v>934</v>
      </c>
      <c r="D1002" t="s">
        <v>135</v>
      </c>
      <c r="E1002" t="s">
        <v>2780</v>
      </c>
      <c r="F1002" t="s">
        <v>931</v>
      </c>
      <c r="G1002" t="s">
        <v>136</v>
      </c>
      <c r="H1002" t="s">
        <v>146</v>
      </c>
      <c r="I1002" t="s">
        <v>71</v>
      </c>
      <c r="J1002" t="s">
        <v>72</v>
      </c>
      <c r="K1002" t="s">
        <v>65</v>
      </c>
      <c r="L1002" t="s">
        <v>150</v>
      </c>
      <c r="M1002" t="s">
        <v>144</v>
      </c>
      <c r="N1002" t="s">
        <v>2824</v>
      </c>
      <c r="O1002">
        <v>1158</v>
      </c>
      <c r="P1002" t="s">
        <v>35</v>
      </c>
      <c r="R1002">
        <v>1161</v>
      </c>
      <c r="S1002">
        <v>1158</v>
      </c>
      <c r="T1002" t="s">
        <v>1817</v>
      </c>
      <c r="U1002" t="s">
        <v>2050</v>
      </c>
      <c r="V1002" t="s">
        <v>27</v>
      </c>
      <c r="W1002" t="s">
        <v>66</v>
      </c>
      <c r="X1002" t="s">
        <v>67</v>
      </c>
      <c r="Y1002" t="s">
        <v>138</v>
      </c>
      <c r="AA1002" t="s">
        <v>494</v>
      </c>
      <c r="AC1002" t="s">
        <v>139</v>
      </c>
      <c r="AD1002" t="s">
        <v>2987</v>
      </c>
      <c r="AG1002" t="s">
        <v>71</v>
      </c>
      <c r="AH1002" t="s">
        <v>68</v>
      </c>
      <c r="AI1002" t="s">
        <v>493</v>
      </c>
    </row>
    <row r="1003" spans="1:37" customFormat="1">
      <c r="A1003" t="s">
        <v>23</v>
      </c>
      <c r="B1003" t="s">
        <v>24</v>
      </c>
      <c r="C1003" t="s">
        <v>934</v>
      </c>
      <c r="D1003" t="s">
        <v>135</v>
      </c>
      <c r="E1003" t="s">
        <v>2780</v>
      </c>
      <c r="F1003" t="s">
        <v>931</v>
      </c>
      <c r="G1003" t="s">
        <v>136</v>
      </c>
      <c r="H1003" t="s">
        <v>146</v>
      </c>
      <c r="I1003" t="s">
        <v>71</v>
      </c>
      <c r="J1003" t="s">
        <v>72</v>
      </c>
      <c r="K1003" t="s">
        <v>65</v>
      </c>
      <c r="L1003" t="s">
        <v>150</v>
      </c>
      <c r="M1003" t="s">
        <v>144</v>
      </c>
      <c r="N1003" t="s">
        <v>2825</v>
      </c>
      <c r="O1003">
        <v>1167</v>
      </c>
      <c r="P1003" t="s">
        <v>35</v>
      </c>
      <c r="R1003">
        <v>1170</v>
      </c>
      <c r="S1003">
        <v>1167</v>
      </c>
      <c r="T1003" t="s">
        <v>1817</v>
      </c>
      <c r="U1003" t="s">
        <v>2969</v>
      </c>
      <c r="V1003" t="s">
        <v>27</v>
      </c>
      <c r="W1003" t="s">
        <v>66</v>
      </c>
      <c r="X1003" t="s">
        <v>67</v>
      </c>
      <c r="Y1003" t="s">
        <v>138</v>
      </c>
      <c r="AA1003" t="s">
        <v>494</v>
      </c>
      <c r="AC1003" t="s">
        <v>139</v>
      </c>
      <c r="AD1003" t="s">
        <v>2988</v>
      </c>
      <c r="AG1003" t="s">
        <v>71</v>
      </c>
      <c r="AH1003" t="s">
        <v>68</v>
      </c>
      <c r="AI1003" t="s">
        <v>493</v>
      </c>
    </row>
    <row r="1004" spans="1:37" customFormat="1">
      <c r="A1004" t="s">
        <v>23</v>
      </c>
      <c r="B1004" t="s">
        <v>24</v>
      </c>
      <c r="C1004" t="s">
        <v>934</v>
      </c>
      <c r="D1004" t="s">
        <v>135</v>
      </c>
      <c r="E1004" t="s">
        <v>2780</v>
      </c>
      <c r="F1004" t="s">
        <v>931</v>
      </c>
      <c r="G1004" t="s">
        <v>136</v>
      </c>
      <c r="H1004" t="s">
        <v>146</v>
      </c>
      <c r="I1004" t="s">
        <v>71</v>
      </c>
      <c r="J1004" t="s">
        <v>72</v>
      </c>
      <c r="K1004" t="s">
        <v>65</v>
      </c>
      <c r="L1004" t="s">
        <v>150</v>
      </c>
      <c r="M1004" t="s">
        <v>144</v>
      </c>
      <c r="N1004" t="s">
        <v>2826</v>
      </c>
      <c r="O1004">
        <v>566</v>
      </c>
      <c r="P1004" t="s">
        <v>35</v>
      </c>
      <c r="R1004">
        <v>569</v>
      </c>
      <c r="S1004">
        <v>566</v>
      </c>
      <c r="T1004" t="s">
        <v>1817</v>
      </c>
      <c r="U1004" t="s">
        <v>2969</v>
      </c>
      <c r="V1004" t="s">
        <v>27</v>
      </c>
      <c r="W1004" t="s">
        <v>66</v>
      </c>
      <c r="X1004" t="s">
        <v>67</v>
      </c>
      <c r="Y1004" t="s">
        <v>138</v>
      </c>
      <c r="AA1004" t="s">
        <v>494</v>
      </c>
      <c r="AC1004" t="s">
        <v>139</v>
      </c>
      <c r="AD1004" t="s">
        <v>2989</v>
      </c>
      <c r="AG1004" t="s">
        <v>71</v>
      </c>
      <c r="AH1004" t="s">
        <v>68</v>
      </c>
      <c r="AI1004" t="s">
        <v>493</v>
      </c>
    </row>
    <row r="1005" spans="1:37" customFormat="1">
      <c r="A1005" t="s">
        <v>23</v>
      </c>
      <c r="B1005" t="s">
        <v>24</v>
      </c>
      <c r="C1005" t="s">
        <v>179</v>
      </c>
      <c r="D1005" t="s">
        <v>135</v>
      </c>
      <c r="E1005" t="s">
        <v>2782</v>
      </c>
      <c r="F1005" t="s">
        <v>931</v>
      </c>
      <c r="G1005" t="s">
        <v>136</v>
      </c>
      <c r="H1005" t="s">
        <v>146</v>
      </c>
      <c r="I1005" t="s">
        <v>156</v>
      </c>
      <c r="J1005" t="s">
        <v>26</v>
      </c>
      <c r="K1005" t="s">
        <v>157</v>
      </c>
      <c r="L1005" t="s">
        <v>162</v>
      </c>
      <c r="M1005" t="s">
        <v>144</v>
      </c>
      <c r="N1005" t="s">
        <v>2990</v>
      </c>
      <c r="O1005">
        <v>1</v>
      </c>
      <c r="P1005" t="s">
        <v>160</v>
      </c>
      <c r="R1005">
        <v>804</v>
      </c>
      <c r="S1005">
        <v>798.4</v>
      </c>
      <c r="T1005" t="s">
        <v>145</v>
      </c>
      <c r="U1005" t="s">
        <v>3292</v>
      </c>
      <c r="V1005" t="s">
        <v>27</v>
      </c>
      <c r="W1005" t="s">
        <v>66</v>
      </c>
      <c r="X1005" t="s">
        <v>67</v>
      </c>
      <c r="Y1005" t="s">
        <v>148</v>
      </c>
      <c r="AA1005" t="s">
        <v>494</v>
      </c>
      <c r="AC1005" t="s">
        <v>139</v>
      </c>
      <c r="AD1005" t="s">
        <v>3305</v>
      </c>
      <c r="AF1005" t="s">
        <v>493</v>
      </c>
      <c r="AG1005" t="s">
        <v>156</v>
      </c>
      <c r="AH1005" t="s">
        <v>68</v>
      </c>
      <c r="AI1005" t="s">
        <v>493</v>
      </c>
      <c r="AK1005" t="s">
        <v>2991</v>
      </c>
    </row>
    <row r="1006" spans="1:37" customFormat="1">
      <c r="A1006" t="s">
        <v>23</v>
      </c>
      <c r="B1006" t="s">
        <v>24</v>
      </c>
      <c r="C1006" t="s">
        <v>934</v>
      </c>
      <c r="D1006" t="s">
        <v>135</v>
      </c>
      <c r="E1006" t="s">
        <v>2992</v>
      </c>
      <c r="F1006" t="s">
        <v>931</v>
      </c>
      <c r="G1006" t="s">
        <v>136</v>
      </c>
      <c r="H1006" t="s">
        <v>142</v>
      </c>
      <c r="I1006" t="s">
        <v>71</v>
      </c>
      <c r="J1006" t="s">
        <v>72</v>
      </c>
      <c r="K1006" t="s">
        <v>65</v>
      </c>
      <c r="L1006" t="s">
        <v>150</v>
      </c>
      <c r="M1006" t="s">
        <v>144</v>
      </c>
      <c r="N1006" t="s">
        <v>2994</v>
      </c>
      <c r="O1006">
        <v>1125</v>
      </c>
      <c r="P1006" t="s">
        <v>35</v>
      </c>
      <c r="R1006">
        <v>1128</v>
      </c>
      <c r="S1006">
        <v>1125</v>
      </c>
      <c r="T1006" t="s">
        <v>1817</v>
      </c>
      <c r="U1006" t="s">
        <v>1818</v>
      </c>
      <c r="V1006" t="s">
        <v>27</v>
      </c>
      <c r="W1006" t="s">
        <v>66</v>
      </c>
      <c r="X1006" t="s">
        <v>67</v>
      </c>
      <c r="Y1006" t="s">
        <v>138</v>
      </c>
      <c r="AA1006" t="s">
        <v>494</v>
      </c>
      <c r="AC1006" t="s">
        <v>139</v>
      </c>
      <c r="AD1006" t="s">
        <v>3306</v>
      </c>
      <c r="AG1006" t="s">
        <v>71</v>
      </c>
      <c r="AH1006" t="s">
        <v>68</v>
      </c>
      <c r="AI1006" t="s">
        <v>493</v>
      </c>
    </row>
    <row r="1007" spans="1:37" customFormat="1">
      <c r="A1007" t="s">
        <v>23</v>
      </c>
      <c r="B1007" t="s">
        <v>24</v>
      </c>
      <c r="C1007" t="s">
        <v>179</v>
      </c>
      <c r="D1007" t="s">
        <v>135</v>
      </c>
      <c r="E1007" t="s">
        <v>2782</v>
      </c>
      <c r="F1007" t="s">
        <v>931</v>
      </c>
      <c r="G1007" t="s">
        <v>136</v>
      </c>
      <c r="H1007" t="s">
        <v>146</v>
      </c>
      <c r="I1007" t="s">
        <v>156</v>
      </c>
      <c r="J1007" t="s">
        <v>26</v>
      </c>
      <c r="K1007" t="s">
        <v>157</v>
      </c>
      <c r="L1007" t="s">
        <v>162</v>
      </c>
      <c r="M1007" t="s">
        <v>144</v>
      </c>
      <c r="N1007" t="s">
        <v>2995</v>
      </c>
      <c r="O1007">
        <v>1</v>
      </c>
      <c r="P1007" t="s">
        <v>160</v>
      </c>
      <c r="R1007">
        <v>802</v>
      </c>
      <c r="S1007">
        <v>798.4</v>
      </c>
      <c r="T1007" t="s">
        <v>145</v>
      </c>
      <c r="U1007" t="s">
        <v>3292</v>
      </c>
      <c r="V1007" t="s">
        <v>27</v>
      </c>
      <c r="W1007" t="s">
        <v>66</v>
      </c>
      <c r="X1007" t="s">
        <v>67</v>
      </c>
      <c r="Y1007" t="s">
        <v>148</v>
      </c>
      <c r="AA1007" t="s">
        <v>494</v>
      </c>
      <c r="AC1007" t="s">
        <v>139</v>
      </c>
      <c r="AD1007" t="s">
        <v>3307</v>
      </c>
      <c r="AF1007" t="s">
        <v>493</v>
      </c>
      <c r="AG1007" t="s">
        <v>156</v>
      </c>
      <c r="AH1007" t="s">
        <v>68</v>
      </c>
      <c r="AI1007" t="s">
        <v>493</v>
      </c>
      <c r="AK1007" t="s">
        <v>2996</v>
      </c>
    </row>
    <row r="1008" spans="1:37" customFormat="1">
      <c r="A1008" t="s">
        <v>23</v>
      </c>
      <c r="B1008" t="s">
        <v>24</v>
      </c>
      <c r="C1008" t="s">
        <v>179</v>
      </c>
      <c r="D1008" t="s">
        <v>135</v>
      </c>
      <c r="E1008" t="s">
        <v>2782</v>
      </c>
      <c r="F1008" t="s">
        <v>931</v>
      </c>
      <c r="G1008" t="s">
        <v>136</v>
      </c>
      <c r="H1008" t="s">
        <v>146</v>
      </c>
      <c r="I1008" t="s">
        <v>156</v>
      </c>
      <c r="J1008" t="s">
        <v>26</v>
      </c>
      <c r="K1008" t="s">
        <v>157</v>
      </c>
      <c r="L1008" t="s">
        <v>162</v>
      </c>
      <c r="M1008" t="s">
        <v>144</v>
      </c>
      <c r="N1008" t="s">
        <v>2997</v>
      </c>
      <c r="O1008">
        <v>1</v>
      </c>
      <c r="P1008" t="s">
        <v>160</v>
      </c>
      <c r="R1008">
        <v>804</v>
      </c>
      <c r="S1008">
        <v>798.4</v>
      </c>
      <c r="T1008" t="s">
        <v>145</v>
      </c>
      <c r="U1008" t="s">
        <v>3292</v>
      </c>
      <c r="V1008" t="s">
        <v>27</v>
      </c>
      <c r="W1008" t="s">
        <v>66</v>
      </c>
      <c r="X1008" t="s">
        <v>67</v>
      </c>
      <c r="Y1008" t="s">
        <v>148</v>
      </c>
      <c r="AA1008" t="s">
        <v>494</v>
      </c>
      <c r="AC1008" t="s">
        <v>139</v>
      </c>
      <c r="AD1008" t="s">
        <v>3308</v>
      </c>
      <c r="AF1008" t="s">
        <v>493</v>
      </c>
      <c r="AG1008" t="s">
        <v>156</v>
      </c>
      <c r="AH1008" t="s">
        <v>68</v>
      </c>
      <c r="AI1008" t="s">
        <v>493</v>
      </c>
      <c r="AK1008" t="s">
        <v>2998</v>
      </c>
    </row>
    <row r="1009" spans="1:35" customFormat="1">
      <c r="A1009" t="s">
        <v>23</v>
      </c>
      <c r="B1009" t="s">
        <v>24</v>
      </c>
      <c r="C1009" t="s">
        <v>934</v>
      </c>
      <c r="D1009" t="s">
        <v>135</v>
      </c>
      <c r="E1009" t="s">
        <v>2992</v>
      </c>
      <c r="F1009" t="s">
        <v>931</v>
      </c>
      <c r="G1009" t="s">
        <v>136</v>
      </c>
      <c r="H1009" t="s">
        <v>142</v>
      </c>
      <c r="I1009" t="s">
        <v>71</v>
      </c>
      <c r="J1009" t="s">
        <v>72</v>
      </c>
      <c r="K1009" t="s">
        <v>65</v>
      </c>
      <c r="L1009" t="s">
        <v>150</v>
      </c>
      <c r="M1009" t="s">
        <v>144</v>
      </c>
      <c r="N1009" t="s">
        <v>2999</v>
      </c>
      <c r="O1009">
        <v>1189</v>
      </c>
      <c r="P1009" t="s">
        <v>35</v>
      </c>
      <c r="R1009">
        <v>1192</v>
      </c>
      <c r="S1009">
        <v>1189</v>
      </c>
      <c r="T1009" t="s">
        <v>1817</v>
      </c>
      <c r="U1009" t="s">
        <v>1818</v>
      </c>
      <c r="V1009" t="s">
        <v>27</v>
      </c>
      <c r="W1009" t="s">
        <v>66</v>
      </c>
      <c r="X1009" t="s">
        <v>67</v>
      </c>
      <c r="Y1009" t="s">
        <v>138</v>
      </c>
      <c r="AA1009" t="s">
        <v>494</v>
      </c>
      <c r="AC1009" t="s">
        <v>139</v>
      </c>
      <c r="AD1009" t="s">
        <v>3309</v>
      </c>
      <c r="AG1009" t="s">
        <v>71</v>
      </c>
      <c r="AH1009" t="s">
        <v>68</v>
      </c>
      <c r="AI1009" t="s">
        <v>493</v>
      </c>
    </row>
    <row r="1010" spans="1:35" customFormat="1">
      <c r="A1010" t="s">
        <v>23</v>
      </c>
      <c r="B1010" t="s">
        <v>24</v>
      </c>
      <c r="C1010" t="s">
        <v>929</v>
      </c>
      <c r="D1010" t="s">
        <v>135</v>
      </c>
      <c r="E1010" t="s">
        <v>1905</v>
      </c>
      <c r="F1010" t="s">
        <v>1906</v>
      </c>
      <c r="G1010" t="s">
        <v>136</v>
      </c>
      <c r="H1010" t="s">
        <v>493</v>
      </c>
      <c r="I1010" t="s">
        <v>932</v>
      </c>
      <c r="J1010" t="s">
        <v>933</v>
      </c>
      <c r="K1010" t="s">
        <v>65</v>
      </c>
      <c r="L1010" t="s">
        <v>1094</v>
      </c>
      <c r="M1010" t="s">
        <v>137</v>
      </c>
      <c r="N1010" t="s">
        <v>3000</v>
      </c>
      <c r="O1010">
        <v>1199</v>
      </c>
      <c r="P1010" t="s">
        <v>35</v>
      </c>
      <c r="R1010">
        <v>1202</v>
      </c>
      <c r="S1010">
        <v>1199</v>
      </c>
      <c r="T1010" t="s">
        <v>493</v>
      </c>
      <c r="U1010" t="s">
        <v>493</v>
      </c>
      <c r="V1010" t="s">
        <v>27</v>
      </c>
      <c r="W1010" t="s">
        <v>66</v>
      </c>
      <c r="X1010" t="s">
        <v>67</v>
      </c>
      <c r="Y1010" t="s">
        <v>138</v>
      </c>
      <c r="AA1010" t="s">
        <v>494</v>
      </c>
      <c r="AC1010" t="s">
        <v>139</v>
      </c>
      <c r="AD1010" t="s">
        <v>3001</v>
      </c>
      <c r="AG1010" t="s">
        <v>493</v>
      </c>
      <c r="AH1010" t="s">
        <v>68</v>
      </c>
      <c r="AI1010" t="s">
        <v>493</v>
      </c>
    </row>
    <row r="1011" spans="1:35" customFormat="1">
      <c r="A1011" t="s">
        <v>23</v>
      </c>
      <c r="B1011" t="s">
        <v>24</v>
      </c>
      <c r="C1011" t="s">
        <v>929</v>
      </c>
      <c r="D1011" t="s">
        <v>135</v>
      </c>
      <c r="E1011" t="s">
        <v>1905</v>
      </c>
      <c r="F1011" t="s">
        <v>1906</v>
      </c>
      <c r="G1011" t="s">
        <v>136</v>
      </c>
      <c r="H1011" t="s">
        <v>493</v>
      </c>
      <c r="I1011" t="s">
        <v>932</v>
      </c>
      <c r="J1011" t="s">
        <v>933</v>
      </c>
      <c r="K1011" t="s">
        <v>65</v>
      </c>
      <c r="L1011" t="s">
        <v>1094</v>
      </c>
      <c r="M1011" t="s">
        <v>137</v>
      </c>
      <c r="N1011" t="s">
        <v>3002</v>
      </c>
      <c r="O1011">
        <v>1200</v>
      </c>
      <c r="P1011" t="s">
        <v>35</v>
      </c>
      <c r="R1011">
        <v>1203</v>
      </c>
      <c r="S1011">
        <v>1200</v>
      </c>
      <c r="T1011" t="s">
        <v>493</v>
      </c>
      <c r="U1011" t="s">
        <v>493</v>
      </c>
      <c r="V1011" t="s">
        <v>27</v>
      </c>
      <c r="W1011" t="s">
        <v>66</v>
      </c>
      <c r="X1011" t="s">
        <v>67</v>
      </c>
      <c r="Y1011" t="s">
        <v>138</v>
      </c>
      <c r="AA1011" t="s">
        <v>494</v>
      </c>
      <c r="AC1011" t="s">
        <v>139</v>
      </c>
      <c r="AD1011" t="s">
        <v>3003</v>
      </c>
      <c r="AG1011" t="s">
        <v>493</v>
      </c>
      <c r="AH1011" t="s">
        <v>68</v>
      </c>
      <c r="AI1011" t="s">
        <v>493</v>
      </c>
    </row>
    <row r="1012" spans="1:35" customFormat="1">
      <c r="A1012" t="s">
        <v>23</v>
      </c>
      <c r="B1012" t="s">
        <v>24</v>
      </c>
      <c r="C1012" t="s">
        <v>929</v>
      </c>
      <c r="D1012" t="s">
        <v>135</v>
      </c>
      <c r="E1012" t="s">
        <v>1905</v>
      </c>
      <c r="F1012" t="s">
        <v>1906</v>
      </c>
      <c r="G1012" t="s">
        <v>136</v>
      </c>
      <c r="H1012" t="s">
        <v>493</v>
      </c>
      <c r="I1012" t="s">
        <v>932</v>
      </c>
      <c r="J1012" t="s">
        <v>933</v>
      </c>
      <c r="K1012" t="s">
        <v>65</v>
      </c>
      <c r="L1012" t="s">
        <v>1094</v>
      </c>
      <c r="M1012" t="s">
        <v>137</v>
      </c>
      <c r="N1012" t="s">
        <v>3004</v>
      </c>
      <c r="O1012">
        <v>1198</v>
      </c>
      <c r="P1012" t="s">
        <v>35</v>
      </c>
      <c r="R1012">
        <v>1201</v>
      </c>
      <c r="S1012">
        <v>1198</v>
      </c>
      <c r="T1012" t="s">
        <v>493</v>
      </c>
      <c r="U1012" t="s">
        <v>493</v>
      </c>
      <c r="V1012" t="s">
        <v>27</v>
      </c>
      <c r="W1012" t="s">
        <v>66</v>
      </c>
      <c r="X1012" t="s">
        <v>67</v>
      </c>
      <c r="Y1012" t="s">
        <v>138</v>
      </c>
      <c r="AA1012" t="s">
        <v>494</v>
      </c>
      <c r="AC1012" t="s">
        <v>139</v>
      </c>
      <c r="AD1012" t="s">
        <v>3005</v>
      </c>
      <c r="AG1012" t="s">
        <v>493</v>
      </c>
      <c r="AH1012" t="s">
        <v>68</v>
      </c>
      <c r="AI1012" t="s">
        <v>493</v>
      </c>
    </row>
    <row r="1013" spans="1:35" customFormat="1">
      <c r="A1013" t="s">
        <v>23</v>
      </c>
      <c r="B1013" t="s">
        <v>24</v>
      </c>
      <c r="C1013" t="s">
        <v>929</v>
      </c>
      <c r="D1013" t="s">
        <v>135</v>
      </c>
      <c r="E1013" t="s">
        <v>3006</v>
      </c>
      <c r="F1013" t="s">
        <v>3007</v>
      </c>
      <c r="G1013" t="s">
        <v>136</v>
      </c>
      <c r="H1013" t="s">
        <v>493</v>
      </c>
      <c r="I1013" t="s">
        <v>932</v>
      </c>
      <c r="J1013" t="s">
        <v>933</v>
      </c>
      <c r="K1013" t="s">
        <v>65</v>
      </c>
      <c r="L1013" t="s">
        <v>1094</v>
      </c>
      <c r="M1013" t="s">
        <v>137</v>
      </c>
      <c r="N1013" t="s">
        <v>3008</v>
      </c>
      <c r="O1013">
        <v>1177</v>
      </c>
      <c r="P1013" t="s">
        <v>35</v>
      </c>
      <c r="R1013">
        <v>1180</v>
      </c>
      <c r="S1013">
        <v>1177</v>
      </c>
      <c r="T1013" t="s">
        <v>493</v>
      </c>
      <c r="U1013" t="s">
        <v>493</v>
      </c>
      <c r="V1013" t="s">
        <v>27</v>
      </c>
      <c r="W1013" t="s">
        <v>66</v>
      </c>
      <c r="X1013" t="s">
        <v>67</v>
      </c>
      <c r="Y1013" t="s">
        <v>138</v>
      </c>
      <c r="AA1013" t="s">
        <v>494</v>
      </c>
      <c r="AC1013" t="s">
        <v>139</v>
      </c>
      <c r="AD1013" t="s">
        <v>3009</v>
      </c>
      <c r="AG1013" t="s">
        <v>493</v>
      </c>
      <c r="AH1013" t="s">
        <v>68</v>
      </c>
      <c r="AI1013" t="s">
        <v>493</v>
      </c>
    </row>
    <row r="1014" spans="1:35" customFormat="1">
      <c r="A1014" t="s">
        <v>23</v>
      </c>
      <c r="B1014" t="s">
        <v>24</v>
      </c>
      <c r="C1014" t="s">
        <v>929</v>
      </c>
      <c r="D1014" t="s">
        <v>135</v>
      </c>
      <c r="E1014" t="s">
        <v>3006</v>
      </c>
      <c r="F1014" t="s">
        <v>3007</v>
      </c>
      <c r="G1014" t="s">
        <v>136</v>
      </c>
      <c r="H1014" t="s">
        <v>493</v>
      </c>
      <c r="I1014" t="s">
        <v>932</v>
      </c>
      <c r="J1014" t="s">
        <v>933</v>
      </c>
      <c r="K1014" t="s">
        <v>65</v>
      </c>
      <c r="L1014" t="s">
        <v>1094</v>
      </c>
      <c r="M1014" t="s">
        <v>137</v>
      </c>
      <c r="N1014" t="s">
        <v>3010</v>
      </c>
      <c r="O1014">
        <v>1192</v>
      </c>
      <c r="P1014" t="s">
        <v>35</v>
      </c>
      <c r="R1014">
        <v>1195</v>
      </c>
      <c r="S1014">
        <v>1192</v>
      </c>
      <c r="T1014" t="s">
        <v>493</v>
      </c>
      <c r="U1014" t="s">
        <v>493</v>
      </c>
      <c r="V1014" t="s">
        <v>27</v>
      </c>
      <c r="W1014" t="s">
        <v>66</v>
      </c>
      <c r="X1014" t="s">
        <v>67</v>
      </c>
      <c r="Y1014" t="s">
        <v>138</v>
      </c>
      <c r="AA1014" t="s">
        <v>494</v>
      </c>
      <c r="AC1014" t="s">
        <v>139</v>
      </c>
      <c r="AD1014" t="s">
        <v>3310</v>
      </c>
      <c r="AG1014" t="s">
        <v>493</v>
      </c>
      <c r="AH1014" t="s">
        <v>68</v>
      </c>
      <c r="AI1014" t="s">
        <v>493</v>
      </c>
    </row>
    <row r="1015" spans="1:35" customFormat="1">
      <c r="A1015" t="s">
        <v>23</v>
      </c>
      <c r="B1015" t="s">
        <v>24</v>
      </c>
      <c r="C1015" t="s">
        <v>929</v>
      </c>
      <c r="D1015" t="s">
        <v>135</v>
      </c>
      <c r="E1015" t="s">
        <v>3006</v>
      </c>
      <c r="F1015" t="s">
        <v>3007</v>
      </c>
      <c r="G1015" t="s">
        <v>136</v>
      </c>
      <c r="H1015" t="s">
        <v>493</v>
      </c>
      <c r="I1015" t="s">
        <v>932</v>
      </c>
      <c r="J1015" t="s">
        <v>933</v>
      </c>
      <c r="K1015" t="s">
        <v>65</v>
      </c>
      <c r="L1015" t="s">
        <v>1094</v>
      </c>
      <c r="M1015" t="s">
        <v>137</v>
      </c>
      <c r="N1015" t="s">
        <v>3011</v>
      </c>
      <c r="O1015">
        <v>1196</v>
      </c>
      <c r="P1015" t="s">
        <v>35</v>
      </c>
      <c r="R1015">
        <v>1199</v>
      </c>
      <c r="S1015">
        <v>1196</v>
      </c>
      <c r="T1015" t="s">
        <v>493</v>
      </c>
      <c r="U1015" t="s">
        <v>493</v>
      </c>
      <c r="V1015" t="s">
        <v>27</v>
      </c>
      <c r="W1015" t="s">
        <v>66</v>
      </c>
      <c r="X1015" t="s">
        <v>67</v>
      </c>
      <c r="Y1015" t="s">
        <v>138</v>
      </c>
      <c r="AA1015" t="s">
        <v>494</v>
      </c>
      <c r="AC1015" t="s">
        <v>139</v>
      </c>
      <c r="AD1015" t="s">
        <v>3012</v>
      </c>
      <c r="AG1015" t="s">
        <v>493</v>
      </c>
      <c r="AH1015" t="s">
        <v>68</v>
      </c>
      <c r="AI1015" t="s">
        <v>493</v>
      </c>
    </row>
    <row r="1016" spans="1:35" customFormat="1">
      <c r="A1016" t="s">
        <v>23</v>
      </c>
      <c r="B1016" t="s">
        <v>24</v>
      </c>
      <c r="C1016" t="s">
        <v>929</v>
      </c>
      <c r="D1016" t="s">
        <v>135</v>
      </c>
      <c r="E1016" t="s">
        <v>3006</v>
      </c>
      <c r="F1016" t="s">
        <v>3007</v>
      </c>
      <c r="G1016" t="s">
        <v>136</v>
      </c>
      <c r="H1016" t="s">
        <v>493</v>
      </c>
      <c r="I1016" t="s">
        <v>932</v>
      </c>
      <c r="J1016" t="s">
        <v>933</v>
      </c>
      <c r="K1016" t="s">
        <v>65</v>
      </c>
      <c r="L1016" t="s">
        <v>1094</v>
      </c>
      <c r="M1016" t="s">
        <v>137</v>
      </c>
      <c r="N1016" t="s">
        <v>3013</v>
      </c>
      <c r="O1016">
        <v>1205</v>
      </c>
      <c r="P1016" t="s">
        <v>35</v>
      </c>
      <c r="R1016">
        <v>1208</v>
      </c>
      <c r="S1016">
        <v>1205</v>
      </c>
      <c r="T1016" t="s">
        <v>493</v>
      </c>
      <c r="U1016" t="s">
        <v>493</v>
      </c>
      <c r="V1016" t="s">
        <v>27</v>
      </c>
      <c r="W1016" t="s">
        <v>66</v>
      </c>
      <c r="X1016" t="s">
        <v>67</v>
      </c>
      <c r="Y1016" t="s">
        <v>138</v>
      </c>
      <c r="AA1016" t="s">
        <v>494</v>
      </c>
      <c r="AC1016" t="s">
        <v>139</v>
      </c>
      <c r="AD1016" t="s">
        <v>3014</v>
      </c>
      <c r="AG1016" t="s">
        <v>493</v>
      </c>
      <c r="AH1016" t="s">
        <v>68</v>
      </c>
      <c r="AI1016" t="s">
        <v>493</v>
      </c>
    </row>
    <row r="1017" spans="1:35" customFormat="1">
      <c r="A1017" t="s">
        <v>23</v>
      </c>
      <c r="B1017" t="s">
        <v>24</v>
      </c>
      <c r="C1017" t="s">
        <v>929</v>
      </c>
      <c r="D1017" t="s">
        <v>135</v>
      </c>
      <c r="E1017" t="s">
        <v>3006</v>
      </c>
      <c r="F1017" t="s">
        <v>3007</v>
      </c>
      <c r="G1017" t="s">
        <v>136</v>
      </c>
      <c r="H1017" t="s">
        <v>493</v>
      </c>
      <c r="I1017" t="s">
        <v>932</v>
      </c>
      <c r="J1017" t="s">
        <v>933</v>
      </c>
      <c r="K1017" t="s">
        <v>65</v>
      </c>
      <c r="L1017" t="s">
        <v>1094</v>
      </c>
      <c r="M1017" t="s">
        <v>137</v>
      </c>
      <c r="N1017" t="s">
        <v>3015</v>
      </c>
      <c r="O1017">
        <v>1190</v>
      </c>
      <c r="P1017" t="s">
        <v>35</v>
      </c>
      <c r="R1017">
        <v>1193</v>
      </c>
      <c r="S1017">
        <v>1190</v>
      </c>
      <c r="T1017" t="s">
        <v>493</v>
      </c>
      <c r="U1017" t="s">
        <v>493</v>
      </c>
      <c r="V1017" t="s">
        <v>27</v>
      </c>
      <c r="W1017" t="s">
        <v>66</v>
      </c>
      <c r="X1017" t="s">
        <v>67</v>
      </c>
      <c r="Y1017" t="s">
        <v>138</v>
      </c>
      <c r="AA1017" t="s">
        <v>494</v>
      </c>
      <c r="AC1017" t="s">
        <v>139</v>
      </c>
      <c r="AD1017" t="s">
        <v>3311</v>
      </c>
      <c r="AG1017" t="s">
        <v>493</v>
      </c>
      <c r="AH1017" t="s">
        <v>68</v>
      </c>
      <c r="AI1017" t="s">
        <v>493</v>
      </c>
    </row>
    <row r="1018" spans="1:35" customFormat="1">
      <c r="A1018" t="s">
        <v>23</v>
      </c>
      <c r="B1018" t="s">
        <v>24</v>
      </c>
      <c r="C1018" t="s">
        <v>929</v>
      </c>
      <c r="D1018" t="s">
        <v>135</v>
      </c>
      <c r="E1018" t="s">
        <v>3006</v>
      </c>
      <c r="F1018" t="s">
        <v>3007</v>
      </c>
      <c r="G1018" t="s">
        <v>136</v>
      </c>
      <c r="H1018" t="s">
        <v>493</v>
      </c>
      <c r="I1018" t="s">
        <v>932</v>
      </c>
      <c r="J1018" t="s">
        <v>933</v>
      </c>
      <c r="K1018" t="s">
        <v>65</v>
      </c>
      <c r="L1018" t="s">
        <v>1094</v>
      </c>
      <c r="M1018" t="s">
        <v>137</v>
      </c>
      <c r="N1018" t="s">
        <v>3016</v>
      </c>
      <c r="O1018">
        <v>1189</v>
      </c>
      <c r="P1018" t="s">
        <v>35</v>
      </c>
      <c r="R1018">
        <v>1192</v>
      </c>
      <c r="S1018">
        <v>1189</v>
      </c>
      <c r="T1018" t="s">
        <v>493</v>
      </c>
      <c r="U1018" t="s">
        <v>493</v>
      </c>
      <c r="V1018" t="s">
        <v>27</v>
      </c>
      <c r="W1018" t="s">
        <v>66</v>
      </c>
      <c r="X1018" t="s">
        <v>67</v>
      </c>
      <c r="Y1018" t="s">
        <v>138</v>
      </c>
      <c r="AA1018" t="s">
        <v>494</v>
      </c>
      <c r="AC1018" t="s">
        <v>139</v>
      </c>
      <c r="AD1018" t="s">
        <v>3312</v>
      </c>
      <c r="AG1018" t="s">
        <v>493</v>
      </c>
      <c r="AH1018" t="s">
        <v>68</v>
      </c>
      <c r="AI1018" t="s">
        <v>493</v>
      </c>
    </row>
    <row r="1019" spans="1:35" customFormat="1">
      <c r="A1019" t="s">
        <v>23</v>
      </c>
      <c r="B1019" t="s">
        <v>24</v>
      </c>
      <c r="C1019" t="s">
        <v>929</v>
      </c>
      <c r="D1019" t="s">
        <v>135</v>
      </c>
      <c r="E1019" t="s">
        <v>3006</v>
      </c>
      <c r="F1019" t="s">
        <v>3007</v>
      </c>
      <c r="G1019" t="s">
        <v>136</v>
      </c>
      <c r="H1019" t="s">
        <v>493</v>
      </c>
      <c r="I1019" t="s">
        <v>932</v>
      </c>
      <c r="J1019" t="s">
        <v>933</v>
      </c>
      <c r="K1019" t="s">
        <v>65</v>
      </c>
      <c r="L1019" t="s">
        <v>1094</v>
      </c>
      <c r="M1019" t="s">
        <v>137</v>
      </c>
      <c r="N1019" t="s">
        <v>3017</v>
      </c>
      <c r="O1019">
        <v>1191</v>
      </c>
      <c r="P1019" t="s">
        <v>35</v>
      </c>
      <c r="R1019">
        <v>1194</v>
      </c>
      <c r="S1019">
        <v>1191</v>
      </c>
      <c r="T1019" t="s">
        <v>493</v>
      </c>
      <c r="U1019" t="s">
        <v>493</v>
      </c>
      <c r="V1019" t="s">
        <v>27</v>
      </c>
      <c r="W1019" t="s">
        <v>66</v>
      </c>
      <c r="X1019" t="s">
        <v>67</v>
      </c>
      <c r="Y1019" t="s">
        <v>138</v>
      </c>
      <c r="AA1019" t="s">
        <v>494</v>
      </c>
      <c r="AC1019" t="s">
        <v>139</v>
      </c>
      <c r="AD1019" t="s">
        <v>3018</v>
      </c>
      <c r="AG1019" t="s">
        <v>493</v>
      </c>
      <c r="AH1019" t="s">
        <v>68</v>
      </c>
      <c r="AI1019" t="s">
        <v>493</v>
      </c>
    </row>
    <row r="1020" spans="1:35" customFormat="1">
      <c r="A1020" t="s">
        <v>23</v>
      </c>
      <c r="B1020" t="s">
        <v>24</v>
      </c>
      <c r="C1020" t="s">
        <v>929</v>
      </c>
      <c r="D1020" t="s">
        <v>135</v>
      </c>
      <c r="E1020" t="s">
        <v>3006</v>
      </c>
      <c r="F1020" t="s">
        <v>3007</v>
      </c>
      <c r="G1020" t="s">
        <v>136</v>
      </c>
      <c r="H1020" t="s">
        <v>493</v>
      </c>
      <c r="I1020" t="s">
        <v>932</v>
      </c>
      <c r="J1020" t="s">
        <v>933</v>
      </c>
      <c r="K1020" t="s">
        <v>65</v>
      </c>
      <c r="L1020" t="s">
        <v>1094</v>
      </c>
      <c r="M1020" t="s">
        <v>137</v>
      </c>
      <c r="N1020" t="s">
        <v>3019</v>
      </c>
      <c r="O1020">
        <v>1192</v>
      </c>
      <c r="P1020" t="s">
        <v>35</v>
      </c>
      <c r="R1020">
        <v>1195</v>
      </c>
      <c r="S1020">
        <v>1192</v>
      </c>
      <c r="T1020" t="s">
        <v>493</v>
      </c>
      <c r="U1020" t="s">
        <v>493</v>
      </c>
      <c r="V1020" t="s">
        <v>27</v>
      </c>
      <c r="W1020" t="s">
        <v>66</v>
      </c>
      <c r="X1020" t="s">
        <v>67</v>
      </c>
      <c r="Y1020" t="s">
        <v>138</v>
      </c>
      <c r="AA1020" t="s">
        <v>494</v>
      </c>
      <c r="AC1020" t="s">
        <v>139</v>
      </c>
      <c r="AD1020" t="s">
        <v>3020</v>
      </c>
      <c r="AG1020" t="s">
        <v>493</v>
      </c>
      <c r="AH1020" t="s">
        <v>68</v>
      </c>
      <c r="AI1020" t="s">
        <v>493</v>
      </c>
    </row>
    <row r="1021" spans="1:35" customFormat="1">
      <c r="A1021" t="s">
        <v>23</v>
      </c>
      <c r="B1021" t="s">
        <v>24</v>
      </c>
      <c r="C1021" t="s">
        <v>929</v>
      </c>
      <c r="D1021" t="s">
        <v>135</v>
      </c>
      <c r="E1021" t="s">
        <v>3006</v>
      </c>
      <c r="F1021" t="s">
        <v>3007</v>
      </c>
      <c r="G1021" t="s">
        <v>136</v>
      </c>
      <c r="H1021" t="s">
        <v>493</v>
      </c>
      <c r="I1021" t="s">
        <v>932</v>
      </c>
      <c r="J1021" t="s">
        <v>933</v>
      </c>
      <c r="K1021" t="s">
        <v>65</v>
      </c>
      <c r="L1021" t="s">
        <v>1094</v>
      </c>
      <c r="M1021" t="s">
        <v>137</v>
      </c>
      <c r="N1021" t="s">
        <v>3021</v>
      </c>
      <c r="O1021">
        <v>1198</v>
      </c>
      <c r="P1021" t="s">
        <v>35</v>
      </c>
      <c r="R1021">
        <v>1201</v>
      </c>
      <c r="S1021">
        <v>1198</v>
      </c>
      <c r="T1021" t="s">
        <v>493</v>
      </c>
      <c r="U1021" t="s">
        <v>493</v>
      </c>
      <c r="V1021" t="s">
        <v>27</v>
      </c>
      <c r="W1021" t="s">
        <v>66</v>
      </c>
      <c r="X1021" t="s">
        <v>67</v>
      </c>
      <c r="Y1021" t="s">
        <v>138</v>
      </c>
      <c r="AA1021" t="s">
        <v>494</v>
      </c>
      <c r="AC1021" t="s">
        <v>139</v>
      </c>
      <c r="AD1021" t="s">
        <v>3313</v>
      </c>
      <c r="AG1021" t="s">
        <v>493</v>
      </c>
      <c r="AH1021" t="s">
        <v>68</v>
      </c>
      <c r="AI1021" t="s">
        <v>493</v>
      </c>
    </row>
    <row r="1022" spans="1:35" customFormat="1">
      <c r="A1022" t="s">
        <v>23</v>
      </c>
      <c r="B1022" t="s">
        <v>24</v>
      </c>
      <c r="C1022" t="s">
        <v>929</v>
      </c>
      <c r="D1022" t="s">
        <v>135</v>
      </c>
      <c r="E1022" t="s">
        <v>3006</v>
      </c>
      <c r="F1022" t="s">
        <v>3007</v>
      </c>
      <c r="G1022" t="s">
        <v>136</v>
      </c>
      <c r="H1022" t="s">
        <v>493</v>
      </c>
      <c r="I1022" t="s">
        <v>932</v>
      </c>
      <c r="J1022" t="s">
        <v>933</v>
      </c>
      <c r="K1022" t="s">
        <v>65</v>
      </c>
      <c r="L1022" t="s">
        <v>1094</v>
      </c>
      <c r="M1022" t="s">
        <v>137</v>
      </c>
      <c r="N1022" t="s">
        <v>3022</v>
      </c>
      <c r="O1022">
        <v>1212</v>
      </c>
      <c r="P1022" t="s">
        <v>35</v>
      </c>
      <c r="R1022">
        <v>1215</v>
      </c>
      <c r="S1022">
        <v>1212</v>
      </c>
      <c r="T1022" t="s">
        <v>493</v>
      </c>
      <c r="U1022" t="s">
        <v>493</v>
      </c>
      <c r="V1022" t="s">
        <v>27</v>
      </c>
      <c r="W1022" t="s">
        <v>66</v>
      </c>
      <c r="X1022" t="s">
        <v>67</v>
      </c>
      <c r="Y1022" t="s">
        <v>138</v>
      </c>
      <c r="AA1022" t="s">
        <v>494</v>
      </c>
      <c r="AC1022" t="s">
        <v>139</v>
      </c>
      <c r="AD1022" t="s">
        <v>3023</v>
      </c>
      <c r="AG1022" t="s">
        <v>493</v>
      </c>
      <c r="AH1022" t="s">
        <v>68</v>
      </c>
      <c r="AI1022" t="s">
        <v>493</v>
      </c>
    </row>
    <row r="1023" spans="1:35" customFormat="1">
      <c r="A1023" t="s">
        <v>23</v>
      </c>
      <c r="B1023" t="s">
        <v>24</v>
      </c>
      <c r="C1023" t="s">
        <v>929</v>
      </c>
      <c r="D1023" t="s">
        <v>135</v>
      </c>
      <c r="E1023" t="s">
        <v>3006</v>
      </c>
      <c r="F1023" t="s">
        <v>3007</v>
      </c>
      <c r="G1023" t="s">
        <v>136</v>
      </c>
      <c r="H1023" t="s">
        <v>493</v>
      </c>
      <c r="I1023" t="s">
        <v>932</v>
      </c>
      <c r="J1023" t="s">
        <v>933</v>
      </c>
      <c r="K1023" t="s">
        <v>65</v>
      </c>
      <c r="L1023" t="s">
        <v>1094</v>
      </c>
      <c r="M1023" t="s">
        <v>137</v>
      </c>
      <c r="N1023" t="s">
        <v>3024</v>
      </c>
      <c r="O1023">
        <v>1201</v>
      </c>
      <c r="P1023" t="s">
        <v>35</v>
      </c>
      <c r="R1023">
        <v>1204</v>
      </c>
      <c r="S1023">
        <v>1201</v>
      </c>
      <c r="T1023" t="s">
        <v>493</v>
      </c>
      <c r="U1023" t="s">
        <v>493</v>
      </c>
      <c r="V1023" t="s">
        <v>27</v>
      </c>
      <c r="W1023" t="s">
        <v>66</v>
      </c>
      <c r="X1023" t="s">
        <v>67</v>
      </c>
      <c r="Y1023" t="s">
        <v>138</v>
      </c>
      <c r="AA1023" t="s">
        <v>494</v>
      </c>
      <c r="AC1023" t="s">
        <v>139</v>
      </c>
      <c r="AD1023" t="s">
        <v>3314</v>
      </c>
      <c r="AG1023" t="s">
        <v>493</v>
      </c>
      <c r="AH1023" t="s">
        <v>68</v>
      </c>
      <c r="AI1023" t="s">
        <v>493</v>
      </c>
    </row>
    <row r="1024" spans="1:35" customFormat="1">
      <c r="A1024" t="s">
        <v>23</v>
      </c>
      <c r="B1024" t="s">
        <v>24</v>
      </c>
      <c r="C1024" t="s">
        <v>929</v>
      </c>
      <c r="D1024" t="s">
        <v>135</v>
      </c>
      <c r="E1024" t="s">
        <v>3006</v>
      </c>
      <c r="F1024" t="s">
        <v>3007</v>
      </c>
      <c r="G1024" t="s">
        <v>136</v>
      </c>
      <c r="H1024" t="s">
        <v>493</v>
      </c>
      <c r="I1024" t="s">
        <v>932</v>
      </c>
      <c r="J1024" t="s">
        <v>933</v>
      </c>
      <c r="K1024" t="s">
        <v>65</v>
      </c>
      <c r="L1024" t="s">
        <v>1094</v>
      </c>
      <c r="M1024" t="s">
        <v>137</v>
      </c>
      <c r="N1024" t="s">
        <v>3025</v>
      </c>
      <c r="O1024">
        <v>1181</v>
      </c>
      <c r="P1024" t="s">
        <v>35</v>
      </c>
      <c r="R1024">
        <v>1184</v>
      </c>
      <c r="S1024">
        <v>1181</v>
      </c>
      <c r="T1024" t="s">
        <v>493</v>
      </c>
      <c r="U1024" t="s">
        <v>493</v>
      </c>
      <c r="V1024" t="s">
        <v>27</v>
      </c>
      <c r="W1024" t="s">
        <v>66</v>
      </c>
      <c r="X1024" t="s">
        <v>67</v>
      </c>
      <c r="Y1024" t="s">
        <v>138</v>
      </c>
      <c r="AA1024" t="s">
        <v>494</v>
      </c>
      <c r="AC1024" t="s">
        <v>139</v>
      </c>
      <c r="AD1024" t="s">
        <v>3315</v>
      </c>
      <c r="AG1024" t="s">
        <v>493</v>
      </c>
      <c r="AH1024" t="s">
        <v>68</v>
      </c>
      <c r="AI1024" t="s">
        <v>493</v>
      </c>
    </row>
    <row r="1025" spans="1:35" customFormat="1">
      <c r="A1025" t="s">
        <v>23</v>
      </c>
      <c r="B1025" t="s">
        <v>24</v>
      </c>
      <c r="C1025" t="s">
        <v>929</v>
      </c>
      <c r="D1025" t="s">
        <v>135</v>
      </c>
      <c r="E1025" t="s">
        <v>3006</v>
      </c>
      <c r="F1025" t="s">
        <v>3007</v>
      </c>
      <c r="G1025" t="s">
        <v>136</v>
      </c>
      <c r="H1025" t="s">
        <v>493</v>
      </c>
      <c r="I1025" t="s">
        <v>932</v>
      </c>
      <c r="J1025" t="s">
        <v>933</v>
      </c>
      <c r="K1025" t="s">
        <v>65</v>
      </c>
      <c r="L1025" t="s">
        <v>1094</v>
      </c>
      <c r="M1025" t="s">
        <v>137</v>
      </c>
      <c r="N1025" t="s">
        <v>3026</v>
      </c>
      <c r="O1025">
        <v>1193</v>
      </c>
      <c r="P1025" t="s">
        <v>35</v>
      </c>
      <c r="R1025">
        <v>1196</v>
      </c>
      <c r="S1025">
        <v>1193</v>
      </c>
      <c r="T1025" t="s">
        <v>493</v>
      </c>
      <c r="U1025" t="s">
        <v>493</v>
      </c>
      <c r="V1025" t="s">
        <v>27</v>
      </c>
      <c r="W1025" t="s">
        <v>66</v>
      </c>
      <c r="X1025" t="s">
        <v>67</v>
      </c>
      <c r="Y1025" t="s">
        <v>138</v>
      </c>
      <c r="AA1025" t="s">
        <v>494</v>
      </c>
      <c r="AC1025" t="s">
        <v>139</v>
      </c>
      <c r="AD1025" t="s">
        <v>3316</v>
      </c>
      <c r="AG1025" t="s">
        <v>493</v>
      </c>
      <c r="AH1025" t="s">
        <v>68</v>
      </c>
      <c r="AI1025" t="s">
        <v>493</v>
      </c>
    </row>
    <row r="1026" spans="1:35" customFormat="1">
      <c r="A1026" t="s">
        <v>23</v>
      </c>
      <c r="B1026" t="s">
        <v>24</v>
      </c>
      <c r="C1026" t="s">
        <v>929</v>
      </c>
      <c r="D1026" t="s">
        <v>135</v>
      </c>
      <c r="E1026" t="s">
        <v>3006</v>
      </c>
      <c r="F1026" t="s">
        <v>3007</v>
      </c>
      <c r="G1026" t="s">
        <v>136</v>
      </c>
      <c r="H1026" t="s">
        <v>493</v>
      </c>
      <c r="I1026" t="s">
        <v>932</v>
      </c>
      <c r="J1026" t="s">
        <v>933</v>
      </c>
      <c r="K1026" t="s">
        <v>65</v>
      </c>
      <c r="L1026" t="s">
        <v>1094</v>
      </c>
      <c r="M1026" t="s">
        <v>137</v>
      </c>
      <c r="N1026" t="s">
        <v>3027</v>
      </c>
      <c r="O1026">
        <v>1201</v>
      </c>
      <c r="P1026" t="s">
        <v>35</v>
      </c>
      <c r="R1026">
        <v>1204</v>
      </c>
      <c r="S1026">
        <v>1201</v>
      </c>
      <c r="T1026" t="s">
        <v>493</v>
      </c>
      <c r="U1026" t="s">
        <v>493</v>
      </c>
      <c r="V1026" t="s">
        <v>27</v>
      </c>
      <c r="W1026" t="s">
        <v>66</v>
      </c>
      <c r="X1026" t="s">
        <v>67</v>
      </c>
      <c r="Y1026" t="s">
        <v>138</v>
      </c>
      <c r="AA1026" t="s">
        <v>494</v>
      </c>
      <c r="AC1026" t="s">
        <v>139</v>
      </c>
      <c r="AD1026" t="s">
        <v>3317</v>
      </c>
      <c r="AG1026" t="s">
        <v>493</v>
      </c>
      <c r="AH1026" t="s">
        <v>68</v>
      </c>
      <c r="AI1026" t="s">
        <v>493</v>
      </c>
    </row>
    <row r="1027" spans="1:35" customFormat="1">
      <c r="A1027" t="s">
        <v>23</v>
      </c>
      <c r="B1027" t="s">
        <v>24</v>
      </c>
      <c r="C1027" t="s">
        <v>929</v>
      </c>
      <c r="D1027" t="s">
        <v>135</v>
      </c>
      <c r="E1027" t="s">
        <v>3006</v>
      </c>
      <c r="F1027" t="s">
        <v>3007</v>
      </c>
      <c r="G1027" t="s">
        <v>136</v>
      </c>
      <c r="H1027" t="s">
        <v>493</v>
      </c>
      <c r="I1027" t="s">
        <v>932</v>
      </c>
      <c r="J1027" t="s">
        <v>933</v>
      </c>
      <c r="K1027" t="s">
        <v>65</v>
      </c>
      <c r="L1027" t="s">
        <v>1094</v>
      </c>
      <c r="M1027" t="s">
        <v>137</v>
      </c>
      <c r="N1027" t="s">
        <v>3028</v>
      </c>
      <c r="O1027">
        <v>1187</v>
      </c>
      <c r="P1027" t="s">
        <v>35</v>
      </c>
      <c r="R1027">
        <v>1190</v>
      </c>
      <c r="S1027">
        <v>1187</v>
      </c>
      <c r="T1027" t="s">
        <v>493</v>
      </c>
      <c r="U1027" t="s">
        <v>493</v>
      </c>
      <c r="V1027" t="s">
        <v>27</v>
      </c>
      <c r="W1027" t="s">
        <v>66</v>
      </c>
      <c r="X1027" t="s">
        <v>67</v>
      </c>
      <c r="Y1027" t="s">
        <v>138</v>
      </c>
      <c r="AA1027" t="s">
        <v>494</v>
      </c>
      <c r="AC1027" t="s">
        <v>139</v>
      </c>
      <c r="AD1027" t="s">
        <v>3318</v>
      </c>
      <c r="AG1027" t="s">
        <v>493</v>
      </c>
      <c r="AH1027" t="s">
        <v>68</v>
      </c>
      <c r="AI1027" t="s">
        <v>493</v>
      </c>
    </row>
    <row r="1028" spans="1:35" customFormat="1">
      <c r="A1028" t="s">
        <v>23</v>
      </c>
      <c r="B1028" t="s">
        <v>24</v>
      </c>
      <c r="C1028" t="s">
        <v>929</v>
      </c>
      <c r="D1028" t="s">
        <v>135</v>
      </c>
      <c r="E1028" t="s">
        <v>3006</v>
      </c>
      <c r="F1028" t="s">
        <v>3007</v>
      </c>
      <c r="G1028" t="s">
        <v>136</v>
      </c>
      <c r="H1028" t="s">
        <v>493</v>
      </c>
      <c r="I1028" t="s">
        <v>932</v>
      </c>
      <c r="J1028" t="s">
        <v>933</v>
      </c>
      <c r="K1028" t="s">
        <v>65</v>
      </c>
      <c r="L1028" t="s">
        <v>1094</v>
      </c>
      <c r="M1028" t="s">
        <v>137</v>
      </c>
      <c r="N1028" t="s">
        <v>3029</v>
      </c>
      <c r="O1028">
        <v>1186</v>
      </c>
      <c r="P1028" t="s">
        <v>35</v>
      </c>
      <c r="R1028">
        <v>1189</v>
      </c>
      <c r="S1028">
        <v>1186</v>
      </c>
      <c r="T1028" t="s">
        <v>493</v>
      </c>
      <c r="U1028" t="s">
        <v>493</v>
      </c>
      <c r="V1028" t="s">
        <v>27</v>
      </c>
      <c r="W1028" t="s">
        <v>66</v>
      </c>
      <c r="X1028" t="s">
        <v>67</v>
      </c>
      <c r="Y1028" t="s">
        <v>138</v>
      </c>
      <c r="AA1028" t="s">
        <v>494</v>
      </c>
      <c r="AC1028" t="s">
        <v>139</v>
      </c>
      <c r="AD1028" t="s">
        <v>3319</v>
      </c>
      <c r="AG1028" t="s">
        <v>493</v>
      </c>
      <c r="AH1028" t="s">
        <v>68</v>
      </c>
      <c r="AI1028" t="s">
        <v>493</v>
      </c>
    </row>
    <row r="1029" spans="1:35" customFormat="1">
      <c r="A1029" t="s">
        <v>23</v>
      </c>
      <c r="B1029" t="s">
        <v>24</v>
      </c>
      <c r="C1029" t="s">
        <v>929</v>
      </c>
      <c r="D1029" t="s">
        <v>135</v>
      </c>
      <c r="E1029" t="s">
        <v>3006</v>
      </c>
      <c r="F1029" t="s">
        <v>3007</v>
      </c>
      <c r="G1029" t="s">
        <v>136</v>
      </c>
      <c r="H1029" t="s">
        <v>493</v>
      </c>
      <c r="I1029" t="s">
        <v>932</v>
      </c>
      <c r="J1029" t="s">
        <v>933</v>
      </c>
      <c r="K1029" t="s">
        <v>65</v>
      </c>
      <c r="L1029" t="s">
        <v>1094</v>
      </c>
      <c r="M1029" t="s">
        <v>137</v>
      </c>
      <c r="N1029" t="s">
        <v>3030</v>
      </c>
      <c r="O1029">
        <v>1188</v>
      </c>
      <c r="P1029" t="s">
        <v>35</v>
      </c>
      <c r="R1029">
        <v>1191</v>
      </c>
      <c r="S1029">
        <v>1188</v>
      </c>
      <c r="T1029" t="s">
        <v>493</v>
      </c>
      <c r="U1029" t="s">
        <v>493</v>
      </c>
      <c r="V1029" t="s">
        <v>27</v>
      </c>
      <c r="W1029" t="s">
        <v>66</v>
      </c>
      <c r="X1029" t="s">
        <v>67</v>
      </c>
      <c r="Y1029" t="s">
        <v>138</v>
      </c>
      <c r="AA1029" t="s">
        <v>494</v>
      </c>
      <c r="AC1029" t="s">
        <v>139</v>
      </c>
      <c r="AD1029" t="s">
        <v>3031</v>
      </c>
      <c r="AG1029" t="s">
        <v>493</v>
      </c>
      <c r="AH1029" t="s">
        <v>68</v>
      </c>
      <c r="AI1029" t="s">
        <v>493</v>
      </c>
    </row>
    <row r="1030" spans="1:35" customFormat="1">
      <c r="A1030" t="s">
        <v>23</v>
      </c>
      <c r="B1030" t="s">
        <v>24</v>
      </c>
      <c r="C1030" t="s">
        <v>929</v>
      </c>
      <c r="D1030" t="s">
        <v>135</v>
      </c>
      <c r="E1030" t="s">
        <v>3006</v>
      </c>
      <c r="F1030" t="s">
        <v>3007</v>
      </c>
      <c r="G1030" t="s">
        <v>136</v>
      </c>
      <c r="H1030" t="s">
        <v>493</v>
      </c>
      <c r="I1030" t="s">
        <v>932</v>
      </c>
      <c r="J1030" t="s">
        <v>933</v>
      </c>
      <c r="K1030" t="s">
        <v>65</v>
      </c>
      <c r="L1030" t="s">
        <v>1094</v>
      </c>
      <c r="M1030" t="s">
        <v>137</v>
      </c>
      <c r="N1030" t="s">
        <v>3032</v>
      </c>
      <c r="O1030">
        <v>1203</v>
      </c>
      <c r="P1030" t="s">
        <v>35</v>
      </c>
      <c r="R1030">
        <v>1206</v>
      </c>
      <c r="S1030">
        <v>1203</v>
      </c>
      <c r="T1030" t="s">
        <v>493</v>
      </c>
      <c r="U1030" t="s">
        <v>493</v>
      </c>
      <c r="V1030" t="s">
        <v>27</v>
      </c>
      <c r="W1030" t="s">
        <v>66</v>
      </c>
      <c r="X1030" t="s">
        <v>67</v>
      </c>
      <c r="Y1030" t="s">
        <v>138</v>
      </c>
      <c r="AA1030" t="s">
        <v>494</v>
      </c>
      <c r="AC1030" t="s">
        <v>139</v>
      </c>
      <c r="AD1030" t="s">
        <v>3320</v>
      </c>
      <c r="AG1030" t="s">
        <v>493</v>
      </c>
      <c r="AH1030" t="s">
        <v>68</v>
      </c>
      <c r="AI1030" t="s">
        <v>493</v>
      </c>
    </row>
    <row r="1031" spans="1:35" customFormat="1">
      <c r="A1031" t="s">
        <v>23</v>
      </c>
      <c r="B1031" t="s">
        <v>24</v>
      </c>
      <c r="C1031" t="s">
        <v>929</v>
      </c>
      <c r="D1031" t="s">
        <v>135</v>
      </c>
      <c r="E1031" t="s">
        <v>3006</v>
      </c>
      <c r="F1031" t="s">
        <v>3007</v>
      </c>
      <c r="G1031" t="s">
        <v>136</v>
      </c>
      <c r="H1031" t="s">
        <v>493</v>
      </c>
      <c r="I1031" t="s">
        <v>932</v>
      </c>
      <c r="J1031" t="s">
        <v>933</v>
      </c>
      <c r="K1031" t="s">
        <v>65</v>
      </c>
      <c r="L1031" t="s">
        <v>1094</v>
      </c>
      <c r="M1031" t="s">
        <v>137</v>
      </c>
      <c r="N1031" t="s">
        <v>3033</v>
      </c>
      <c r="O1031">
        <v>1189</v>
      </c>
      <c r="P1031" t="s">
        <v>35</v>
      </c>
      <c r="R1031">
        <v>1192</v>
      </c>
      <c r="S1031">
        <v>1189</v>
      </c>
      <c r="T1031" t="s">
        <v>493</v>
      </c>
      <c r="U1031" t="s">
        <v>493</v>
      </c>
      <c r="V1031" t="s">
        <v>27</v>
      </c>
      <c r="W1031" t="s">
        <v>66</v>
      </c>
      <c r="X1031" t="s">
        <v>67</v>
      </c>
      <c r="Y1031" t="s">
        <v>138</v>
      </c>
      <c r="AA1031" t="s">
        <v>494</v>
      </c>
      <c r="AC1031" t="s">
        <v>139</v>
      </c>
      <c r="AD1031" t="s">
        <v>3321</v>
      </c>
      <c r="AG1031" t="s">
        <v>493</v>
      </c>
      <c r="AH1031" t="s">
        <v>68</v>
      </c>
      <c r="AI1031" t="s">
        <v>493</v>
      </c>
    </row>
    <row r="1032" spans="1:35" customFormat="1">
      <c r="A1032" t="s">
        <v>23</v>
      </c>
      <c r="B1032" t="s">
        <v>24</v>
      </c>
      <c r="C1032" t="s">
        <v>929</v>
      </c>
      <c r="D1032" t="s">
        <v>135</v>
      </c>
      <c r="E1032" t="s">
        <v>3006</v>
      </c>
      <c r="F1032" t="s">
        <v>3007</v>
      </c>
      <c r="G1032" t="s">
        <v>136</v>
      </c>
      <c r="H1032" t="s">
        <v>493</v>
      </c>
      <c r="I1032" t="s">
        <v>932</v>
      </c>
      <c r="J1032" t="s">
        <v>933</v>
      </c>
      <c r="K1032" t="s">
        <v>65</v>
      </c>
      <c r="L1032" t="s">
        <v>1094</v>
      </c>
      <c r="M1032" t="s">
        <v>137</v>
      </c>
      <c r="N1032" t="s">
        <v>3034</v>
      </c>
      <c r="O1032">
        <v>1190</v>
      </c>
      <c r="P1032" t="s">
        <v>35</v>
      </c>
      <c r="R1032">
        <v>1193</v>
      </c>
      <c r="S1032">
        <v>1190</v>
      </c>
      <c r="T1032" t="s">
        <v>493</v>
      </c>
      <c r="U1032" t="s">
        <v>493</v>
      </c>
      <c r="V1032" t="s">
        <v>27</v>
      </c>
      <c r="W1032" t="s">
        <v>66</v>
      </c>
      <c r="X1032" t="s">
        <v>67</v>
      </c>
      <c r="Y1032" t="s">
        <v>138</v>
      </c>
      <c r="AA1032" t="s">
        <v>494</v>
      </c>
      <c r="AC1032" t="s">
        <v>139</v>
      </c>
      <c r="AD1032" t="s">
        <v>3035</v>
      </c>
      <c r="AG1032" t="s">
        <v>493</v>
      </c>
      <c r="AH1032" t="s">
        <v>68</v>
      </c>
      <c r="AI1032" t="s">
        <v>493</v>
      </c>
    </row>
    <row r="1033" spans="1:35" customFormat="1">
      <c r="A1033" t="s">
        <v>23</v>
      </c>
      <c r="B1033" t="s">
        <v>24</v>
      </c>
      <c r="C1033" t="s">
        <v>929</v>
      </c>
      <c r="D1033" t="s">
        <v>135</v>
      </c>
      <c r="E1033" t="s">
        <v>3006</v>
      </c>
      <c r="F1033" t="s">
        <v>3007</v>
      </c>
      <c r="G1033" t="s">
        <v>136</v>
      </c>
      <c r="H1033" t="s">
        <v>493</v>
      </c>
      <c r="I1033" t="s">
        <v>932</v>
      </c>
      <c r="J1033" t="s">
        <v>933</v>
      </c>
      <c r="K1033" t="s">
        <v>65</v>
      </c>
      <c r="L1033" t="s">
        <v>1094</v>
      </c>
      <c r="M1033" t="s">
        <v>137</v>
      </c>
      <c r="N1033" t="s">
        <v>3036</v>
      </c>
      <c r="O1033">
        <v>1190</v>
      </c>
      <c r="P1033" t="s">
        <v>35</v>
      </c>
      <c r="R1033">
        <v>1193</v>
      </c>
      <c r="S1033">
        <v>1190</v>
      </c>
      <c r="T1033" t="s">
        <v>493</v>
      </c>
      <c r="U1033" t="s">
        <v>493</v>
      </c>
      <c r="V1033" t="s">
        <v>27</v>
      </c>
      <c r="W1033" t="s">
        <v>66</v>
      </c>
      <c r="X1033" t="s">
        <v>67</v>
      </c>
      <c r="Y1033" t="s">
        <v>138</v>
      </c>
      <c r="AA1033" t="s">
        <v>494</v>
      </c>
      <c r="AC1033" t="s">
        <v>139</v>
      </c>
      <c r="AD1033" t="s">
        <v>3037</v>
      </c>
      <c r="AG1033" t="s">
        <v>493</v>
      </c>
      <c r="AH1033" t="s">
        <v>68</v>
      </c>
      <c r="AI1033" t="s">
        <v>493</v>
      </c>
    </row>
    <row r="1034" spans="1:35" customFormat="1">
      <c r="A1034" t="s">
        <v>23</v>
      </c>
      <c r="B1034" t="s">
        <v>24</v>
      </c>
      <c r="C1034" t="s">
        <v>929</v>
      </c>
      <c r="D1034" t="s">
        <v>135</v>
      </c>
      <c r="E1034" t="s">
        <v>3006</v>
      </c>
      <c r="F1034" t="s">
        <v>3007</v>
      </c>
      <c r="G1034" t="s">
        <v>136</v>
      </c>
      <c r="H1034" t="s">
        <v>493</v>
      </c>
      <c r="I1034" t="s">
        <v>932</v>
      </c>
      <c r="J1034" t="s">
        <v>933</v>
      </c>
      <c r="K1034" t="s">
        <v>65</v>
      </c>
      <c r="L1034" t="s">
        <v>1094</v>
      </c>
      <c r="M1034" t="s">
        <v>137</v>
      </c>
      <c r="N1034" t="s">
        <v>3038</v>
      </c>
      <c r="O1034">
        <v>1191</v>
      </c>
      <c r="P1034" t="s">
        <v>35</v>
      </c>
      <c r="R1034">
        <v>1194</v>
      </c>
      <c r="S1034">
        <v>1191</v>
      </c>
      <c r="T1034" t="s">
        <v>493</v>
      </c>
      <c r="U1034" t="s">
        <v>493</v>
      </c>
      <c r="V1034" t="s">
        <v>27</v>
      </c>
      <c r="W1034" t="s">
        <v>66</v>
      </c>
      <c r="X1034" t="s">
        <v>67</v>
      </c>
      <c r="Y1034" t="s">
        <v>138</v>
      </c>
      <c r="AA1034" t="s">
        <v>494</v>
      </c>
      <c r="AC1034" t="s">
        <v>139</v>
      </c>
      <c r="AD1034" t="s">
        <v>3322</v>
      </c>
      <c r="AG1034" t="s">
        <v>493</v>
      </c>
      <c r="AH1034" t="s">
        <v>68</v>
      </c>
      <c r="AI1034" t="s">
        <v>493</v>
      </c>
    </row>
    <row r="1035" spans="1:35" customFormat="1">
      <c r="A1035" t="s">
        <v>23</v>
      </c>
      <c r="B1035" t="s">
        <v>24</v>
      </c>
      <c r="C1035" t="s">
        <v>929</v>
      </c>
      <c r="D1035" t="s">
        <v>135</v>
      </c>
      <c r="E1035" t="s">
        <v>3006</v>
      </c>
      <c r="F1035" t="s">
        <v>3007</v>
      </c>
      <c r="G1035" t="s">
        <v>136</v>
      </c>
      <c r="H1035" t="s">
        <v>493</v>
      </c>
      <c r="I1035" t="s">
        <v>932</v>
      </c>
      <c r="J1035" t="s">
        <v>933</v>
      </c>
      <c r="K1035" t="s">
        <v>65</v>
      </c>
      <c r="L1035" t="s">
        <v>1094</v>
      </c>
      <c r="M1035" t="s">
        <v>137</v>
      </c>
      <c r="N1035" t="s">
        <v>3039</v>
      </c>
      <c r="O1035">
        <v>1189</v>
      </c>
      <c r="P1035" t="s">
        <v>35</v>
      </c>
      <c r="R1035">
        <v>1192</v>
      </c>
      <c r="S1035">
        <v>1189</v>
      </c>
      <c r="T1035" t="s">
        <v>493</v>
      </c>
      <c r="U1035" t="s">
        <v>493</v>
      </c>
      <c r="V1035" t="s">
        <v>27</v>
      </c>
      <c r="W1035" t="s">
        <v>66</v>
      </c>
      <c r="X1035" t="s">
        <v>67</v>
      </c>
      <c r="Y1035" t="s">
        <v>138</v>
      </c>
      <c r="AA1035" t="s">
        <v>494</v>
      </c>
      <c r="AC1035" t="s">
        <v>139</v>
      </c>
      <c r="AD1035" t="s">
        <v>3040</v>
      </c>
      <c r="AG1035" t="s">
        <v>493</v>
      </c>
      <c r="AH1035" t="s">
        <v>68</v>
      </c>
      <c r="AI1035" t="s">
        <v>493</v>
      </c>
    </row>
    <row r="1036" spans="1:35" customFormat="1">
      <c r="A1036" t="s">
        <v>23</v>
      </c>
      <c r="B1036" t="s">
        <v>24</v>
      </c>
      <c r="C1036" t="s">
        <v>929</v>
      </c>
      <c r="D1036" t="s">
        <v>135</v>
      </c>
      <c r="E1036" t="s">
        <v>3006</v>
      </c>
      <c r="F1036" t="s">
        <v>3007</v>
      </c>
      <c r="G1036" t="s">
        <v>136</v>
      </c>
      <c r="H1036" t="s">
        <v>493</v>
      </c>
      <c r="I1036" t="s">
        <v>932</v>
      </c>
      <c r="J1036" t="s">
        <v>933</v>
      </c>
      <c r="K1036" t="s">
        <v>65</v>
      </c>
      <c r="L1036" t="s">
        <v>1094</v>
      </c>
      <c r="M1036" t="s">
        <v>137</v>
      </c>
      <c r="N1036" t="s">
        <v>3041</v>
      </c>
      <c r="O1036">
        <v>1190</v>
      </c>
      <c r="P1036" t="s">
        <v>35</v>
      </c>
      <c r="R1036">
        <v>1193</v>
      </c>
      <c r="S1036">
        <v>1190</v>
      </c>
      <c r="T1036" t="s">
        <v>493</v>
      </c>
      <c r="U1036" t="s">
        <v>493</v>
      </c>
      <c r="V1036" t="s">
        <v>27</v>
      </c>
      <c r="W1036" t="s">
        <v>66</v>
      </c>
      <c r="X1036" t="s">
        <v>67</v>
      </c>
      <c r="Y1036" t="s">
        <v>138</v>
      </c>
      <c r="AA1036" t="s">
        <v>494</v>
      </c>
      <c r="AC1036" t="s">
        <v>139</v>
      </c>
      <c r="AD1036" t="s">
        <v>3323</v>
      </c>
      <c r="AG1036" t="s">
        <v>493</v>
      </c>
      <c r="AH1036" t="s">
        <v>68</v>
      </c>
      <c r="AI1036" t="s">
        <v>493</v>
      </c>
    </row>
    <row r="1037" spans="1:35" customFormat="1">
      <c r="A1037" t="s">
        <v>23</v>
      </c>
      <c r="B1037" t="s">
        <v>24</v>
      </c>
      <c r="C1037" t="s">
        <v>929</v>
      </c>
      <c r="D1037" t="s">
        <v>135</v>
      </c>
      <c r="E1037" t="s">
        <v>3006</v>
      </c>
      <c r="F1037" t="s">
        <v>3007</v>
      </c>
      <c r="G1037" t="s">
        <v>136</v>
      </c>
      <c r="H1037" t="s">
        <v>493</v>
      </c>
      <c r="I1037" t="s">
        <v>932</v>
      </c>
      <c r="J1037" t="s">
        <v>933</v>
      </c>
      <c r="K1037" t="s">
        <v>65</v>
      </c>
      <c r="L1037" t="s">
        <v>1094</v>
      </c>
      <c r="M1037" t="s">
        <v>137</v>
      </c>
      <c r="N1037" t="s">
        <v>3042</v>
      </c>
      <c r="O1037">
        <v>1190</v>
      </c>
      <c r="P1037" t="s">
        <v>35</v>
      </c>
      <c r="R1037">
        <v>1193</v>
      </c>
      <c r="S1037">
        <v>1190</v>
      </c>
      <c r="T1037" t="s">
        <v>493</v>
      </c>
      <c r="U1037" t="s">
        <v>493</v>
      </c>
      <c r="V1037" t="s">
        <v>27</v>
      </c>
      <c r="W1037" t="s">
        <v>66</v>
      </c>
      <c r="X1037" t="s">
        <v>67</v>
      </c>
      <c r="Y1037" t="s">
        <v>138</v>
      </c>
      <c r="AA1037" t="s">
        <v>494</v>
      </c>
      <c r="AC1037" t="s">
        <v>139</v>
      </c>
      <c r="AD1037" t="s">
        <v>3043</v>
      </c>
      <c r="AG1037" t="s">
        <v>493</v>
      </c>
      <c r="AH1037" t="s">
        <v>68</v>
      </c>
      <c r="AI1037" t="s">
        <v>493</v>
      </c>
    </row>
    <row r="1038" spans="1:35" customFormat="1">
      <c r="A1038" t="s">
        <v>23</v>
      </c>
      <c r="B1038" t="s">
        <v>24</v>
      </c>
      <c r="C1038" t="s">
        <v>929</v>
      </c>
      <c r="D1038" t="s">
        <v>135</v>
      </c>
      <c r="E1038" t="s">
        <v>3006</v>
      </c>
      <c r="F1038" t="s">
        <v>3007</v>
      </c>
      <c r="G1038" t="s">
        <v>136</v>
      </c>
      <c r="H1038" t="s">
        <v>493</v>
      </c>
      <c r="I1038" t="s">
        <v>932</v>
      </c>
      <c r="J1038" t="s">
        <v>933</v>
      </c>
      <c r="K1038" t="s">
        <v>65</v>
      </c>
      <c r="L1038" t="s">
        <v>1094</v>
      </c>
      <c r="M1038" t="s">
        <v>137</v>
      </c>
      <c r="N1038" t="s">
        <v>3044</v>
      </c>
      <c r="O1038">
        <v>1190</v>
      </c>
      <c r="P1038" t="s">
        <v>35</v>
      </c>
      <c r="R1038">
        <v>1193</v>
      </c>
      <c r="S1038">
        <v>1190</v>
      </c>
      <c r="T1038" t="s">
        <v>493</v>
      </c>
      <c r="U1038" t="s">
        <v>493</v>
      </c>
      <c r="V1038" t="s">
        <v>27</v>
      </c>
      <c r="W1038" t="s">
        <v>66</v>
      </c>
      <c r="X1038" t="s">
        <v>67</v>
      </c>
      <c r="Y1038" t="s">
        <v>138</v>
      </c>
      <c r="AA1038" t="s">
        <v>494</v>
      </c>
      <c r="AC1038" t="s">
        <v>139</v>
      </c>
      <c r="AD1038" t="s">
        <v>3045</v>
      </c>
      <c r="AG1038" t="s">
        <v>493</v>
      </c>
      <c r="AH1038" t="s">
        <v>68</v>
      </c>
      <c r="AI1038" t="s">
        <v>493</v>
      </c>
    </row>
    <row r="1039" spans="1:35" customFormat="1">
      <c r="A1039" t="s">
        <v>23</v>
      </c>
      <c r="B1039" t="s">
        <v>24</v>
      </c>
      <c r="C1039" t="s">
        <v>929</v>
      </c>
      <c r="D1039" t="s">
        <v>135</v>
      </c>
      <c r="E1039" t="s">
        <v>3006</v>
      </c>
      <c r="F1039" t="s">
        <v>3007</v>
      </c>
      <c r="G1039" t="s">
        <v>136</v>
      </c>
      <c r="H1039" t="s">
        <v>493</v>
      </c>
      <c r="I1039" t="s">
        <v>932</v>
      </c>
      <c r="J1039" t="s">
        <v>933</v>
      </c>
      <c r="K1039" t="s">
        <v>65</v>
      </c>
      <c r="L1039" t="s">
        <v>1094</v>
      </c>
      <c r="M1039" t="s">
        <v>137</v>
      </c>
      <c r="N1039" t="s">
        <v>3046</v>
      </c>
      <c r="O1039">
        <v>1187</v>
      </c>
      <c r="P1039" t="s">
        <v>35</v>
      </c>
      <c r="R1039">
        <v>1190</v>
      </c>
      <c r="S1039">
        <v>1187</v>
      </c>
      <c r="T1039" t="s">
        <v>493</v>
      </c>
      <c r="U1039" t="s">
        <v>493</v>
      </c>
      <c r="V1039" t="s">
        <v>27</v>
      </c>
      <c r="W1039" t="s">
        <v>66</v>
      </c>
      <c r="X1039" t="s">
        <v>67</v>
      </c>
      <c r="Y1039" t="s">
        <v>138</v>
      </c>
      <c r="AA1039" t="s">
        <v>494</v>
      </c>
      <c r="AC1039" t="s">
        <v>139</v>
      </c>
      <c r="AD1039" t="s">
        <v>3047</v>
      </c>
      <c r="AG1039" t="s">
        <v>493</v>
      </c>
      <c r="AH1039" t="s">
        <v>68</v>
      </c>
      <c r="AI1039" t="s">
        <v>493</v>
      </c>
    </row>
    <row r="1040" spans="1:35" customFormat="1">
      <c r="A1040" t="s">
        <v>23</v>
      </c>
      <c r="B1040" t="s">
        <v>24</v>
      </c>
      <c r="C1040" t="s">
        <v>929</v>
      </c>
      <c r="D1040" t="s">
        <v>135</v>
      </c>
      <c r="E1040" t="s">
        <v>3006</v>
      </c>
      <c r="F1040" t="s">
        <v>3007</v>
      </c>
      <c r="G1040" t="s">
        <v>136</v>
      </c>
      <c r="H1040" t="s">
        <v>493</v>
      </c>
      <c r="I1040" t="s">
        <v>932</v>
      </c>
      <c r="J1040" t="s">
        <v>933</v>
      </c>
      <c r="K1040" t="s">
        <v>65</v>
      </c>
      <c r="L1040" t="s">
        <v>1094</v>
      </c>
      <c r="M1040" t="s">
        <v>137</v>
      </c>
      <c r="N1040" t="s">
        <v>3048</v>
      </c>
      <c r="O1040">
        <v>1185</v>
      </c>
      <c r="P1040" t="s">
        <v>35</v>
      </c>
      <c r="R1040">
        <v>1188</v>
      </c>
      <c r="S1040">
        <v>1185</v>
      </c>
      <c r="T1040" t="s">
        <v>493</v>
      </c>
      <c r="U1040" t="s">
        <v>493</v>
      </c>
      <c r="V1040" t="s">
        <v>27</v>
      </c>
      <c r="W1040" t="s">
        <v>66</v>
      </c>
      <c r="X1040" t="s">
        <v>67</v>
      </c>
      <c r="Y1040" t="s">
        <v>138</v>
      </c>
      <c r="AA1040" t="s">
        <v>494</v>
      </c>
      <c r="AC1040" t="s">
        <v>139</v>
      </c>
      <c r="AD1040" t="s">
        <v>3049</v>
      </c>
      <c r="AG1040" t="s">
        <v>493</v>
      </c>
      <c r="AH1040" t="s">
        <v>68</v>
      </c>
      <c r="AI1040" t="s">
        <v>493</v>
      </c>
    </row>
    <row r="1041" spans="1:37" customFormat="1">
      <c r="A1041" t="s">
        <v>23</v>
      </c>
      <c r="B1041" t="s">
        <v>24</v>
      </c>
      <c r="C1041" t="s">
        <v>929</v>
      </c>
      <c r="D1041" t="s">
        <v>135</v>
      </c>
      <c r="E1041" t="s">
        <v>3006</v>
      </c>
      <c r="F1041" t="s">
        <v>3007</v>
      </c>
      <c r="G1041" t="s">
        <v>136</v>
      </c>
      <c r="H1041" t="s">
        <v>493</v>
      </c>
      <c r="I1041" t="s">
        <v>932</v>
      </c>
      <c r="J1041" t="s">
        <v>933</v>
      </c>
      <c r="K1041" t="s">
        <v>65</v>
      </c>
      <c r="L1041" t="s">
        <v>1094</v>
      </c>
      <c r="M1041" t="s">
        <v>137</v>
      </c>
      <c r="N1041" t="s">
        <v>3050</v>
      </c>
      <c r="O1041">
        <v>1178</v>
      </c>
      <c r="P1041" t="s">
        <v>35</v>
      </c>
      <c r="R1041">
        <v>1181</v>
      </c>
      <c r="S1041">
        <v>1178</v>
      </c>
      <c r="T1041" t="s">
        <v>493</v>
      </c>
      <c r="U1041" t="s">
        <v>493</v>
      </c>
      <c r="V1041" t="s">
        <v>27</v>
      </c>
      <c r="W1041" t="s">
        <v>66</v>
      </c>
      <c r="X1041" t="s">
        <v>67</v>
      </c>
      <c r="Y1041" t="s">
        <v>138</v>
      </c>
      <c r="AA1041" t="s">
        <v>494</v>
      </c>
      <c r="AC1041" t="s">
        <v>139</v>
      </c>
      <c r="AD1041" t="s">
        <v>3051</v>
      </c>
      <c r="AG1041" t="s">
        <v>493</v>
      </c>
      <c r="AH1041" t="s">
        <v>68</v>
      </c>
      <c r="AI1041" t="s">
        <v>493</v>
      </c>
    </row>
    <row r="1042" spans="1:37" customFormat="1">
      <c r="A1042" t="s">
        <v>23</v>
      </c>
      <c r="B1042" t="s">
        <v>24</v>
      </c>
      <c r="C1042" t="s">
        <v>929</v>
      </c>
      <c r="D1042" t="s">
        <v>135</v>
      </c>
      <c r="E1042" t="s">
        <v>3006</v>
      </c>
      <c r="F1042" t="s">
        <v>3007</v>
      </c>
      <c r="G1042" t="s">
        <v>136</v>
      </c>
      <c r="H1042" t="s">
        <v>493</v>
      </c>
      <c r="I1042" t="s">
        <v>932</v>
      </c>
      <c r="J1042" t="s">
        <v>933</v>
      </c>
      <c r="K1042" t="s">
        <v>65</v>
      </c>
      <c r="L1042" t="s">
        <v>1094</v>
      </c>
      <c r="M1042" t="s">
        <v>137</v>
      </c>
      <c r="N1042" t="s">
        <v>3052</v>
      </c>
      <c r="O1042">
        <v>1195</v>
      </c>
      <c r="P1042" t="s">
        <v>35</v>
      </c>
      <c r="R1042">
        <v>1198</v>
      </c>
      <c r="S1042">
        <v>1195</v>
      </c>
      <c r="T1042" t="s">
        <v>493</v>
      </c>
      <c r="U1042" t="s">
        <v>493</v>
      </c>
      <c r="V1042" t="s">
        <v>27</v>
      </c>
      <c r="W1042" t="s">
        <v>66</v>
      </c>
      <c r="X1042" t="s">
        <v>67</v>
      </c>
      <c r="Y1042" t="s">
        <v>138</v>
      </c>
      <c r="AA1042" t="s">
        <v>494</v>
      </c>
      <c r="AC1042" t="s">
        <v>139</v>
      </c>
      <c r="AD1042" t="s">
        <v>3324</v>
      </c>
      <c r="AG1042" t="s">
        <v>493</v>
      </c>
      <c r="AH1042" t="s">
        <v>68</v>
      </c>
      <c r="AI1042" t="s">
        <v>493</v>
      </c>
    </row>
    <row r="1043" spans="1:37" customFormat="1">
      <c r="A1043" t="s">
        <v>23</v>
      </c>
      <c r="B1043" t="s">
        <v>24</v>
      </c>
      <c r="C1043" t="s">
        <v>929</v>
      </c>
      <c r="D1043" t="s">
        <v>135</v>
      </c>
      <c r="E1043" t="s">
        <v>3006</v>
      </c>
      <c r="F1043" t="s">
        <v>3007</v>
      </c>
      <c r="G1043" t="s">
        <v>136</v>
      </c>
      <c r="H1043" t="s">
        <v>493</v>
      </c>
      <c r="I1043" t="s">
        <v>932</v>
      </c>
      <c r="J1043" t="s">
        <v>933</v>
      </c>
      <c r="K1043" t="s">
        <v>65</v>
      </c>
      <c r="L1043" t="s">
        <v>1094</v>
      </c>
      <c r="M1043" t="s">
        <v>137</v>
      </c>
      <c r="N1043" t="s">
        <v>3053</v>
      </c>
      <c r="O1043">
        <v>1198</v>
      </c>
      <c r="P1043" t="s">
        <v>35</v>
      </c>
      <c r="R1043">
        <v>1201</v>
      </c>
      <c r="S1043">
        <v>1198</v>
      </c>
      <c r="T1043" t="s">
        <v>493</v>
      </c>
      <c r="U1043" t="s">
        <v>493</v>
      </c>
      <c r="V1043" t="s">
        <v>27</v>
      </c>
      <c r="W1043" t="s">
        <v>66</v>
      </c>
      <c r="X1043" t="s">
        <v>67</v>
      </c>
      <c r="Y1043" t="s">
        <v>138</v>
      </c>
      <c r="AA1043" t="s">
        <v>494</v>
      </c>
      <c r="AC1043" t="s">
        <v>139</v>
      </c>
      <c r="AD1043" t="s">
        <v>3054</v>
      </c>
      <c r="AG1043" t="s">
        <v>493</v>
      </c>
      <c r="AH1043" t="s">
        <v>68</v>
      </c>
      <c r="AI1043" t="s">
        <v>493</v>
      </c>
    </row>
    <row r="1044" spans="1:37" customFormat="1">
      <c r="A1044" t="s">
        <v>23</v>
      </c>
      <c r="B1044" t="s">
        <v>24</v>
      </c>
      <c r="C1044" t="s">
        <v>929</v>
      </c>
      <c r="D1044" t="s">
        <v>135</v>
      </c>
      <c r="E1044" t="s">
        <v>3006</v>
      </c>
      <c r="F1044" t="s">
        <v>3007</v>
      </c>
      <c r="G1044" t="s">
        <v>136</v>
      </c>
      <c r="H1044" t="s">
        <v>493</v>
      </c>
      <c r="I1044" t="s">
        <v>932</v>
      </c>
      <c r="J1044" t="s">
        <v>933</v>
      </c>
      <c r="K1044" t="s">
        <v>65</v>
      </c>
      <c r="L1044" t="s">
        <v>1094</v>
      </c>
      <c r="M1044" t="s">
        <v>137</v>
      </c>
      <c r="N1044" t="s">
        <v>3055</v>
      </c>
      <c r="O1044">
        <v>1184</v>
      </c>
      <c r="P1044" t="s">
        <v>35</v>
      </c>
      <c r="R1044">
        <v>1187</v>
      </c>
      <c r="S1044">
        <v>1184</v>
      </c>
      <c r="T1044" t="s">
        <v>493</v>
      </c>
      <c r="U1044" t="s">
        <v>493</v>
      </c>
      <c r="V1044" t="s">
        <v>27</v>
      </c>
      <c r="W1044" t="s">
        <v>66</v>
      </c>
      <c r="X1044" t="s">
        <v>67</v>
      </c>
      <c r="Y1044" t="s">
        <v>138</v>
      </c>
      <c r="AA1044" t="s">
        <v>494</v>
      </c>
      <c r="AC1044" t="s">
        <v>139</v>
      </c>
      <c r="AD1044" t="s">
        <v>3056</v>
      </c>
      <c r="AG1044" t="s">
        <v>493</v>
      </c>
      <c r="AH1044" t="s">
        <v>68</v>
      </c>
      <c r="AI1044" t="s">
        <v>493</v>
      </c>
    </row>
    <row r="1045" spans="1:37" customFormat="1">
      <c r="A1045" t="s">
        <v>23</v>
      </c>
      <c r="B1045" t="s">
        <v>24</v>
      </c>
      <c r="C1045" t="s">
        <v>929</v>
      </c>
      <c r="D1045" t="s">
        <v>135</v>
      </c>
      <c r="E1045" t="s">
        <v>3006</v>
      </c>
      <c r="F1045" t="s">
        <v>3007</v>
      </c>
      <c r="G1045" t="s">
        <v>136</v>
      </c>
      <c r="H1045" t="s">
        <v>493</v>
      </c>
      <c r="I1045" t="s">
        <v>932</v>
      </c>
      <c r="J1045" t="s">
        <v>933</v>
      </c>
      <c r="K1045" t="s">
        <v>65</v>
      </c>
      <c r="L1045" t="s">
        <v>1094</v>
      </c>
      <c r="M1045" t="s">
        <v>137</v>
      </c>
      <c r="N1045" t="s">
        <v>3057</v>
      </c>
      <c r="O1045">
        <v>1178</v>
      </c>
      <c r="P1045" t="s">
        <v>35</v>
      </c>
      <c r="R1045">
        <v>1181</v>
      </c>
      <c r="S1045">
        <v>1178</v>
      </c>
      <c r="T1045" t="s">
        <v>493</v>
      </c>
      <c r="U1045" t="s">
        <v>493</v>
      </c>
      <c r="V1045" t="s">
        <v>27</v>
      </c>
      <c r="W1045" t="s">
        <v>66</v>
      </c>
      <c r="X1045" t="s">
        <v>67</v>
      </c>
      <c r="Y1045" t="s">
        <v>138</v>
      </c>
      <c r="AA1045" t="s">
        <v>494</v>
      </c>
      <c r="AC1045" t="s">
        <v>139</v>
      </c>
      <c r="AD1045" t="s">
        <v>3325</v>
      </c>
      <c r="AG1045" t="s">
        <v>493</v>
      </c>
      <c r="AH1045" t="s">
        <v>68</v>
      </c>
      <c r="AI1045" t="s">
        <v>493</v>
      </c>
    </row>
    <row r="1046" spans="1:37" customFormat="1">
      <c r="A1046" t="s">
        <v>23</v>
      </c>
      <c r="B1046" t="s">
        <v>24</v>
      </c>
      <c r="C1046" t="s">
        <v>929</v>
      </c>
      <c r="D1046" t="s">
        <v>135</v>
      </c>
      <c r="E1046" t="s">
        <v>3006</v>
      </c>
      <c r="F1046" t="s">
        <v>3007</v>
      </c>
      <c r="G1046" t="s">
        <v>136</v>
      </c>
      <c r="H1046" t="s">
        <v>493</v>
      </c>
      <c r="I1046" t="s">
        <v>932</v>
      </c>
      <c r="J1046" t="s">
        <v>933</v>
      </c>
      <c r="K1046" t="s">
        <v>65</v>
      </c>
      <c r="L1046" t="s">
        <v>1094</v>
      </c>
      <c r="M1046" t="s">
        <v>137</v>
      </c>
      <c r="N1046" t="s">
        <v>3058</v>
      </c>
      <c r="O1046">
        <v>1181</v>
      </c>
      <c r="P1046" t="s">
        <v>35</v>
      </c>
      <c r="R1046">
        <v>1184</v>
      </c>
      <c r="S1046">
        <v>1181</v>
      </c>
      <c r="T1046" t="s">
        <v>493</v>
      </c>
      <c r="U1046" t="s">
        <v>493</v>
      </c>
      <c r="V1046" t="s">
        <v>27</v>
      </c>
      <c r="W1046" t="s">
        <v>66</v>
      </c>
      <c r="X1046" t="s">
        <v>67</v>
      </c>
      <c r="Y1046" t="s">
        <v>138</v>
      </c>
      <c r="AA1046" t="s">
        <v>494</v>
      </c>
      <c r="AC1046" t="s">
        <v>139</v>
      </c>
      <c r="AD1046" t="s">
        <v>3326</v>
      </c>
      <c r="AG1046" t="s">
        <v>493</v>
      </c>
      <c r="AH1046" t="s">
        <v>68</v>
      </c>
      <c r="AI1046" t="s">
        <v>493</v>
      </c>
    </row>
    <row r="1047" spans="1:37" customFormat="1">
      <c r="A1047" t="s">
        <v>23</v>
      </c>
      <c r="B1047" t="s">
        <v>24</v>
      </c>
      <c r="C1047" t="s">
        <v>929</v>
      </c>
      <c r="D1047" t="s">
        <v>135</v>
      </c>
      <c r="E1047" t="s">
        <v>3006</v>
      </c>
      <c r="F1047" t="s">
        <v>3007</v>
      </c>
      <c r="G1047" t="s">
        <v>136</v>
      </c>
      <c r="H1047" t="s">
        <v>493</v>
      </c>
      <c r="I1047" t="s">
        <v>932</v>
      </c>
      <c r="J1047" t="s">
        <v>933</v>
      </c>
      <c r="K1047" t="s">
        <v>65</v>
      </c>
      <c r="L1047" t="s">
        <v>1094</v>
      </c>
      <c r="M1047" t="s">
        <v>137</v>
      </c>
      <c r="N1047" t="s">
        <v>3059</v>
      </c>
      <c r="O1047">
        <v>1205</v>
      </c>
      <c r="P1047" t="s">
        <v>35</v>
      </c>
      <c r="R1047">
        <v>1208</v>
      </c>
      <c r="S1047">
        <v>1205</v>
      </c>
      <c r="T1047" t="s">
        <v>493</v>
      </c>
      <c r="U1047" t="s">
        <v>493</v>
      </c>
      <c r="V1047" t="s">
        <v>27</v>
      </c>
      <c r="W1047" t="s">
        <v>66</v>
      </c>
      <c r="X1047" t="s">
        <v>67</v>
      </c>
      <c r="Y1047" t="s">
        <v>138</v>
      </c>
      <c r="AA1047" t="s">
        <v>494</v>
      </c>
      <c r="AC1047" t="s">
        <v>139</v>
      </c>
      <c r="AD1047" t="s">
        <v>3060</v>
      </c>
      <c r="AG1047" t="s">
        <v>493</v>
      </c>
      <c r="AH1047" t="s">
        <v>68</v>
      </c>
      <c r="AI1047" t="s">
        <v>493</v>
      </c>
    </row>
    <row r="1048" spans="1:37" customFormat="1">
      <c r="A1048" t="s">
        <v>23</v>
      </c>
      <c r="B1048" t="s">
        <v>24</v>
      </c>
      <c r="C1048" t="s">
        <v>929</v>
      </c>
      <c r="D1048" t="s">
        <v>135</v>
      </c>
      <c r="E1048" t="s">
        <v>3006</v>
      </c>
      <c r="F1048" t="s">
        <v>3007</v>
      </c>
      <c r="G1048" t="s">
        <v>136</v>
      </c>
      <c r="H1048" t="s">
        <v>493</v>
      </c>
      <c r="I1048" t="s">
        <v>932</v>
      </c>
      <c r="J1048" t="s">
        <v>933</v>
      </c>
      <c r="K1048" t="s">
        <v>65</v>
      </c>
      <c r="L1048" t="s">
        <v>1094</v>
      </c>
      <c r="M1048" t="s">
        <v>137</v>
      </c>
      <c r="N1048" t="s">
        <v>3061</v>
      </c>
      <c r="O1048">
        <v>1202</v>
      </c>
      <c r="P1048" t="s">
        <v>35</v>
      </c>
      <c r="R1048">
        <v>1205</v>
      </c>
      <c r="S1048">
        <v>1202</v>
      </c>
      <c r="T1048" t="s">
        <v>493</v>
      </c>
      <c r="U1048" t="s">
        <v>493</v>
      </c>
      <c r="V1048" t="s">
        <v>27</v>
      </c>
      <c r="W1048" t="s">
        <v>66</v>
      </c>
      <c r="X1048" t="s">
        <v>67</v>
      </c>
      <c r="Y1048" t="s">
        <v>138</v>
      </c>
      <c r="AA1048" t="s">
        <v>494</v>
      </c>
      <c r="AC1048" t="s">
        <v>139</v>
      </c>
      <c r="AD1048" t="s">
        <v>3062</v>
      </c>
      <c r="AG1048" t="s">
        <v>493</v>
      </c>
      <c r="AH1048" t="s">
        <v>68</v>
      </c>
      <c r="AI1048" t="s">
        <v>493</v>
      </c>
    </row>
    <row r="1049" spans="1:37" customFormat="1">
      <c r="A1049" t="s">
        <v>23</v>
      </c>
      <c r="B1049" t="s">
        <v>24</v>
      </c>
      <c r="C1049" t="s">
        <v>179</v>
      </c>
      <c r="D1049" t="s">
        <v>135</v>
      </c>
      <c r="E1049" t="s">
        <v>2782</v>
      </c>
      <c r="F1049" t="s">
        <v>931</v>
      </c>
      <c r="G1049" t="s">
        <v>136</v>
      </c>
      <c r="H1049" t="s">
        <v>146</v>
      </c>
      <c r="I1049" t="s">
        <v>156</v>
      </c>
      <c r="J1049" t="s">
        <v>26</v>
      </c>
      <c r="K1049" t="s">
        <v>157</v>
      </c>
      <c r="L1049" t="s">
        <v>162</v>
      </c>
      <c r="M1049" t="s">
        <v>144</v>
      </c>
      <c r="N1049" t="s">
        <v>3063</v>
      </c>
      <c r="O1049">
        <v>1</v>
      </c>
      <c r="P1049" t="s">
        <v>160</v>
      </c>
      <c r="R1049">
        <v>805</v>
      </c>
      <c r="S1049">
        <v>798.4</v>
      </c>
      <c r="T1049" t="s">
        <v>145</v>
      </c>
      <c r="U1049" t="s">
        <v>3292</v>
      </c>
      <c r="V1049" t="s">
        <v>27</v>
      </c>
      <c r="W1049" t="s">
        <v>66</v>
      </c>
      <c r="X1049" t="s">
        <v>67</v>
      </c>
      <c r="Y1049" t="s">
        <v>148</v>
      </c>
      <c r="AA1049" t="s">
        <v>494</v>
      </c>
      <c r="AC1049" t="s">
        <v>139</v>
      </c>
      <c r="AD1049" t="s">
        <v>3327</v>
      </c>
      <c r="AF1049" t="s">
        <v>493</v>
      </c>
      <c r="AG1049" t="s">
        <v>156</v>
      </c>
      <c r="AH1049" t="s">
        <v>68</v>
      </c>
      <c r="AI1049" t="s">
        <v>493</v>
      </c>
      <c r="AK1049" t="s">
        <v>3064</v>
      </c>
    </row>
    <row r="1050" spans="1:37" customFormat="1">
      <c r="A1050" t="s">
        <v>23</v>
      </c>
      <c r="B1050" t="s">
        <v>24</v>
      </c>
      <c r="C1050" t="s">
        <v>934</v>
      </c>
      <c r="D1050" t="s">
        <v>135</v>
      </c>
      <c r="E1050" t="s">
        <v>2992</v>
      </c>
      <c r="F1050" t="s">
        <v>931</v>
      </c>
      <c r="G1050" t="s">
        <v>136</v>
      </c>
      <c r="H1050" t="s">
        <v>142</v>
      </c>
      <c r="I1050" t="s">
        <v>71</v>
      </c>
      <c r="J1050" t="s">
        <v>72</v>
      </c>
      <c r="K1050" t="s">
        <v>65</v>
      </c>
      <c r="L1050" t="s">
        <v>150</v>
      </c>
      <c r="M1050" t="s">
        <v>144</v>
      </c>
      <c r="N1050" t="s">
        <v>3065</v>
      </c>
      <c r="O1050">
        <v>1143</v>
      </c>
      <c r="P1050" t="s">
        <v>35</v>
      </c>
      <c r="R1050">
        <v>1146</v>
      </c>
      <c r="S1050">
        <v>1143</v>
      </c>
      <c r="T1050" t="s">
        <v>1817</v>
      </c>
      <c r="U1050" t="s">
        <v>1818</v>
      </c>
      <c r="V1050" t="s">
        <v>27</v>
      </c>
      <c r="W1050" t="s">
        <v>66</v>
      </c>
      <c r="X1050" t="s">
        <v>67</v>
      </c>
      <c r="Y1050" t="s">
        <v>138</v>
      </c>
      <c r="AA1050" t="s">
        <v>494</v>
      </c>
      <c r="AC1050" t="s">
        <v>139</v>
      </c>
      <c r="AD1050" t="s">
        <v>3328</v>
      </c>
      <c r="AG1050" t="s">
        <v>71</v>
      </c>
      <c r="AH1050" t="s">
        <v>68</v>
      </c>
      <c r="AI1050" t="s">
        <v>493</v>
      </c>
    </row>
    <row r="1051" spans="1:37" customFormat="1">
      <c r="A1051" t="s">
        <v>23</v>
      </c>
      <c r="B1051" t="s">
        <v>24</v>
      </c>
      <c r="C1051" t="s">
        <v>179</v>
      </c>
      <c r="D1051" t="s">
        <v>135</v>
      </c>
      <c r="E1051" t="s">
        <v>2782</v>
      </c>
      <c r="F1051" t="s">
        <v>931</v>
      </c>
      <c r="G1051" t="s">
        <v>136</v>
      </c>
      <c r="H1051" t="s">
        <v>146</v>
      </c>
      <c r="I1051" t="s">
        <v>156</v>
      </c>
      <c r="J1051" t="s">
        <v>26</v>
      </c>
      <c r="K1051" t="s">
        <v>157</v>
      </c>
      <c r="L1051" t="s">
        <v>162</v>
      </c>
      <c r="M1051" t="s">
        <v>144</v>
      </c>
      <c r="N1051" t="s">
        <v>3066</v>
      </c>
      <c r="O1051">
        <v>1</v>
      </c>
      <c r="P1051" t="s">
        <v>160</v>
      </c>
      <c r="R1051">
        <v>806</v>
      </c>
      <c r="S1051">
        <v>798.4</v>
      </c>
      <c r="T1051" t="s">
        <v>145</v>
      </c>
      <c r="U1051" t="s">
        <v>3292</v>
      </c>
      <c r="V1051" t="s">
        <v>27</v>
      </c>
      <c r="W1051" t="s">
        <v>66</v>
      </c>
      <c r="X1051" t="s">
        <v>67</v>
      </c>
      <c r="Y1051" t="s">
        <v>148</v>
      </c>
      <c r="AA1051" t="s">
        <v>494</v>
      </c>
      <c r="AC1051" t="s">
        <v>139</v>
      </c>
      <c r="AD1051" t="s">
        <v>3329</v>
      </c>
      <c r="AF1051" t="s">
        <v>493</v>
      </c>
      <c r="AG1051" t="s">
        <v>156</v>
      </c>
      <c r="AH1051" t="s">
        <v>68</v>
      </c>
      <c r="AI1051" t="s">
        <v>493</v>
      </c>
      <c r="AK1051" t="s">
        <v>3067</v>
      </c>
    </row>
    <row r="1052" spans="1:37" customFormat="1">
      <c r="A1052" t="s">
        <v>23</v>
      </c>
      <c r="B1052" t="s">
        <v>24</v>
      </c>
      <c r="C1052" t="s">
        <v>934</v>
      </c>
      <c r="D1052" t="s">
        <v>135</v>
      </c>
      <c r="E1052" t="s">
        <v>2992</v>
      </c>
      <c r="F1052" t="s">
        <v>931</v>
      </c>
      <c r="G1052" t="s">
        <v>136</v>
      </c>
      <c r="H1052" t="s">
        <v>142</v>
      </c>
      <c r="I1052" t="s">
        <v>71</v>
      </c>
      <c r="J1052" t="s">
        <v>72</v>
      </c>
      <c r="K1052" t="s">
        <v>65</v>
      </c>
      <c r="L1052" t="s">
        <v>150</v>
      </c>
      <c r="M1052" t="s">
        <v>144</v>
      </c>
      <c r="N1052" t="s">
        <v>3068</v>
      </c>
      <c r="O1052">
        <v>1108</v>
      </c>
      <c r="P1052" t="s">
        <v>35</v>
      </c>
      <c r="R1052">
        <v>1111</v>
      </c>
      <c r="S1052">
        <v>1108</v>
      </c>
      <c r="T1052" t="s">
        <v>1817</v>
      </c>
      <c r="U1052" t="s">
        <v>1818</v>
      </c>
      <c r="V1052" t="s">
        <v>27</v>
      </c>
      <c r="W1052" t="s">
        <v>66</v>
      </c>
      <c r="X1052" t="s">
        <v>67</v>
      </c>
      <c r="Y1052" t="s">
        <v>138</v>
      </c>
      <c r="AA1052" t="s">
        <v>494</v>
      </c>
      <c r="AC1052" t="s">
        <v>139</v>
      </c>
      <c r="AD1052" t="s">
        <v>3330</v>
      </c>
      <c r="AG1052" t="s">
        <v>71</v>
      </c>
      <c r="AH1052" t="s">
        <v>68</v>
      </c>
      <c r="AI1052" t="s">
        <v>493</v>
      </c>
    </row>
    <row r="1053" spans="1:37" customFormat="1">
      <c r="A1053" t="s">
        <v>23</v>
      </c>
      <c r="B1053" t="s">
        <v>24</v>
      </c>
      <c r="C1053" t="s">
        <v>179</v>
      </c>
      <c r="D1053" t="s">
        <v>135</v>
      </c>
      <c r="E1053" t="s">
        <v>2782</v>
      </c>
      <c r="F1053" t="s">
        <v>931</v>
      </c>
      <c r="G1053" t="s">
        <v>136</v>
      </c>
      <c r="H1053" t="s">
        <v>146</v>
      </c>
      <c r="I1053" t="s">
        <v>156</v>
      </c>
      <c r="J1053" t="s">
        <v>26</v>
      </c>
      <c r="K1053" t="s">
        <v>157</v>
      </c>
      <c r="L1053" t="s">
        <v>162</v>
      </c>
      <c r="M1053" t="s">
        <v>144</v>
      </c>
      <c r="N1053" t="s">
        <v>3069</v>
      </c>
      <c r="O1053">
        <v>1</v>
      </c>
      <c r="P1053" t="s">
        <v>160</v>
      </c>
      <c r="R1053">
        <v>803</v>
      </c>
      <c r="S1053">
        <v>798.4</v>
      </c>
      <c r="T1053" t="s">
        <v>145</v>
      </c>
      <c r="U1053" t="s">
        <v>3292</v>
      </c>
      <c r="V1053" t="s">
        <v>27</v>
      </c>
      <c r="W1053" t="s">
        <v>66</v>
      </c>
      <c r="X1053" t="s">
        <v>67</v>
      </c>
      <c r="Y1053" t="s">
        <v>148</v>
      </c>
      <c r="AA1053" t="s">
        <v>494</v>
      </c>
      <c r="AC1053" t="s">
        <v>139</v>
      </c>
      <c r="AD1053" t="s">
        <v>3331</v>
      </c>
      <c r="AF1053" t="s">
        <v>493</v>
      </c>
      <c r="AG1053" t="s">
        <v>156</v>
      </c>
      <c r="AH1053" t="s">
        <v>68</v>
      </c>
      <c r="AI1053" t="s">
        <v>493</v>
      </c>
      <c r="AK1053" t="s">
        <v>3070</v>
      </c>
    </row>
    <row r="1054" spans="1:37" customFormat="1">
      <c r="A1054" t="s">
        <v>23</v>
      </c>
      <c r="B1054" t="s">
        <v>24</v>
      </c>
      <c r="C1054" t="s">
        <v>934</v>
      </c>
      <c r="D1054" t="s">
        <v>135</v>
      </c>
      <c r="E1054" t="s">
        <v>2992</v>
      </c>
      <c r="F1054" t="s">
        <v>931</v>
      </c>
      <c r="G1054" t="s">
        <v>136</v>
      </c>
      <c r="H1054" t="s">
        <v>142</v>
      </c>
      <c r="I1054" t="s">
        <v>71</v>
      </c>
      <c r="J1054" t="s">
        <v>72</v>
      </c>
      <c r="K1054" t="s">
        <v>65</v>
      </c>
      <c r="L1054" t="s">
        <v>150</v>
      </c>
      <c r="M1054" t="s">
        <v>144</v>
      </c>
      <c r="N1054" t="s">
        <v>3071</v>
      </c>
      <c r="O1054">
        <v>1126</v>
      </c>
      <c r="P1054" t="s">
        <v>35</v>
      </c>
      <c r="R1054">
        <v>1129</v>
      </c>
      <c r="S1054">
        <v>1126</v>
      </c>
      <c r="T1054" t="s">
        <v>1817</v>
      </c>
      <c r="U1054" t="s">
        <v>1818</v>
      </c>
      <c r="V1054" t="s">
        <v>27</v>
      </c>
      <c r="W1054" t="s">
        <v>66</v>
      </c>
      <c r="X1054" t="s">
        <v>67</v>
      </c>
      <c r="Y1054" t="s">
        <v>138</v>
      </c>
      <c r="AA1054" t="s">
        <v>494</v>
      </c>
      <c r="AC1054" t="s">
        <v>139</v>
      </c>
      <c r="AD1054" t="s">
        <v>3332</v>
      </c>
      <c r="AG1054" t="s">
        <v>71</v>
      </c>
      <c r="AH1054" t="s">
        <v>68</v>
      </c>
      <c r="AI1054" t="s">
        <v>493</v>
      </c>
    </row>
    <row r="1055" spans="1:37" customFormat="1">
      <c r="A1055" t="s">
        <v>23</v>
      </c>
      <c r="B1055" t="s">
        <v>24</v>
      </c>
      <c r="C1055" t="s">
        <v>179</v>
      </c>
      <c r="D1055" t="s">
        <v>135</v>
      </c>
      <c r="E1055" t="s">
        <v>2782</v>
      </c>
      <c r="F1055" t="s">
        <v>931</v>
      </c>
      <c r="G1055" t="s">
        <v>136</v>
      </c>
      <c r="H1055" t="s">
        <v>146</v>
      </c>
      <c r="I1055" t="s">
        <v>156</v>
      </c>
      <c r="J1055" t="s">
        <v>26</v>
      </c>
      <c r="K1055" t="s">
        <v>157</v>
      </c>
      <c r="L1055" t="s">
        <v>162</v>
      </c>
      <c r="M1055" t="s">
        <v>144</v>
      </c>
      <c r="N1055" t="s">
        <v>3072</v>
      </c>
      <c r="O1055">
        <v>1</v>
      </c>
      <c r="P1055" t="s">
        <v>160</v>
      </c>
      <c r="R1055">
        <v>805</v>
      </c>
      <c r="S1055">
        <v>798.4</v>
      </c>
      <c r="T1055" t="s">
        <v>145</v>
      </c>
      <c r="U1055" t="s">
        <v>3292</v>
      </c>
      <c r="V1055" t="s">
        <v>27</v>
      </c>
      <c r="W1055" t="s">
        <v>66</v>
      </c>
      <c r="X1055" t="s">
        <v>67</v>
      </c>
      <c r="Y1055" t="s">
        <v>148</v>
      </c>
      <c r="AA1055" t="s">
        <v>494</v>
      </c>
      <c r="AC1055" t="s">
        <v>139</v>
      </c>
      <c r="AD1055" t="s">
        <v>3333</v>
      </c>
      <c r="AF1055" t="s">
        <v>493</v>
      </c>
      <c r="AG1055" t="s">
        <v>156</v>
      </c>
      <c r="AH1055" t="s">
        <v>68</v>
      </c>
      <c r="AI1055" t="s">
        <v>493</v>
      </c>
      <c r="AK1055" t="s">
        <v>3073</v>
      </c>
    </row>
    <row r="1056" spans="1:37" customFormat="1">
      <c r="A1056" t="s">
        <v>23</v>
      </c>
      <c r="B1056" t="s">
        <v>24</v>
      </c>
      <c r="C1056" t="s">
        <v>934</v>
      </c>
      <c r="D1056" t="s">
        <v>135</v>
      </c>
      <c r="E1056" t="s">
        <v>2992</v>
      </c>
      <c r="F1056" t="s">
        <v>931</v>
      </c>
      <c r="G1056" t="s">
        <v>136</v>
      </c>
      <c r="H1056" t="s">
        <v>142</v>
      </c>
      <c r="I1056" t="s">
        <v>71</v>
      </c>
      <c r="J1056" t="s">
        <v>72</v>
      </c>
      <c r="K1056" t="s">
        <v>65</v>
      </c>
      <c r="L1056" t="s">
        <v>150</v>
      </c>
      <c r="M1056" t="s">
        <v>144</v>
      </c>
      <c r="N1056" t="s">
        <v>3074</v>
      </c>
      <c r="O1056">
        <v>1111</v>
      </c>
      <c r="P1056" t="s">
        <v>35</v>
      </c>
      <c r="R1056">
        <v>1114</v>
      </c>
      <c r="S1056">
        <v>1111</v>
      </c>
      <c r="T1056" t="s">
        <v>1817</v>
      </c>
      <c r="U1056" t="s">
        <v>1818</v>
      </c>
      <c r="V1056" t="s">
        <v>27</v>
      </c>
      <c r="W1056" t="s">
        <v>66</v>
      </c>
      <c r="X1056" t="s">
        <v>67</v>
      </c>
      <c r="Y1056" t="s">
        <v>138</v>
      </c>
      <c r="AA1056" t="s">
        <v>494</v>
      </c>
      <c r="AC1056" t="s">
        <v>139</v>
      </c>
      <c r="AD1056" t="s">
        <v>3334</v>
      </c>
      <c r="AG1056" t="s">
        <v>71</v>
      </c>
      <c r="AH1056" t="s">
        <v>68</v>
      </c>
      <c r="AI1056" t="s">
        <v>493</v>
      </c>
    </row>
    <row r="1057" spans="1:37" customFormat="1">
      <c r="A1057" t="s">
        <v>23</v>
      </c>
      <c r="B1057" t="s">
        <v>24</v>
      </c>
      <c r="C1057" t="s">
        <v>934</v>
      </c>
      <c r="D1057" t="s">
        <v>135</v>
      </c>
      <c r="E1057" t="s">
        <v>2992</v>
      </c>
      <c r="F1057" t="s">
        <v>931</v>
      </c>
      <c r="G1057" t="s">
        <v>136</v>
      </c>
      <c r="H1057" t="s">
        <v>142</v>
      </c>
      <c r="I1057" t="s">
        <v>71</v>
      </c>
      <c r="J1057" t="s">
        <v>72</v>
      </c>
      <c r="K1057" t="s">
        <v>65</v>
      </c>
      <c r="L1057" t="s">
        <v>150</v>
      </c>
      <c r="M1057" t="s">
        <v>144</v>
      </c>
      <c r="N1057" t="s">
        <v>3075</v>
      </c>
      <c r="O1057">
        <v>1179</v>
      </c>
      <c r="P1057" t="s">
        <v>35</v>
      </c>
      <c r="R1057">
        <v>1182</v>
      </c>
      <c r="S1057">
        <v>1179</v>
      </c>
      <c r="T1057" t="s">
        <v>1817</v>
      </c>
      <c r="U1057" t="s">
        <v>1818</v>
      </c>
      <c r="V1057" t="s">
        <v>27</v>
      </c>
      <c r="W1057" t="s">
        <v>66</v>
      </c>
      <c r="X1057" t="s">
        <v>67</v>
      </c>
      <c r="Y1057" t="s">
        <v>138</v>
      </c>
      <c r="AA1057" t="s">
        <v>494</v>
      </c>
      <c r="AC1057" t="s">
        <v>139</v>
      </c>
      <c r="AD1057" t="s">
        <v>3335</v>
      </c>
      <c r="AG1057" t="s">
        <v>71</v>
      </c>
      <c r="AH1057" t="s">
        <v>68</v>
      </c>
      <c r="AI1057" t="s">
        <v>493</v>
      </c>
    </row>
    <row r="1058" spans="1:37" customFormat="1">
      <c r="A1058" t="s">
        <v>23</v>
      </c>
      <c r="B1058" t="s">
        <v>24</v>
      </c>
      <c r="C1058" t="s">
        <v>934</v>
      </c>
      <c r="D1058" t="s">
        <v>135</v>
      </c>
      <c r="E1058" t="s">
        <v>2992</v>
      </c>
      <c r="F1058" t="s">
        <v>931</v>
      </c>
      <c r="G1058" t="s">
        <v>136</v>
      </c>
      <c r="H1058" t="s">
        <v>142</v>
      </c>
      <c r="I1058" t="s">
        <v>71</v>
      </c>
      <c r="J1058" t="s">
        <v>72</v>
      </c>
      <c r="K1058" t="s">
        <v>65</v>
      </c>
      <c r="L1058" t="s">
        <v>150</v>
      </c>
      <c r="M1058" t="s">
        <v>144</v>
      </c>
      <c r="N1058" t="s">
        <v>3076</v>
      </c>
      <c r="O1058">
        <v>1142</v>
      </c>
      <c r="P1058" t="s">
        <v>35</v>
      </c>
      <c r="R1058">
        <v>1145</v>
      </c>
      <c r="S1058">
        <v>1142</v>
      </c>
      <c r="T1058" t="s">
        <v>1817</v>
      </c>
      <c r="U1058" t="s">
        <v>1818</v>
      </c>
      <c r="V1058" t="s">
        <v>27</v>
      </c>
      <c r="W1058" t="s">
        <v>66</v>
      </c>
      <c r="X1058" t="s">
        <v>67</v>
      </c>
      <c r="Y1058" t="s">
        <v>138</v>
      </c>
      <c r="AA1058" t="s">
        <v>494</v>
      </c>
      <c r="AC1058" t="s">
        <v>139</v>
      </c>
      <c r="AD1058" t="s">
        <v>3336</v>
      </c>
      <c r="AG1058" t="s">
        <v>71</v>
      </c>
      <c r="AH1058" t="s">
        <v>68</v>
      </c>
      <c r="AI1058" t="s">
        <v>493</v>
      </c>
    </row>
    <row r="1059" spans="1:37" customFormat="1">
      <c r="A1059" t="s">
        <v>23</v>
      </c>
      <c r="B1059" t="s">
        <v>24</v>
      </c>
      <c r="C1059" t="s">
        <v>179</v>
      </c>
      <c r="D1059" t="s">
        <v>135</v>
      </c>
      <c r="E1059" t="s">
        <v>2782</v>
      </c>
      <c r="F1059" t="s">
        <v>931</v>
      </c>
      <c r="G1059" t="s">
        <v>136</v>
      </c>
      <c r="H1059" t="s">
        <v>146</v>
      </c>
      <c r="I1059" t="s">
        <v>156</v>
      </c>
      <c r="J1059" t="s">
        <v>26</v>
      </c>
      <c r="K1059" t="s">
        <v>157</v>
      </c>
      <c r="L1059" t="s">
        <v>162</v>
      </c>
      <c r="M1059" t="s">
        <v>144</v>
      </c>
      <c r="N1059" t="s">
        <v>3077</v>
      </c>
      <c r="O1059">
        <v>1</v>
      </c>
      <c r="P1059" t="s">
        <v>160</v>
      </c>
      <c r="R1059">
        <v>803</v>
      </c>
      <c r="S1059">
        <v>798.4</v>
      </c>
      <c r="T1059" t="s">
        <v>145</v>
      </c>
      <c r="U1059" t="s">
        <v>3292</v>
      </c>
      <c r="V1059" t="s">
        <v>27</v>
      </c>
      <c r="W1059" t="s">
        <v>66</v>
      </c>
      <c r="X1059" t="s">
        <v>67</v>
      </c>
      <c r="Y1059" t="s">
        <v>148</v>
      </c>
      <c r="AA1059" t="s">
        <v>494</v>
      </c>
      <c r="AC1059" t="s">
        <v>139</v>
      </c>
      <c r="AD1059" t="s">
        <v>3337</v>
      </c>
      <c r="AF1059" t="s">
        <v>493</v>
      </c>
      <c r="AG1059" t="s">
        <v>156</v>
      </c>
      <c r="AH1059" t="s">
        <v>68</v>
      </c>
      <c r="AI1059" t="s">
        <v>493</v>
      </c>
      <c r="AK1059" t="s">
        <v>3078</v>
      </c>
    </row>
    <row r="1060" spans="1:37" customFormat="1">
      <c r="A1060" t="s">
        <v>23</v>
      </c>
      <c r="B1060" t="s">
        <v>24</v>
      </c>
      <c r="C1060" t="s">
        <v>934</v>
      </c>
      <c r="D1060" t="s">
        <v>135</v>
      </c>
      <c r="E1060" t="s">
        <v>2992</v>
      </c>
      <c r="F1060" t="s">
        <v>931</v>
      </c>
      <c r="G1060" t="s">
        <v>136</v>
      </c>
      <c r="H1060" t="s">
        <v>142</v>
      </c>
      <c r="I1060" t="s">
        <v>71</v>
      </c>
      <c r="J1060" t="s">
        <v>72</v>
      </c>
      <c r="K1060" t="s">
        <v>65</v>
      </c>
      <c r="L1060" t="s">
        <v>150</v>
      </c>
      <c r="M1060" t="s">
        <v>144</v>
      </c>
      <c r="N1060" t="s">
        <v>3079</v>
      </c>
      <c r="O1060">
        <v>1127</v>
      </c>
      <c r="P1060" t="s">
        <v>35</v>
      </c>
      <c r="R1060">
        <v>1130</v>
      </c>
      <c r="S1060">
        <v>1127</v>
      </c>
      <c r="T1060" t="s">
        <v>1817</v>
      </c>
      <c r="U1060" t="s">
        <v>1818</v>
      </c>
      <c r="V1060" t="s">
        <v>27</v>
      </c>
      <c r="W1060" t="s">
        <v>66</v>
      </c>
      <c r="X1060" t="s">
        <v>67</v>
      </c>
      <c r="Y1060" t="s">
        <v>138</v>
      </c>
      <c r="AA1060" t="s">
        <v>494</v>
      </c>
      <c r="AC1060" t="s">
        <v>139</v>
      </c>
      <c r="AD1060" t="s">
        <v>3338</v>
      </c>
      <c r="AG1060" t="s">
        <v>71</v>
      </c>
      <c r="AH1060" t="s">
        <v>68</v>
      </c>
      <c r="AI1060" t="s">
        <v>493</v>
      </c>
    </row>
    <row r="1061" spans="1:37" customFormat="1">
      <c r="A1061" t="s">
        <v>23</v>
      </c>
      <c r="B1061" t="s">
        <v>24</v>
      </c>
      <c r="C1061" t="s">
        <v>934</v>
      </c>
      <c r="D1061" t="s">
        <v>135</v>
      </c>
      <c r="E1061" t="s">
        <v>2992</v>
      </c>
      <c r="F1061" t="s">
        <v>931</v>
      </c>
      <c r="G1061" t="s">
        <v>136</v>
      </c>
      <c r="H1061" t="s">
        <v>142</v>
      </c>
      <c r="I1061" t="s">
        <v>71</v>
      </c>
      <c r="J1061" t="s">
        <v>72</v>
      </c>
      <c r="K1061" t="s">
        <v>65</v>
      </c>
      <c r="L1061" t="s">
        <v>150</v>
      </c>
      <c r="M1061" t="s">
        <v>144</v>
      </c>
      <c r="N1061" t="s">
        <v>3080</v>
      </c>
      <c r="O1061">
        <v>1155</v>
      </c>
      <c r="P1061" t="s">
        <v>35</v>
      </c>
      <c r="R1061">
        <v>1158</v>
      </c>
      <c r="S1061">
        <v>1155</v>
      </c>
      <c r="T1061" t="s">
        <v>1817</v>
      </c>
      <c r="U1061" t="s">
        <v>1818</v>
      </c>
      <c r="V1061" t="s">
        <v>27</v>
      </c>
      <c r="W1061" t="s">
        <v>66</v>
      </c>
      <c r="X1061" t="s">
        <v>67</v>
      </c>
      <c r="Y1061" t="s">
        <v>138</v>
      </c>
      <c r="AA1061" t="s">
        <v>494</v>
      </c>
      <c r="AC1061" t="s">
        <v>139</v>
      </c>
      <c r="AD1061" t="s">
        <v>3339</v>
      </c>
      <c r="AG1061" t="s">
        <v>71</v>
      </c>
      <c r="AH1061" t="s">
        <v>68</v>
      </c>
      <c r="AI1061" t="s">
        <v>493</v>
      </c>
    </row>
    <row r="1062" spans="1:37" customFormat="1">
      <c r="A1062" t="s">
        <v>23</v>
      </c>
      <c r="B1062" t="s">
        <v>24</v>
      </c>
      <c r="C1062" t="s">
        <v>179</v>
      </c>
      <c r="D1062" t="s">
        <v>135</v>
      </c>
      <c r="E1062" t="s">
        <v>2782</v>
      </c>
      <c r="F1062" t="s">
        <v>931</v>
      </c>
      <c r="G1062" t="s">
        <v>136</v>
      </c>
      <c r="H1062" t="s">
        <v>146</v>
      </c>
      <c r="I1062" t="s">
        <v>156</v>
      </c>
      <c r="J1062" t="s">
        <v>26</v>
      </c>
      <c r="K1062" t="s">
        <v>157</v>
      </c>
      <c r="L1062" t="s">
        <v>162</v>
      </c>
      <c r="M1062" t="s">
        <v>144</v>
      </c>
      <c r="N1062" t="s">
        <v>3081</v>
      </c>
      <c r="O1062">
        <v>1</v>
      </c>
      <c r="P1062" t="s">
        <v>160</v>
      </c>
      <c r="R1062">
        <v>805</v>
      </c>
      <c r="S1062">
        <v>798.4</v>
      </c>
      <c r="T1062" t="s">
        <v>145</v>
      </c>
      <c r="U1062" t="s">
        <v>3292</v>
      </c>
      <c r="V1062" t="s">
        <v>27</v>
      </c>
      <c r="W1062" t="s">
        <v>66</v>
      </c>
      <c r="X1062" t="s">
        <v>67</v>
      </c>
      <c r="Y1062" t="s">
        <v>148</v>
      </c>
      <c r="AA1062" t="s">
        <v>494</v>
      </c>
      <c r="AC1062" t="s">
        <v>139</v>
      </c>
      <c r="AD1062" t="s">
        <v>3340</v>
      </c>
      <c r="AF1062" t="s">
        <v>493</v>
      </c>
      <c r="AG1062" t="s">
        <v>156</v>
      </c>
      <c r="AH1062" t="s">
        <v>68</v>
      </c>
      <c r="AI1062" t="s">
        <v>493</v>
      </c>
      <c r="AK1062" t="s">
        <v>3082</v>
      </c>
    </row>
    <row r="1063" spans="1:37" customFormat="1">
      <c r="A1063" t="s">
        <v>23</v>
      </c>
      <c r="B1063" t="s">
        <v>24</v>
      </c>
      <c r="C1063" t="s">
        <v>934</v>
      </c>
      <c r="D1063" t="s">
        <v>135</v>
      </c>
      <c r="E1063" t="s">
        <v>2992</v>
      </c>
      <c r="F1063" t="s">
        <v>931</v>
      </c>
      <c r="G1063" t="s">
        <v>136</v>
      </c>
      <c r="H1063" t="s">
        <v>142</v>
      </c>
      <c r="I1063" t="s">
        <v>71</v>
      </c>
      <c r="J1063" t="s">
        <v>72</v>
      </c>
      <c r="K1063" t="s">
        <v>65</v>
      </c>
      <c r="L1063" t="s">
        <v>150</v>
      </c>
      <c r="M1063" t="s">
        <v>144</v>
      </c>
      <c r="N1063" t="s">
        <v>3083</v>
      </c>
      <c r="O1063">
        <v>1124</v>
      </c>
      <c r="P1063" t="s">
        <v>35</v>
      </c>
      <c r="R1063">
        <v>1127</v>
      </c>
      <c r="S1063">
        <v>1124</v>
      </c>
      <c r="T1063" t="s">
        <v>1817</v>
      </c>
      <c r="U1063" t="s">
        <v>1818</v>
      </c>
      <c r="V1063" t="s">
        <v>27</v>
      </c>
      <c r="W1063" t="s">
        <v>66</v>
      </c>
      <c r="X1063" t="s">
        <v>67</v>
      </c>
      <c r="Y1063" t="s">
        <v>138</v>
      </c>
      <c r="AA1063" t="s">
        <v>494</v>
      </c>
      <c r="AC1063" t="s">
        <v>139</v>
      </c>
      <c r="AD1063" t="s">
        <v>3341</v>
      </c>
      <c r="AG1063" t="s">
        <v>71</v>
      </c>
      <c r="AH1063" t="s">
        <v>68</v>
      </c>
      <c r="AI1063" t="s">
        <v>493</v>
      </c>
    </row>
    <row r="1064" spans="1:37" customFormat="1">
      <c r="A1064" t="s">
        <v>23</v>
      </c>
      <c r="B1064" t="s">
        <v>24</v>
      </c>
      <c r="C1064" t="s">
        <v>934</v>
      </c>
      <c r="D1064" t="s">
        <v>135</v>
      </c>
      <c r="E1064" t="s">
        <v>2992</v>
      </c>
      <c r="F1064" t="s">
        <v>931</v>
      </c>
      <c r="G1064" t="s">
        <v>136</v>
      </c>
      <c r="H1064" t="s">
        <v>142</v>
      </c>
      <c r="I1064" t="s">
        <v>71</v>
      </c>
      <c r="J1064" t="s">
        <v>72</v>
      </c>
      <c r="K1064" t="s">
        <v>65</v>
      </c>
      <c r="L1064" t="s">
        <v>150</v>
      </c>
      <c r="M1064" t="s">
        <v>144</v>
      </c>
      <c r="N1064" t="s">
        <v>3084</v>
      </c>
      <c r="O1064">
        <v>1157</v>
      </c>
      <c r="P1064" t="s">
        <v>35</v>
      </c>
      <c r="R1064">
        <v>1160</v>
      </c>
      <c r="S1064">
        <v>1157</v>
      </c>
      <c r="T1064" t="s">
        <v>1817</v>
      </c>
      <c r="U1064" t="s">
        <v>1818</v>
      </c>
      <c r="V1064" t="s">
        <v>27</v>
      </c>
      <c r="W1064" t="s">
        <v>66</v>
      </c>
      <c r="X1064" t="s">
        <v>67</v>
      </c>
      <c r="Y1064" t="s">
        <v>138</v>
      </c>
      <c r="AA1064" t="s">
        <v>494</v>
      </c>
      <c r="AC1064" t="s">
        <v>139</v>
      </c>
      <c r="AD1064" t="s">
        <v>3342</v>
      </c>
      <c r="AG1064" t="s">
        <v>71</v>
      </c>
      <c r="AH1064" t="s">
        <v>68</v>
      </c>
      <c r="AI1064" t="s">
        <v>493</v>
      </c>
    </row>
    <row r="1065" spans="1:37" customFormat="1">
      <c r="A1065" t="s">
        <v>23</v>
      </c>
      <c r="B1065" t="s">
        <v>24</v>
      </c>
      <c r="C1065" t="s">
        <v>179</v>
      </c>
      <c r="D1065" t="s">
        <v>135</v>
      </c>
      <c r="E1065" t="s">
        <v>2782</v>
      </c>
      <c r="F1065" t="s">
        <v>931</v>
      </c>
      <c r="G1065" t="s">
        <v>136</v>
      </c>
      <c r="H1065" t="s">
        <v>146</v>
      </c>
      <c r="I1065" t="s">
        <v>156</v>
      </c>
      <c r="J1065" t="s">
        <v>26</v>
      </c>
      <c r="K1065" t="s">
        <v>157</v>
      </c>
      <c r="L1065" t="s">
        <v>162</v>
      </c>
      <c r="M1065" t="s">
        <v>144</v>
      </c>
      <c r="N1065" t="s">
        <v>3085</v>
      </c>
      <c r="O1065">
        <v>1</v>
      </c>
      <c r="P1065" t="s">
        <v>160</v>
      </c>
      <c r="R1065">
        <v>804</v>
      </c>
      <c r="S1065">
        <v>798.4</v>
      </c>
      <c r="T1065" t="s">
        <v>145</v>
      </c>
      <c r="U1065" t="s">
        <v>3292</v>
      </c>
      <c r="V1065" t="s">
        <v>27</v>
      </c>
      <c r="W1065" t="s">
        <v>66</v>
      </c>
      <c r="X1065" t="s">
        <v>67</v>
      </c>
      <c r="Y1065" t="s">
        <v>148</v>
      </c>
      <c r="AA1065" t="s">
        <v>494</v>
      </c>
      <c r="AC1065" t="s">
        <v>139</v>
      </c>
      <c r="AD1065" t="s">
        <v>3343</v>
      </c>
      <c r="AF1065" t="s">
        <v>493</v>
      </c>
      <c r="AG1065" t="s">
        <v>156</v>
      </c>
      <c r="AH1065" t="s">
        <v>68</v>
      </c>
      <c r="AI1065" t="s">
        <v>493</v>
      </c>
      <c r="AK1065" t="s">
        <v>3086</v>
      </c>
    </row>
    <row r="1066" spans="1:37" customFormat="1">
      <c r="A1066" t="s">
        <v>23</v>
      </c>
      <c r="B1066" t="s">
        <v>24</v>
      </c>
      <c r="C1066" t="s">
        <v>179</v>
      </c>
      <c r="D1066" t="s">
        <v>135</v>
      </c>
      <c r="E1066" t="s">
        <v>2782</v>
      </c>
      <c r="F1066" t="s">
        <v>931</v>
      </c>
      <c r="G1066" t="s">
        <v>136</v>
      </c>
      <c r="H1066" t="s">
        <v>146</v>
      </c>
      <c r="I1066" t="s">
        <v>156</v>
      </c>
      <c r="J1066" t="s">
        <v>26</v>
      </c>
      <c r="K1066" t="s">
        <v>157</v>
      </c>
      <c r="L1066" t="s">
        <v>162</v>
      </c>
      <c r="M1066" t="s">
        <v>144</v>
      </c>
      <c r="N1066" t="s">
        <v>3087</v>
      </c>
      <c r="O1066">
        <v>1</v>
      </c>
      <c r="P1066" t="s">
        <v>160</v>
      </c>
      <c r="R1066">
        <v>804</v>
      </c>
      <c r="S1066">
        <v>798.4</v>
      </c>
      <c r="T1066" t="s">
        <v>145</v>
      </c>
      <c r="U1066" t="s">
        <v>3292</v>
      </c>
      <c r="V1066" t="s">
        <v>27</v>
      </c>
      <c r="W1066" t="s">
        <v>66</v>
      </c>
      <c r="X1066" t="s">
        <v>67</v>
      </c>
      <c r="Y1066" t="s">
        <v>148</v>
      </c>
      <c r="AA1066" t="s">
        <v>494</v>
      </c>
      <c r="AC1066" t="s">
        <v>139</v>
      </c>
      <c r="AD1066" t="s">
        <v>3341</v>
      </c>
      <c r="AF1066" t="s">
        <v>493</v>
      </c>
      <c r="AG1066" t="s">
        <v>156</v>
      </c>
      <c r="AH1066" t="s">
        <v>68</v>
      </c>
      <c r="AI1066" t="s">
        <v>493</v>
      </c>
      <c r="AK1066" t="s">
        <v>3088</v>
      </c>
    </row>
    <row r="1067" spans="1:37" customFormat="1">
      <c r="A1067" t="s">
        <v>23</v>
      </c>
      <c r="B1067" t="s">
        <v>24</v>
      </c>
      <c r="C1067" t="s">
        <v>934</v>
      </c>
      <c r="D1067" t="s">
        <v>135</v>
      </c>
      <c r="E1067" t="s">
        <v>2992</v>
      </c>
      <c r="F1067" t="s">
        <v>931</v>
      </c>
      <c r="G1067" t="s">
        <v>136</v>
      </c>
      <c r="H1067" t="s">
        <v>142</v>
      </c>
      <c r="I1067" t="s">
        <v>71</v>
      </c>
      <c r="J1067" t="s">
        <v>72</v>
      </c>
      <c r="K1067" t="s">
        <v>65</v>
      </c>
      <c r="L1067" t="s">
        <v>150</v>
      </c>
      <c r="M1067" t="s">
        <v>144</v>
      </c>
      <c r="N1067" t="s">
        <v>3089</v>
      </c>
      <c r="O1067">
        <v>1107</v>
      </c>
      <c r="P1067" t="s">
        <v>35</v>
      </c>
      <c r="R1067">
        <v>1110</v>
      </c>
      <c r="S1067">
        <v>1107</v>
      </c>
      <c r="T1067" t="s">
        <v>1817</v>
      </c>
      <c r="U1067" t="s">
        <v>1818</v>
      </c>
      <c r="V1067" t="s">
        <v>27</v>
      </c>
      <c r="W1067" t="s">
        <v>66</v>
      </c>
      <c r="X1067" t="s">
        <v>67</v>
      </c>
      <c r="Y1067" t="s">
        <v>138</v>
      </c>
      <c r="AA1067" t="s">
        <v>494</v>
      </c>
      <c r="AC1067" t="s">
        <v>139</v>
      </c>
      <c r="AD1067" t="s">
        <v>3344</v>
      </c>
      <c r="AG1067" t="s">
        <v>71</v>
      </c>
      <c r="AH1067" t="s">
        <v>68</v>
      </c>
      <c r="AI1067" t="s">
        <v>493</v>
      </c>
    </row>
    <row r="1068" spans="1:37" customFormat="1">
      <c r="A1068" t="s">
        <v>23</v>
      </c>
      <c r="B1068" t="s">
        <v>24</v>
      </c>
      <c r="C1068" t="s">
        <v>179</v>
      </c>
      <c r="D1068" t="s">
        <v>135</v>
      </c>
      <c r="E1068" t="s">
        <v>2782</v>
      </c>
      <c r="F1068" t="s">
        <v>931</v>
      </c>
      <c r="G1068" t="s">
        <v>136</v>
      </c>
      <c r="H1068" t="s">
        <v>146</v>
      </c>
      <c r="I1068" t="s">
        <v>156</v>
      </c>
      <c r="J1068" t="s">
        <v>26</v>
      </c>
      <c r="K1068" t="s">
        <v>157</v>
      </c>
      <c r="L1068" t="s">
        <v>162</v>
      </c>
      <c r="M1068" t="s">
        <v>144</v>
      </c>
      <c r="N1068" t="s">
        <v>3090</v>
      </c>
      <c r="O1068">
        <v>1</v>
      </c>
      <c r="P1068" t="s">
        <v>160</v>
      </c>
      <c r="R1068">
        <v>804</v>
      </c>
      <c r="S1068">
        <v>798.4</v>
      </c>
      <c r="T1068" t="s">
        <v>145</v>
      </c>
      <c r="U1068" t="s">
        <v>3292</v>
      </c>
      <c r="V1068" t="s">
        <v>27</v>
      </c>
      <c r="W1068" t="s">
        <v>66</v>
      </c>
      <c r="X1068" t="s">
        <v>67</v>
      </c>
      <c r="Y1068" t="s">
        <v>148</v>
      </c>
      <c r="AA1068" t="s">
        <v>494</v>
      </c>
      <c r="AC1068" t="s">
        <v>139</v>
      </c>
      <c r="AD1068" t="s">
        <v>3345</v>
      </c>
      <c r="AF1068" t="s">
        <v>493</v>
      </c>
      <c r="AG1068" t="s">
        <v>156</v>
      </c>
      <c r="AH1068" t="s">
        <v>68</v>
      </c>
      <c r="AI1068" t="s">
        <v>493</v>
      </c>
      <c r="AK1068" t="s">
        <v>3091</v>
      </c>
    </row>
    <row r="1069" spans="1:37" customFormat="1">
      <c r="A1069" t="s">
        <v>23</v>
      </c>
      <c r="B1069" t="s">
        <v>24</v>
      </c>
      <c r="C1069" t="s">
        <v>179</v>
      </c>
      <c r="D1069" t="s">
        <v>135</v>
      </c>
      <c r="E1069" t="s">
        <v>2782</v>
      </c>
      <c r="F1069" t="s">
        <v>931</v>
      </c>
      <c r="G1069" t="s">
        <v>136</v>
      </c>
      <c r="H1069" t="s">
        <v>146</v>
      </c>
      <c r="I1069" t="s">
        <v>156</v>
      </c>
      <c r="J1069" t="s">
        <v>26</v>
      </c>
      <c r="K1069" t="s">
        <v>157</v>
      </c>
      <c r="L1069" t="s">
        <v>162</v>
      </c>
      <c r="M1069" t="s">
        <v>144</v>
      </c>
      <c r="N1069" t="s">
        <v>3092</v>
      </c>
      <c r="O1069">
        <v>1</v>
      </c>
      <c r="P1069" t="s">
        <v>160</v>
      </c>
      <c r="R1069">
        <v>804</v>
      </c>
      <c r="S1069">
        <v>798.4</v>
      </c>
      <c r="T1069" t="s">
        <v>145</v>
      </c>
      <c r="U1069" t="s">
        <v>3292</v>
      </c>
      <c r="V1069" t="s">
        <v>27</v>
      </c>
      <c r="W1069" t="s">
        <v>66</v>
      </c>
      <c r="X1069" t="s">
        <v>67</v>
      </c>
      <c r="Y1069" t="s">
        <v>148</v>
      </c>
      <c r="AA1069" t="s">
        <v>494</v>
      </c>
      <c r="AC1069" t="s">
        <v>139</v>
      </c>
      <c r="AD1069" t="s">
        <v>3346</v>
      </c>
      <c r="AF1069" t="s">
        <v>493</v>
      </c>
      <c r="AG1069" t="s">
        <v>156</v>
      </c>
      <c r="AH1069" t="s">
        <v>68</v>
      </c>
      <c r="AI1069" t="s">
        <v>493</v>
      </c>
      <c r="AK1069" t="s">
        <v>3093</v>
      </c>
    </row>
    <row r="1070" spans="1:37" customFormat="1">
      <c r="A1070" t="s">
        <v>23</v>
      </c>
      <c r="B1070" t="s">
        <v>24</v>
      </c>
      <c r="C1070" t="s">
        <v>934</v>
      </c>
      <c r="D1070" t="s">
        <v>135</v>
      </c>
      <c r="E1070" t="s">
        <v>2992</v>
      </c>
      <c r="F1070" t="s">
        <v>931</v>
      </c>
      <c r="G1070" t="s">
        <v>136</v>
      </c>
      <c r="H1070" t="s">
        <v>142</v>
      </c>
      <c r="I1070" t="s">
        <v>71</v>
      </c>
      <c r="J1070" t="s">
        <v>72</v>
      </c>
      <c r="K1070" t="s">
        <v>65</v>
      </c>
      <c r="L1070" t="s">
        <v>150</v>
      </c>
      <c r="M1070" t="s">
        <v>144</v>
      </c>
      <c r="N1070" t="s">
        <v>3094</v>
      </c>
      <c r="O1070">
        <v>628</v>
      </c>
      <c r="P1070" t="s">
        <v>35</v>
      </c>
      <c r="R1070">
        <v>631</v>
      </c>
      <c r="S1070">
        <v>628</v>
      </c>
      <c r="T1070" t="s">
        <v>1817</v>
      </c>
      <c r="U1070" t="s">
        <v>1818</v>
      </c>
      <c r="V1070" t="s">
        <v>27</v>
      </c>
      <c r="W1070" t="s">
        <v>66</v>
      </c>
      <c r="X1070" t="s">
        <v>67</v>
      </c>
      <c r="Y1070" t="s">
        <v>138</v>
      </c>
      <c r="AA1070" t="s">
        <v>494</v>
      </c>
      <c r="AC1070" t="s">
        <v>139</v>
      </c>
      <c r="AD1070" t="s">
        <v>3347</v>
      </c>
      <c r="AG1070" t="s">
        <v>71</v>
      </c>
      <c r="AH1070" t="s">
        <v>68</v>
      </c>
      <c r="AI1070" t="s">
        <v>493</v>
      </c>
    </row>
    <row r="1071" spans="1:37" customFormat="1">
      <c r="A1071" t="s">
        <v>23</v>
      </c>
      <c r="B1071" t="s">
        <v>24</v>
      </c>
      <c r="C1071" t="s">
        <v>179</v>
      </c>
      <c r="D1071" t="s">
        <v>135</v>
      </c>
      <c r="E1071" t="s">
        <v>2782</v>
      </c>
      <c r="F1071" t="s">
        <v>931</v>
      </c>
      <c r="G1071" t="s">
        <v>136</v>
      </c>
      <c r="H1071" t="s">
        <v>146</v>
      </c>
      <c r="I1071" t="s">
        <v>156</v>
      </c>
      <c r="J1071" t="s">
        <v>26</v>
      </c>
      <c r="K1071" t="s">
        <v>157</v>
      </c>
      <c r="L1071" t="s">
        <v>162</v>
      </c>
      <c r="M1071" t="s">
        <v>144</v>
      </c>
      <c r="N1071" t="s">
        <v>3095</v>
      </c>
      <c r="O1071">
        <v>1</v>
      </c>
      <c r="P1071" t="s">
        <v>160</v>
      </c>
      <c r="R1071">
        <v>805</v>
      </c>
      <c r="S1071">
        <v>798.4</v>
      </c>
      <c r="T1071" t="s">
        <v>145</v>
      </c>
      <c r="U1071" t="s">
        <v>3292</v>
      </c>
      <c r="V1071" t="s">
        <v>27</v>
      </c>
      <c r="W1071" t="s">
        <v>66</v>
      </c>
      <c r="X1071" t="s">
        <v>67</v>
      </c>
      <c r="Y1071" t="s">
        <v>148</v>
      </c>
      <c r="AA1071" t="s">
        <v>494</v>
      </c>
      <c r="AC1071" t="s">
        <v>139</v>
      </c>
      <c r="AD1071" t="s">
        <v>3348</v>
      </c>
      <c r="AF1071" t="s">
        <v>493</v>
      </c>
      <c r="AG1071" t="s">
        <v>156</v>
      </c>
      <c r="AH1071" t="s">
        <v>68</v>
      </c>
      <c r="AI1071" t="s">
        <v>493</v>
      </c>
      <c r="AK1071" t="s">
        <v>3096</v>
      </c>
    </row>
    <row r="1072" spans="1:37" customFormat="1">
      <c r="A1072" t="s">
        <v>23</v>
      </c>
      <c r="B1072" t="s">
        <v>24</v>
      </c>
      <c r="C1072" t="s">
        <v>179</v>
      </c>
      <c r="D1072" t="s">
        <v>135</v>
      </c>
      <c r="E1072" t="s">
        <v>2782</v>
      </c>
      <c r="F1072" t="s">
        <v>931</v>
      </c>
      <c r="G1072" t="s">
        <v>136</v>
      </c>
      <c r="H1072" t="s">
        <v>146</v>
      </c>
      <c r="I1072" t="s">
        <v>156</v>
      </c>
      <c r="J1072" t="s">
        <v>26</v>
      </c>
      <c r="K1072" t="s">
        <v>157</v>
      </c>
      <c r="L1072" t="s">
        <v>162</v>
      </c>
      <c r="M1072" t="s">
        <v>144</v>
      </c>
      <c r="N1072" t="s">
        <v>3097</v>
      </c>
      <c r="O1072">
        <v>1</v>
      </c>
      <c r="P1072" t="s">
        <v>160</v>
      </c>
      <c r="R1072">
        <v>801</v>
      </c>
      <c r="S1072">
        <v>798.4</v>
      </c>
      <c r="T1072" t="s">
        <v>145</v>
      </c>
      <c r="U1072" t="s">
        <v>3292</v>
      </c>
      <c r="V1072" t="s">
        <v>27</v>
      </c>
      <c r="W1072" t="s">
        <v>66</v>
      </c>
      <c r="X1072" t="s">
        <v>67</v>
      </c>
      <c r="Y1072" t="s">
        <v>148</v>
      </c>
      <c r="AA1072" t="s">
        <v>494</v>
      </c>
      <c r="AC1072" t="s">
        <v>139</v>
      </c>
      <c r="AD1072" t="s">
        <v>3349</v>
      </c>
      <c r="AF1072" t="s">
        <v>493</v>
      </c>
      <c r="AG1072" t="s">
        <v>156</v>
      </c>
      <c r="AH1072" t="s">
        <v>68</v>
      </c>
      <c r="AI1072" t="s">
        <v>493</v>
      </c>
      <c r="AK1072" t="s">
        <v>3098</v>
      </c>
    </row>
    <row r="1073" spans="1:37" customFormat="1">
      <c r="A1073" t="s">
        <v>23</v>
      </c>
      <c r="B1073" t="s">
        <v>24</v>
      </c>
      <c r="C1073" t="s">
        <v>179</v>
      </c>
      <c r="D1073" t="s">
        <v>135</v>
      </c>
      <c r="E1073" t="s">
        <v>2782</v>
      </c>
      <c r="F1073" t="s">
        <v>931</v>
      </c>
      <c r="G1073" t="s">
        <v>136</v>
      </c>
      <c r="H1073" t="s">
        <v>146</v>
      </c>
      <c r="I1073" t="s">
        <v>156</v>
      </c>
      <c r="J1073" t="s">
        <v>26</v>
      </c>
      <c r="K1073" t="s">
        <v>157</v>
      </c>
      <c r="L1073" t="s">
        <v>162</v>
      </c>
      <c r="M1073" t="s">
        <v>144</v>
      </c>
      <c r="N1073" t="s">
        <v>3099</v>
      </c>
      <c r="O1073">
        <v>1</v>
      </c>
      <c r="P1073" t="s">
        <v>160</v>
      </c>
      <c r="R1073">
        <v>803</v>
      </c>
      <c r="S1073">
        <v>798.4</v>
      </c>
      <c r="T1073" t="s">
        <v>145</v>
      </c>
      <c r="U1073" t="s">
        <v>3292</v>
      </c>
      <c r="V1073" t="s">
        <v>27</v>
      </c>
      <c r="W1073" t="s">
        <v>66</v>
      </c>
      <c r="X1073" t="s">
        <v>67</v>
      </c>
      <c r="Y1073" t="s">
        <v>148</v>
      </c>
      <c r="AA1073" t="s">
        <v>494</v>
      </c>
      <c r="AC1073" t="s">
        <v>139</v>
      </c>
      <c r="AD1073" t="s">
        <v>3350</v>
      </c>
      <c r="AF1073" t="s">
        <v>493</v>
      </c>
      <c r="AG1073" t="s">
        <v>156</v>
      </c>
      <c r="AH1073" t="s">
        <v>68</v>
      </c>
      <c r="AI1073" t="s">
        <v>493</v>
      </c>
      <c r="AK1073" t="s">
        <v>3100</v>
      </c>
    </row>
    <row r="1074" spans="1:37" customFormat="1">
      <c r="A1074" t="s">
        <v>23</v>
      </c>
      <c r="B1074" t="s">
        <v>24</v>
      </c>
      <c r="C1074" t="s">
        <v>179</v>
      </c>
      <c r="D1074" t="s">
        <v>135</v>
      </c>
      <c r="E1074" t="s">
        <v>2782</v>
      </c>
      <c r="F1074" t="s">
        <v>931</v>
      </c>
      <c r="G1074" t="s">
        <v>136</v>
      </c>
      <c r="H1074" t="s">
        <v>146</v>
      </c>
      <c r="I1074" t="s">
        <v>156</v>
      </c>
      <c r="J1074" t="s">
        <v>26</v>
      </c>
      <c r="K1074" t="s">
        <v>157</v>
      </c>
      <c r="L1074" t="s">
        <v>162</v>
      </c>
      <c r="M1074" t="s">
        <v>144</v>
      </c>
      <c r="N1074" t="s">
        <v>3101</v>
      </c>
      <c r="O1074">
        <v>1</v>
      </c>
      <c r="P1074" t="s">
        <v>160</v>
      </c>
      <c r="R1074">
        <v>803</v>
      </c>
      <c r="S1074">
        <v>798.4</v>
      </c>
      <c r="T1074" t="s">
        <v>145</v>
      </c>
      <c r="U1074" t="s">
        <v>3292</v>
      </c>
      <c r="V1074" t="s">
        <v>27</v>
      </c>
      <c r="W1074" t="s">
        <v>66</v>
      </c>
      <c r="X1074" t="s">
        <v>67</v>
      </c>
      <c r="Y1074" t="s">
        <v>148</v>
      </c>
      <c r="AA1074" t="s">
        <v>494</v>
      </c>
      <c r="AC1074" t="s">
        <v>139</v>
      </c>
      <c r="AD1074" t="s">
        <v>3351</v>
      </c>
      <c r="AF1074" t="s">
        <v>493</v>
      </c>
      <c r="AG1074" t="s">
        <v>156</v>
      </c>
      <c r="AH1074" t="s">
        <v>68</v>
      </c>
      <c r="AI1074" t="s">
        <v>493</v>
      </c>
      <c r="AK1074" t="s">
        <v>3102</v>
      </c>
    </row>
    <row r="1075" spans="1:37" customFormat="1">
      <c r="A1075" t="s">
        <v>23</v>
      </c>
      <c r="B1075" t="s">
        <v>24</v>
      </c>
      <c r="C1075" t="s">
        <v>179</v>
      </c>
      <c r="D1075" t="s">
        <v>135</v>
      </c>
      <c r="E1075" t="s">
        <v>2782</v>
      </c>
      <c r="F1075" t="s">
        <v>931</v>
      </c>
      <c r="G1075" t="s">
        <v>136</v>
      </c>
      <c r="H1075" t="s">
        <v>146</v>
      </c>
      <c r="I1075" t="s">
        <v>156</v>
      </c>
      <c r="J1075" t="s">
        <v>26</v>
      </c>
      <c r="K1075" t="s">
        <v>157</v>
      </c>
      <c r="L1075" t="s">
        <v>162</v>
      </c>
      <c r="M1075" t="s">
        <v>144</v>
      </c>
      <c r="N1075" t="s">
        <v>3103</v>
      </c>
      <c r="O1075">
        <v>1</v>
      </c>
      <c r="P1075" t="s">
        <v>160</v>
      </c>
      <c r="R1075">
        <v>802</v>
      </c>
      <c r="S1075">
        <v>798.4</v>
      </c>
      <c r="T1075" t="s">
        <v>145</v>
      </c>
      <c r="U1075" t="s">
        <v>3292</v>
      </c>
      <c r="V1075" t="s">
        <v>27</v>
      </c>
      <c r="W1075" t="s">
        <v>66</v>
      </c>
      <c r="X1075" t="s">
        <v>67</v>
      </c>
      <c r="Y1075" t="s">
        <v>148</v>
      </c>
      <c r="AA1075" t="s">
        <v>494</v>
      </c>
      <c r="AC1075" t="s">
        <v>139</v>
      </c>
      <c r="AD1075" t="s">
        <v>3352</v>
      </c>
      <c r="AF1075" t="s">
        <v>493</v>
      </c>
      <c r="AG1075" t="s">
        <v>156</v>
      </c>
      <c r="AH1075" t="s">
        <v>68</v>
      </c>
      <c r="AI1075" t="s">
        <v>493</v>
      </c>
      <c r="AK1075" t="s">
        <v>3104</v>
      </c>
    </row>
    <row r="1076" spans="1:37" customFormat="1">
      <c r="A1076" t="s">
        <v>23</v>
      </c>
      <c r="B1076" t="s">
        <v>24</v>
      </c>
      <c r="C1076" t="s">
        <v>934</v>
      </c>
      <c r="D1076" t="s">
        <v>135</v>
      </c>
      <c r="E1076" t="s">
        <v>3105</v>
      </c>
      <c r="F1076" t="s">
        <v>931</v>
      </c>
      <c r="G1076" t="s">
        <v>136</v>
      </c>
      <c r="H1076" t="s">
        <v>1734</v>
      </c>
      <c r="I1076" t="s">
        <v>71</v>
      </c>
      <c r="J1076" t="s">
        <v>72</v>
      </c>
      <c r="K1076" t="s">
        <v>65</v>
      </c>
      <c r="L1076" t="s">
        <v>150</v>
      </c>
      <c r="M1076" t="s">
        <v>144</v>
      </c>
      <c r="N1076" t="s">
        <v>3106</v>
      </c>
      <c r="O1076">
        <v>1133</v>
      </c>
      <c r="P1076" t="s">
        <v>35</v>
      </c>
      <c r="R1076">
        <v>1136</v>
      </c>
      <c r="S1076">
        <v>1133</v>
      </c>
      <c r="T1076" t="s">
        <v>1817</v>
      </c>
      <c r="U1076" t="s">
        <v>2049</v>
      </c>
      <c r="V1076" t="s">
        <v>27</v>
      </c>
      <c r="W1076" t="s">
        <v>66</v>
      </c>
      <c r="X1076" t="s">
        <v>67</v>
      </c>
      <c r="Y1076" t="s">
        <v>138</v>
      </c>
      <c r="AA1076" t="s">
        <v>494</v>
      </c>
      <c r="AC1076" t="s">
        <v>139</v>
      </c>
      <c r="AD1076" t="s">
        <v>3353</v>
      </c>
      <c r="AG1076" t="s">
        <v>71</v>
      </c>
      <c r="AH1076" t="s">
        <v>68</v>
      </c>
      <c r="AI1076" t="s">
        <v>493</v>
      </c>
    </row>
    <row r="1077" spans="1:37" customFormat="1">
      <c r="A1077" t="s">
        <v>23</v>
      </c>
      <c r="B1077" t="s">
        <v>24</v>
      </c>
      <c r="C1077" t="s">
        <v>179</v>
      </c>
      <c r="D1077" t="s">
        <v>135</v>
      </c>
      <c r="E1077" t="s">
        <v>2782</v>
      </c>
      <c r="F1077" t="s">
        <v>931</v>
      </c>
      <c r="G1077" t="s">
        <v>136</v>
      </c>
      <c r="H1077" t="s">
        <v>146</v>
      </c>
      <c r="I1077" t="s">
        <v>156</v>
      </c>
      <c r="J1077" t="s">
        <v>26</v>
      </c>
      <c r="K1077" t="s">
        <v>157</v>
      </c>
      <c r="L1077" t="s">
        <v>162</v>
      </c>
      <c r="M1077" t="s">
        <v>144</v>
      </c>
      <c r="N1077" t="s">
        <v>3107</v>
      </c>
      <c r="O1077">
        <v>1</v>
      </c>
      <c r="P1077" t="s">
        <v>160</v>
      </c>
      <c r="R1077">
        <v>804</v>
      </c>
      <c r="S1077">
        <v>798.4</v>
      </c>
      <c r="T1077" t="s">
        <v>145</v>
      </c>
      <c r="U1077" t="s">
        <v>3292</v>
      </c>
      <c r="V1077" t="s">
        <v>27</v>
      </c>
      <c r="W1077" t="s">
        <v>66</v>
      </c>
      <c r="X1077" t="s">
        <v>67</v>
      </c>
      <c r="Y1077" t="s">
        <v>148</v>
      </c>
      <c r="AA1077" t="s">
        <v>494</v>
      </c>
      <c r="AC1077" t="s">
        <v>139</v>
      </c>
      <c r="AD1077" t="s">
        <v>3354</v>
      </c>
      <c r="AF1077" t="s">
        <v>493</v>
      </c>
      <c r="AG1077" t="s">
        <v>156</v>
      </c>
      <c r="AH1077" t="s">
        <v>68</v>
      </c>
      <c r="AI1077" t="s">
        <v>493</v>
      </c>
      <c r="AK1077" t="s">
        <v>3108</v>
      </c>
    </row>
    <row r="1078" spans="1:37" customFormat="1">
      <c r="A1078" t="s">
        <v>23</v>
      </c>
      <c r="B1078" t="s">
        <v>24</v>
      </c>
      <c r="C1078" t="s">
        <v>934</v>
      </c>
      <c r="D1078" t="s">
        <v>135</v>
      </c>
      <c r="E1078" t="s">
        <v>3105</v>
      </c>
      <c r="F1078" t="s">
        <v>931</v>
      </c>
      <c r="G1078" t="s">
        <v>136</v>
      </c>
      <c r="H1078" t="s">
        <v>1734</v>
      </c>
      <c r="I1078" t="s">
        <v>71</v>
      </c>
      <c r="J1078" t="s">
        <v>72</v>
      </c>
      <c r="K1078" t="s">
        <v>65</v>
      </c>
      <c r="L1078" t="s">
        <v>150</v>
      </c>
      <c r="M1078" t="s">
        <v>144</v>
      </c>
      <c r="N1078" t="s">
        <v>3109</v>
      </c>
      <c r="O1078">
        <v>1151</v>
      </c>
      <c r="P1078" t="s">
        <v>35</v>
      </c>
      <c r="R1078">
        <v>1154</v>
      </c>
      <c r="S1078">
        <v>1151</v>
      </c>
      <c r="T1078" t="s">
        <v>1817</v>
      </c>
      <c r="U1078" t="s">
        <v>2049</v>
      </c>
      <c r="V1078" t="s">
        <v>27</v>
      </c>
      <c r="W1078" t="s">
        <v>66</v>
      </c>
      <c r="X1078" t="s">
        <v>67</v>
      </c>
      <c r="Y1078" t="s">
        <v>138</v>
      </c>
      <c r="AA1078" t="s">
        <v>494</v>
      </c>
      <c r="AC1078" t="s">
        <v>139</v>
      </c>
      <c r="AD1078" t="s">
        <v>3355</v>
      </c>
      <c r="AG1078" t="s">
        <v>71</v>
      </c>
      <c r="AH1078" t="s">
        <v>68</v>
      </c>
      <c r="AI1078" t="s">
        <v>493</v>
      </c>
    </row>
    <row r="1079" spans="1:37" customFormat="1">
      <c r="A1079" t="s">
        <v>23</v>
      </c>
      <c r="B1079" t="s">
        <v>24</v>
      </c>
      <c r="C1079" t="s">
        <v>179</v>
      </c>
      <c r="D1079" t="s">
        <v>135</v>
      </c>
      <c r="E1079" t="s">
        <v>2782</v>
      </c>
      <c r="F1079" t="s">
        <v>931</v>
      </c>
      <c r="G1079" t="s">
        <v>136</v>
      </c>
      <c r="H1079" t="s">
        <v>146</v>
      </c>
      <c r="I1079" t="s">
        <v>156</v>
      </c>
      <c r="J1079" t="s">
        <v>26</v>
      </c>
      <c r="K1079" t="s">
        <v>157</v>
      </c>
      <c r="L1079" t="s">
        <v>162</v>
      </c>
      <c r="M1079" t="s">
        <v>144</v>
      </c>
      <c r="N1079" t="s">
        <v>3110</v>
      </c>
      <c r="O1079">
        <v>1</v>
      </c>
      <c r="P1079" t="s">
        <v>160</v>
      </c>
      <c r="R1079">
        <v>803</v>
      </c>
      <c r="S1079">
        <v>798.4</v>
      </c>
      <c r="T1079" t="s">
        <v>145</v>
      </c>
      <c r="U1079" t="s">
        <v>3292</v>
      </c>
      <c r="V1079" t="s">
        <v>27</v>
      </c>
      <c r="W1079" t="s">
        <v>66</v>
      </c>
      <c r="X1079" t="s">
        <v>67</v>
      </c>
      <c r="Y1079" t="s">
        <v>148</v>
      </c>
      <c r="AA1079" t="s">
        <v>494</v>
      </c>
      <c r="AC1079" t="s">
        <v>139</v>
      </c>
      <c r="AD1079" t="s">
        <v>3356</v>
      </c>
      <c r="AF1079" t="s">
        <v>493</v>
      </c>
      <c r="AG1079" t="s">
        <v>156</v>
      </c>
      <c r="AH1079" t="s">
        <v>68</v>
      </c>
      <c r="AI1079" t="s">
        <v>493</v>
      </c>
      <c r="AK1079" t="s">
        <v>3111</v>
      </c>
    </row>
    <row r="1080" spans="1:37" customFormat="1">
      <c r="A1080" t="s">
        <v>23</v>
      </c>
      <c r="B1080" t="s">
        <v>24</v>
      </c>
      <c r="C1080" t="s">
        <v>934</v>
      </c>
      <c r="D1080" t="s">
        <v>135</v>
      </c>
      <c r="E1080" t="s">
        <v>3105</v>
      </c>
      <c r="F1080" t="s">
        <v>931</v>
      </c>
      <c r="G1080" t="s">
        <v>136</v>
      </c>
      <c r="H1080" t="s">
        <v>1734</v>
      </c>
      <c r="I1080" t="s">
        <v>71</v>
      </c>
      <c r="J1080" t="s">
        <v>72</v>
      </c>
      <c r="K1080" t="s">
        <v>65</v>
      </c>
      <c r="L1080" t="s">
        <v>150</v>
      </c>
      <c r="M1080" t="s">
        <v>144</v>
      </c>
      <c r="N1080" t="s">
        <v>3112</v>
      </c>
      <c r="O1080">
        <v>1116</v>
      </c>
      <c r="P1080" t="s">
        <v>35</v>
      </c>
      <c r="R1080">
        <v>1119</v>
      </c>
      <c r="S1080">
        <v>1116</v>
      </c>
      <c r="T1080" t="s">
        <v>1817</v>
      </c>
      <c r="U1080" t="s">
        <v>2049</v>
      </c>
      <c r="V1080" t="s">
        <v>27</v>
      </c>
      <c r="W1080" t="s">
        <v>66</v>
      </c>
      <c r="X1080" t="s">
        <v>67</v>
      </c>
      <c r="Y1080" t="s">
        <v>138</v>
      </c>
      <c r="AA1080" t="s">
        <v>494</v>
      </c>
      <c r="AC1080" t="s">
        <v>139</v>
      </c>
      <c r="AD1080" t="s">
        <v>3357</v>
      </c>
      <c r="AG1080" t="s">
        <v>71</v>
      </c>
      <c r="AH1080" t="s">
        <v>68</v>
      </c>
      <c r="AI1080" t="s">
        <v>493</v>
      </c>
    </row>
    <row r="1081" spans="1:37" customFormat="1">
      <c r="A1081" t="s">
        <v>23</v>
      </c>
      <c r="B1081" t="s">
        <v>24</v>
      </c>
      <c r="C1081" t="s">
        <v>179</v>
      </c>
      <c r="D1081" t="s">
        <v>135</v>
      </c>
      <c r="E1081" t="s">
        <v>2782</v>
      </c>
      <c r="F1081" t="s">
        <v>931</v>
      </c>
      <c r="G1081" t="s">
        <v>136</v>
      </c>
      <c r="H1081" t="s">
        <v>146</v>
      </c>
      <c r="I1081" t="s">
        <v>156</v>
      </c>
      <c r="J1081" t="s">
        <v>26</v>
      </c>
      <c r="K1081" t="s">
        <v>157</v>
      </c>
      <c r="L1081" t="s">
        <v>162</v>
      </c>
      <c r="M1081" t="s">
        <v>144</v>
      </c>
      <c r="N1081" t="s">
        <v>3113</v>
      </c>
      <c r="O1081">
        <v>1</v>
      </c>
      <c r="P1081" t="s">
        <v>160</v>
      </c>
      <c r="R1081">
        <v>805</v>
      </c>
      <c r="S1081">
        <v>798.4</v>
      </c>
      <c r="T1081" t="s">
        <v>145</v>
      </c>
      <c r="U1081" t="s">
        <v>3292</v>
      </c>
      <c r="V1081" t="s">
        <v>27</v>
      </c>
      <c r="W1081" t="s">
        <v>66</v>
      </c>
      <c r="X1081" t="s">
        <v>67</v>
      </c>
      <c r="Y1081" t="s">
        <v>148</v>
      </c>
      <c r="AA1081" t="s">
        <v>494</v>
      </c>
      <c r="AC1081" t="s">
        <v>139</v>
      </c>
      <c r="AD1081" t="s">
        <v>3358</v>
      </c>
      <c r="AF1081" t="s">
        <v>493</v>
      </c>
      <c r="AG1081" t="s">
        <v>156</v>
      </c>
      <c r="AH1081" t="s">
        <v>68</v>
      </c>
      <c r="AI1081" t="s">
        <v>493</v>
      </c>
      <c r="AK1081" t="s">
        <v>3114</v>
      </c>
    </row>
    <row r="1082" spans="1:37" customFormat="1">
      <c r="A1082" t="s">
        <v>23</v>
      </c>
      <c r="B1082" t="s">
        <v>24</v>
      </c>
      <c r="C1082" t="s">
        <v>934</v>
      </c>
      <c r="D1082" t="s">
        <v>135</v>
      </c>
      <c r="E1082" t="s">
        <v>3105</v>
      </c>
      <c r="F1082" t="s">
        <v>931</v>
      </c>
      <c r="G1082" t="s">
        <v>136</v>
      </c>
      <c r="H1082" t="s">
        <v>1734</v>
      </c>
      <c r="I1082" t="s">
        <v>71</v>
      </c>
      <c r="J1082" t="s">
        <v>72</v>
      </c>
      <c r="K1082" t="s">
        <v>65</v>
      </c>
      <c r="L1082" t="s">
        <v>150</v>
      </c>
      <c r="M1082" t="s">
        <v>144</v>
      </c>
      <c r="N1082" t="s">
        <v>3115</v>
      </c>
      <c r="O1082">
        <v>1106</v>
      </c>
      <c r="P1082" t="s">
        <v>35</v>
      </c>
      <c r="R1082">
        <v>1109</v>
      </c>
      <c r="S1082">
        <v>1106</v>
      </c>
      <c r="T1082" t="s">
        <v>1817</v>
      </c>
      <c r="U1082" t="s">
        <v>2049</v>
      </c>
      <c r="V1082" t="s">
        <v>27</v>
      </c>
      <c r="W1082" t="s">
        <v>66</v>
      </c>
      <c r="X1082" t="s">
        <v>67</v>
      </c>
      <c r="Y1082" t="s">
        <v>138</v>
      </c>
      <c r="AA1082" t="s">
        <v>494</v>
      </c>
      <c r="AC1082" t="s">
        <v>139</v>
      </c>
      <c r="AD1082" t="s">
        <v>3359</v>
      </c>
      <c r="AG1082" t="s">
        <v>71</v>
      </c>
      <c r="AH1082" t="s">
        <v>68</v>
      </c>
      <c r="AI1082" t="s">
        <v>493</v>
      </c>
    </row>
    <row r="1083" spans="1:37">
      <c r="A1083" t="s">
        <v>23</v>
      </c>
      <c r="B1083" t="s">
        <v>24</v>
      </c>
      <c r="C1083" t="s">
        <v>179</v>
      </c>
      <c r="D1083" t="s">
        <v>135</v>
      </c>
      <c r="E1083" t="s">
        <v>2782</v>
      </c>
      <c r="F1083" t="s">
        <v>931</v>
      </c>
      <c r="G1083" t="s">
        <v>136</v>
      </c>
      <c r="H1083" t="s">
        <v>146</v>
      </c>
      <c r="I1083" t="s">
        <v>156</v>
      </c>
      <c r="J1083" t="s">
        <v>26</v>
      </c>
      <c r="K1083" t="s">
        <v>157</v>
      </c>
      <c r="L1083" t="s">
        <v>162</v>
      </c>
      <c r="M1083" t="s">
        <v>144</v>
      </c>
      <c r="N1083" t="s">
        <v>3116</v>
      </c>
      <c r="O1083">
        <v>1</v>
      </c>
      <c r="P1083" t="s">
        <v>160</v>
      </c>
      <c r="Q1083"/>
      <c r="R1083">
        <v>804</v>
      </c>
      <c r="S1083">
        <v>798.4</v>
      </c>
      <c r="T1083" t="s">
        <v>145</v>
      </c>
      <c r="U1083" t="s">
        <v>3292</v>
      </c>
      <c r="V1083" t="s">
        <v>27</v>
      </c>
      <c r="W1083" t="s">
        <v>66</v>
      </c>
      <c r="X1083" t="s">
        <v>67</v>
      </c>
      <c r="Y1083" t="s">
        <v>148</v>
      </c>
      <c r="Z1083"/>
      <c r="AA1083" t="s">
        <v>494</v>
      </c>
      <c r="AB1083"/>
      <c r="AC1083" t="s">
        <v>139</v>
      </c>
      <c r="AD1083" t="s">
        <v>3360</v>
      </c>
      <c r="AE1083"/>
      <c r="AF1083" t="s">
        <v>493</v>
      </c>
      <c r="AG1083" t="s">
        <v>156</v>
      </c>
      <c r="AH1083" t="s">
        <v>68</v>
      </c>
      <c r="AI1083" t="s">
        <v>493</v>
      </c>
      <c r="AJ1083"/>
      <c r="AK1083" t="s">
        <v>3117</v>
      </c>
    </row>
    <row r="1084" spans="1:37">
      <c r="A1084" t="s">
        <v>23</v>
      </c>
      <c r="B1084" t="s">
        <v>24</v>
      </c>
      <c r="C1084" t="s">
        <v>179</v>
      </c>
      <c r="D1084" t="s">
        <v>135</v>
      </c>
      <c r="E1084" t="s">
        <v>2782</v>
      </c>
      <c r="F1084" t="s">
        <v>931</v>
      </c>
      <c r="G1084" t="s">
        <v>136</v>
      </c>
      <c r="H1084" t="s">
        <v>146</v>
      </c>
      <c r="I1084" t="s">
        <v>156</v>
      </c>
      <c r="J1084" t="s">
        <v>26</v>
      </c>
      <c r="K1084" t="s">
        <v>157</v>
      </c>
      <c r="L1084" t="s">
        <v>162</v>
      </c>
      <c r="M1084" t="s">
        <v>144</v>
      </c>
      <c r="N1084" t="s">
        <v>3118</v>
      </c>
      <c r="O1084">
        <v>1</v>
      </c>
      <c r="P1084" t="s">
        <v>160</v>
      </c>
      <c r="Q1084"/>
      <c r="R1084">
        <v>803</v>
      </c>
      <c r="S1084">
        <v>798.4</v>
      </c>
      <c r="T1084" t="s">
        <v>145</v>
      </c>
      <c r="U1084" t="s">
        <v>3292</v>
      </c>
      <c r="V1084" t="s">
        <v>27</v>
      </c>
      <c r="W1084" t="s">
        <v>66</v>
      </c>
      <c r="X1084" t="s">
        <v>67</v>
      </c>
      <c r="Y1084" t="s">
        <v>148</v>
      </c>
      <c r="Z1084"/>
      <c r="AA1084" t="s">
        <v>494</v>
      </c>
      <c r="AB1084"/>
      <c r="AC1084" t="s">
        <v>139</v>
      </c>
      <c r="AD1084" t="s">
        <v>3361</v>
      </c>
      <c r="AE1084"/>
      <c r="AF1084" t="s">
        <v>493</v>
      </c>
      <c r="AG1084" t="s">
        <v>156</v>
      </c>
      <c r="AH1084" t="s">
        <v>68</v>
      </c>
      <c r="AI1084" t="s">
        <v>493</v>
      </c>
      <c r="AJ1084"/>
      <c r="AK1084" t="s">
        <v>3119</v>
      </c>
    </row>
    <row r="1085" spans="1:37">
      <c r="A1085" t="s">
        <v>23</v>
      </c>
      <c r="B1085" t="s">
        <v>24</v>
      </c>
      <c r="C1085" t="s">
        <v>179</v>
      </c>
      <c r="D1085" t="s">
        <v>135</v>
      </c>
      <c r="E1085" t="s">
        <v>2782</v>
      </c>
      <c r="F1085" t="s">
        <v>931</v>
      </c>
      <c r="G1085" t="s">
        <v>136</v>
      </c>
      <c r="H1085" t="s">
        <v>146</v>
      </c>
      <c r="I1085" t="s">
        <v>156</v>
      </c>
      <c r="J1085" t="s">
        <v>26</v>
      </c>
      <c r="K1085" t="s">
        <v>157</v>
      </c>
      <c r="L1085" t="s">
        <v>162</v>
      </c>
      <c r="M1085" t="s">
        <v>144</v>
      </c>
      <c r="N1085" t="s">
        <v>3120</v>
      </c>
      <c r="O1085">
        <v>1</v>
      </c>
      <c r="P1085" t="s">
        <v>160</v>
      </c>
      <c r="Q1085"/>
      <c r="R1085">
        <v>802</v>
      </c>
      <c r="S1085">
        <v>798.4</v>
      </c>
      <c r="T1085" t="s">
        <v>145</v>
      </c>
      <c r="U1085" t="s">
        <v>3292</v>
      </c>
      <c r="V1085" t="s">
        <v>27</v>
      </c>
      <c r="W1085" t="s">
        <v>66</v>
      </c>
      <c r="X1085" t="s">
        <v>67</v>
      </c>
      <c r="Y1085" t="s">
        <v>148</v>
      </c>
      <c r="Z1085"/>
      <c r="AA1085" t="s">
        <v>494</v>
      </c>
      <c r="AB1085"/>
      <c r="AC1085" t="s">
        <v>139</v>
      </c>
      <c r="AD1085" t="s">
        <v>3362</v>
      </c>
      <c r="AE1085"/>
      <c r="AF1085" t="s">
        <v>493</v>
      </c>
      <c r="AG1085" t="s">
        <v>156</v>
      </c>
      <c r="AH1085" t="s">
        <v>68</v>
      </c>
      <c r="AI1085" t="s">
        <v>493</v>
      </c>
      <c r="AJ1085"/>
      <c r="AK1085" t="s">
        <v>3121</v>
      </c>
    </row>
    <row r="1086" spans="1:37">
      <c r="A1086" t="s">
        <v>23</v>
      </c>
      <c r="B1086" t="s">
        <v>24</v>
      </c>
      <c r="C1086" t="s">
        <v>934</v>
      </c>
      <c r="D1086" t="s">
        <v>135</v>
      </c>
      <c r="E1086" t="s">
        <v>3105</v>
      </c>
      <c r="F1086" t="s">
        <v>931</v>
      </c>
      <c r="G1086" t="s">
        <v>136</v>
      </c>
      <c r="H1086" t="s">
        <v>1734</v>
      </c>
      <c r="I1086" t="s">
        <v>71</v>
      </c>
      <c r="J1086" t="s">
        <v>72</v>
      </c>
      <c r="K1086" t="s">
        <v>65</v>
      </c>
      <c r="L1086" t="s">
        <v>150</v>
      </c>
      <c r="M1086" t="s">
        <v>144</v>
      </c>
      <c r="N1086" t="s">
        <v>3122</v>
      </c>
      <c r="O1086">
        <v>1132</v>
      </c>
      <c r="P1086" t="s">
        <v>35</v>
      </c>
      <c r="Q1086"/>
      <c r="R1086">
        <v>1135</v>
      </c>
      <c r="S1086">
        <v>1132</v>
      </c>
      <c r="T1086" t="s">
        <v>1817</v>
      </c>
      <c r="U1086" t="s">
        <v>2049</v>
      </c>
      <c r="V1086" t="s">
        <v>27</v>
      </c>
      <c r="W1086" t="s">
        <v>66</v>
      </c>
      <c r="X1086" t="s">
        <v>67</v>
      </c>
      <c r="Y1086" t="s">
        <v>138</v>
      </c>
      <c r="Z1086"/>
      <c r="AA1086" t="s">
        <v>494</v>
      </c>
      <c r="AB1086"/>
      <c r="AC1086" t="s">
        <v>139</v>
      </c>
      <c r="AD1086" t="s">
        <v>3363</v>
      </c>
      <c r="AE1086"/>
      <c r="AF1086"/>
      <c r="AG1086" t="s">
        <v>71</v>
      </c>
      <c r="AH1086" t="s">
        <v>68</v>
      </c>
      <c r="AI1086" t="s">
        <v>493</v>
      </c>
      <c r="AJ1086"/>
      <c r="AK1086"/>
    </row>
    <row r="1087" spans="1:37">
      <c r="A1087" t="s">
        <v>23</v>
      </c>
      <c r="B1087" t="s">
        <v>24</v>
      </c>
      <c r="C1087" t="s">
        <v>179</v>
      </c>
      <c r="D1087" t="s">
        <v>135</v>
      </c>
      <c r="E1087" t="s">
        <v>2782</v>
      </c>
      <c r="F1087" t="s">
        <v>931</v>
      </c>
      <c r="G1087" t="s">
        <v>136</v>
      </c>
      <c r="H1087" t="s">
        <v>146</v>
      </c>
      <c r="I1087" t="s">
        <v>156</v>
      </c>
      <c r="J1087" t="s">
        <v>26</v>
      </c>
      <c r="K1087" t="s">
        <v>157</v>
      </c>
      <c r="L1087" t="s">
        <v>162</v>
      </c>
      <c r="M1087" t="s">
        <v>144</v>
      </c>
      <c r="N1087" t="s">
        <v>3123</v>
      </c>
      <c r="O1087">
        <v>1</v>
      </c>
      <c r="P1087" t="s">
        <v>160</v>
      </c>
      <c r="Q1087"/>
      <c r="R1087">
        <v>804</v>
      </c>
      <c r="S1087">
        <v>798.4</v>
      </c>
      <c r="T1087" t="s">
        <v>145</v>
      </c>
      <c r="U1087" t="s">
        <v>3292</v>
      </c>
      <c r="V1087" t="s">
        <v>27</v>
      </c>
      <c r="W1087" t="s">
        <v>66</v>
      </c>
      <c r="X1087" t="s">
        <v>67</v>
      </c>
      <c r="Y1087" t="s">
        <v>148</v>
      </c>
      <c r="Z1087"/>
      <c r="AA1087" t="s">
        <v>494</v>
      </c>
      <c r="AB1087"/>
      <c r="AC1087" t="s">
        <v>139</v>
      </c>
      <c r="AD1087" t="s">
        <v>3364</v>
      </c>
      <c r="AE1087"/>
      <c r="AF1087" t="s">
        <v>493</v>
      </c>
      <c r="AG1087" t="s">
        <v>156</v>
      </c>
      <c r="AH1087" t="s">
        <v>68</v>
      </c>
      <c r="AI1087" t="s">
        <v>493</v>
      </c>
      <c r="AJ1087"/>
      <c r="AK1087" t="s">
        <v>3124</v>
      </c>
    </row>
    <row r="1088" spans="1:37">
      <c r="A1088" t="s">
        <v>23</v>
      </c>
      <c r="B1088" t="s">
        <v>24</v>
      </c>
      <c r="C1088" t="s">
        <v>179</v>
      </c>
      <c r="D1088" t="s">
        <v>135</v>
      </c>
      <c r="E1088" t="s">
        <v>2782</v>
      </c>
      <c r="F1088" t="s">
        <v>931</v>
      </c>
      <c r="G1088" t="s">
        <v>136</v>
      </c>
      <c r="H1088" t="s">
        <v>146</v>
      </c>
      <c r="I1088" t="s">
        <v>156</v>
      </c>
      <c r="J1088" t="s">
        <v>26</v>
      </c>
      <c r="K1088" t="s">
        <v>157</v>
      </c>
      <c r="L1088" t="s">
        <v>162</v>
      </c>
      <c r="M1088" t="s">
        <v>144</v>
      </c>
      <c r="N1088" t="s">
        <v>3125</v>
      </c>
      <c r="O1088">
        <v>1</v>
      </c>
      <c r="P1088" t="s">
        <v>160</v>
      </c>
      <c r="Q1088"/>
      <c r="R1088">
        <v>801</v>
      </c>
      <c r="S1088">
        <v>798.4</v>
      </c>
      <c r="T1088" t="s">
        <v>145</v>
      </c>
      <c r="U1088" t="s">
        <v>3292</v>
      </c>
      <c r="V1088" t="s">
        <v>27</v>
      </c>
      <c r="W1088" t="s">
        <v>66</v>
      </c>
      <c r="X1088" t="s">
        <v>67</v>
      </c>
      <c r="Y1088" t="s">
        <v>148</v>
      </c>
      <c r="Z1088"/>
      <c r="AA1088" t="s">
        <v>494</v>
      </c>
      <c r="AB1088"/>
      <c r="AC1088" t="s">
        <v>139</v>
      </c>
      <c r="AD1088" t="s">
        <v>3365</v>
      </c>
      <c r="AE1088"/>
      <c r="AF1088" t="s">
        <v>493</v>
      </c>
      <c r="AG1088" t="s">
        <v>156</v>
      </c>
      <c r="AH1088" t="s">
        <v>68</v>
      </c>
      <c r="AI1088" t="s">
        <v>493</v>
      </c>
      <c r="AJ1088"/>
      <c r="AK1088" t="s">
        <v>3126</v>
      </c>
    </row>
    <row r="1089" spans="1:37">
      <c r="A1089" t="s">
        <v>23</v>
      </c>
      <c r="B1089" t="s">
        <v>24</v>
      </c>
      <c r="C1089" t="s">
        <v>934</v>
      </c>
      <c r="D1089" t="s">
        <v>135</v>
      </c>
      <c r="E1089" t="s">
        <v>3105</v>
      </c>
      <c r="F1089" t="s">
        <v>931</v>
      </c>
      <c r="G1089" t="s">
        <v>136</v>
      </c>
      <c r="H1089" t="s">
        <v>1734</v>
      </c>
      <c r="I1089" t="s">
        <v>71</v>
      </c>
      <c r="J1089" t="s">
        <v>72</v>
      </c>
      <c r="K1089" t="s">
        <v>65</v>
      </c>
      <c r="L1089" t="s">
        <v>150</v>
      </c>
      <c r="M1089" t="s">
        <v>144</v>
      </c>
      <c r="N1089" t="s">
        <v>3127</v>
      </c>
      <c r="O1089">
        <v>1136</v>
      </c>
      <c r="P1089" t="s">
        <v>35</v>
      </c>
      <c r="Q1089"/>
      <c r="R1089">
        <v>1139</v>
      </c>
      <c r="S1089">
        <v>1136</v>
      </c>
      <c r="T1089" t="s">
        <v>1817</v>
      </c>
      <c r="U1089" t="s">
        <v>2049</v>
      </c>
      <c r="V1089" t="s">
        <v>27</v>
      </c>
      <c r="W1089" t="s">
        <v>66</v>
      </c>
      <c r="X1089" t="s">
        <v>67</v>
      </c>
      <c r="Y1089" t="s">
        <v>138</v>
      </c>
      <c r="Z1089"/>
      <c r="AA1089" t="s">
        <v>494</v>
      </c>
      <c r="AB1089"/>
      <c r="AC1089" t="s">
        <v>139</v>
      </c>
      <c r="AD1089" t="s">
        <v>3366</v>
      </c>
      <c r="AE1089"/>
      <c r="AF1089"/>
      <c r="AG1089" t="s">
        <v>71</v>
      </c>
      <c r="AH1089" t="s">
        <v>68</v>
      </c>
      <c r="AI1089" t="s">
        <v>493</v>
      </c>
      <c r="AJ1089"/>
      <c r="AK1089"/>
    </row>
    <row r="1090" spans="1:37">
      <c r="A1090" t="s">
        <v>23</v>
      </c>
      <c r="B1090" t="s">
        <v>24</v>
      </c>
      <c r="C1090" t="s">
        <v>179</v>
      </c>
      <c r="D1090" t="s">
        <v>135</v>
      </c>
      <c r="E1090" t="s">
        <v>2782</v>
      </c>
      <c r="F1090" t="s">
        <v>931</v>
      </c>
      <c r="G1090" t="s">
        <v>136</v>
      </c>
      <c r="H1090" t="s">
        <v>146</v>
      </c>
      <c r="I1090" t="s">
        <v>156</v>
      </c>
      <c r="J1090" t="s">
        <v>26</v>
      </c>
      <c r="K1090" t="s">
        <v>157</v>
      </c>
      <c r="L1090" t="s">
        <v>162</v>
      </c>
      <c r="M1090" t="s">
        <v>144</v>
      </c>
      <c r="N1090" t="s">
        <v>3128</v>
      </c>
      <c r="O1090">
        <v>1</v>
      </c>
      <c r="P1090" t="s">
        <v>160</v>
      </c>
      <c r="Q1090"/>
      <c r="R1090">
        <v>804</v>
      </c>
      <c r="S1090">
        <v>798.4</v>
      </c>
      <c r="T1090" t="s">
        <v>145</v>
      </c>
      <c r="U1090" t="s">
        <v>3292</v>
      </c>
      <c r="V1090" t="s">
        <v>27</v>
      </c>
      <c r="W1090" t="s">
        <v>66</v>
      </c>
      <c r="X1090" t="s">
        <v>67</v>
      </c>
      <c r="Y1090" t="s">
        <v>148</v>
      </c>
      <c r="Z1090"/>
      <c r="AA1090" t="s">
        <v>494</v>
      </c>
      <c r="AB1090"/>
      <c r="AC1090" t="s">
        <v>139</v>
      </c>
      <c r="AD1090" t="s">
        <v>3367</v>
      </c>
      <c r="AE1090"/>
      <c r="AF1090" t="s">
        <v>493</v>
      </c>
      <c r="AG1090" t="s">
        <v>156</v>
      </c>
      <c r="AH1090" t="s">
        <v>68</v>
      </c>
      <c r="AI1090" t="s">
        <v>493</v>
      </c>
      <c r="AJ1090"/>
      <c r="AK1090" t="s">
        <v>3129</v>
      </c>
    </row>
    <row r="1091" spans="1:37">
      <c r="A1091" t="s">
        <v>23</v>
      </c>
      <c r="B1091" t="s">
        <v>24</v>
      </c>
      <c r="C1091" t="s">
        <v>934</v>
      </c>
      <c r="D1091" t="s">
        <v>135</v>
      </c>
      <c r="E1091" t="s">
        <v>3105</v>
      </c>
      <c r="F1091" t="s">
        <v>931</v>
      </c>
      <c r="G1091" t="s">
        <v>136</v>
      </c>
      <c r="H1091" t="s">
        <v>1734</v>
      </c>
      <c r="I1091" t="s">
        <v>71</v>
      </c>
      <c r="J1091" t="s">
        <v>72</v>
      </c>
      <c r="K1091" t="s">
        <v>65</v>
      </c>
      <c r="L1091" t="s">
        <v>150</v>
      </c>
      <c r="M1091" t="s">
        <v>144</v>
      </c>
      <c r="N1091" t="s">
        <v>3130</v>
      </c>
      <c r="O1091">
        <v>1161</v>
      </c>
      <c r="P1091" t="s">
        <v>35</v>
      </c>
      <c r="Q1091"/>
      <c r="R1091">
        <v>1164</v>
      </c>
      <c r="S1091">
        <v>1161</v>
      </c>
      <c r="T1091" t="s">
        <v>1817</v>
      </c>
      <c r="U1091" t="s">
        <v>2049</v>
      </c>
      <c r="V1091" t="s">
        <v>27</v>
      </c>
      <c r="W1091" t="s">
        <v>66</v>
      </c>
      <c r="X1091" t="s">
        <v>67</v>
      </c>
      <c r="Y1091" t="s">
        <v>138</v>
      </c>
      <c r="Z1091"/>
      <c r="AA1091" t="s">
        <v>494</v>
      </c>
      <c r="AB1091"/>
      <c r="AC1091" t="s">
        <v>139</v>
      </c>
      <c r="AD1091" t="s">
        <v>3368</v>
      </c>
      <c r="AE1091"/>
      <c r="AF1091"/>
      <c r="AG1091" t="s">
        <v>71</v>
      </c>
      <c r="AH1091" t="s">
        <v>68</v>
      </c>
      <c r="AI1091" t="s">
        <v>493</v>
      </c>
      <c r="AJ1091"/>
      <c r="AK1091"/>
    </row>
    <row r="1092" spans="1:37">
      <c r="A1092" t="s">
        <v>23</v>
      </c>
      <c r="B1092" t="s">
        <v>24</v>
      </c>
      <c r="C1092" t="s">
        <v>179</v>
      </c>
      <c r="D1092" t="s">
        <v>135</v>
      </c>
      <c r="E1092" t="s">
        <v>2782</v>
      </c>
      <c r="F1092" t="s">
        <v>931</v>
      </c>
      <c r="G1092" t="s">
        <v>136</v>
      </c>
      <c r="H1092" t="s">
        <v>146</v>
      </c>
      <c r="I1092" t="s">
        <v>156</v>
      </c>
      <c r="J1092" t="s">
        <v>26</v>
      </c>
      <c r="K1092" t="s">
        <v>157</v>
      </c>
      <c r="L1092" t="s">
        <v>162</v>
      </c>
      <c r="M1092" t="s">
        <v>144</v>
      </c>
      <c r="N1092" t="s">
        <v>3131</v>
      </c>
      <c r="O1092">
        <v>1</v>
      </c>
      <c r="P1092" t="s">
        <v>160</v>
      </c>
      <c r="Q1092"/>
      <c r="R1092">
        <v>804</v>
      </c>
      <c r="S1092">
        <v>798.4</v>
      </c>
      <c r="T1092" t="s">
        <v>145</v>
      </c>
      <c r="U1092" t="s">
        <v>3292</v>
      </c>
      <c r="V1092" t="s">
        <v>27</v>
      </c>
      <c r="W1092" t="s">
        <v>66</v>
      </c>
      <c r="X1092" t="s">
        <v>67</v>
      </c>
      <c r="Y1092" t="s">
        <v>148</v>
      </c>
      <c r="Z1092"/>
      <c r="AA1092" t="s">
        <v>494</v>
      </c>
      <c r="AB1092"/>
      <c r="AC1092" t="s">
        <v>139</v>
      </c>
      <c r="AD1092" t="s">
        <v>3369</v>
      </c>
      <c r="AE1092"/>
      <c r="AF1092" t="s">
        <v>493</v>
      </c>
      <c r="AG1092" t="s">
        <v>156</v>
      </c>
      <c r="AH1092" t="s">
        <v>68</v>
      </c>
      <c r="AI1092" t="s">
        <v>493</v>
      </c>
      <c r="AJ1092"/>
      <c r="AK1092" t="s">
        <v>3132</v>
      </c>
    </row>
    <row r="1093" spans="1:37">
      <c r="A1093" t="s">
        <v>23</v>
      </c>
      <c r="B1093" t="s">
        <v>24</v>
      </c>
      <c r="C1093" t="s">
        <v>934</v>
      </c>
      <c r="D1093" t="s">
        <v>135</v>
      </c>
      <c r="E1093" t="s">
        <v>3105</v>
      </c>
      <c r="F1093" t="s">
        <v>931</v>
      </c>
      <c r="G1093" t="s">
        <v>136</v>
      </c>
      <c r="H1093" t="s">
        <v>1734</v>
      </c>
      <c r="I1093" t="s">
        <v>71</v>
      </c>
      <c r="J1093" t="s">
        <v>72</v>
      </c>
      <c r="K1093" t="s">
        <v>65</v>
      </c>
      <c r="L1093" t="s">
        <v>150</v>
      </c>
      <c r="M1093" t="s">
        <v>144</v>
      </c>
      <c r="N1093" t="s">
        <v>3133</v>
      </c>
      <c r="O1093">
        <v>1107</v>
      </c>
      <c r="P1093" t="s">
        <v>35</v>
      </c>
      <c r="Q1093"/>
      <c r="R1093">
        <v>1110</v>
      </c>
      <c r="S1093">
        <v>1107</v>
      </c>
      <c r="T1093" t="s">
        <v>1817</v>
      </c>
      <c r="U1093" t="s">
        <v>2049</v>
      </c>
      <c r="V1093" t="s">
        <v>27</v>
      </c>
      <c r="W1093" t="s">
        <v>66</v>
      </c>
      <c r="X1093" t="s">
        <v>67</v>
      </c>
      <c r="Y1093" t="s">
        <v>138</v>
      </c>
      <c r="Z1093"/>
      <c r="AA1093" t="s">
        <v>494</v>
      </c>
      <c r="AB1093"/>
      <c r="AC1093" t="s">
        <v>139</v>
      </c>
      <c r="AD1093" t="s">
        <v>3370</v>
      </c>
      <c r="AE1093"/>
      <c r="AF1093"/>
      <c r="AG1093" t="s">
        <v>71</v>
      </c>
      <c r="AH1093" t="s">
        <v>68</v>
      </c>
      <c r="AI1093" t="s">
        <v>493</v>
      </c>
      <c r="AJ1093"/>
      <c r="AK1093"/>
    </row>
    <row r="1094" spans="1:37">
      <c r="A1094" t="s">
        <v>23</v>
      </c>
      <c r="B1094" t="s">
        <v>24</v>
      </c>
      <c r="C1094" t="s">
        <v>177</v>
      </c>
      <c r="D1094" t="s">
        <v>135</v>
      </c>
      <c r="E1094" t="s">
        <v>3134</v>
      </c>
      <c r="F1094" t="s">
        <v>931</v>
      </c>
      <c r="G1094" t="s">
        <v>136</v>
      </c>
      <c r="H1094" t="s">
        <v>146</v>
      </c>
      <c r="I1094" t="s">
        <v>156</v>
      </c>
      <c r="J1094" t="s">
        <v>25</v>
      </c>
      <c r="K1094" t="s">
        <v>157</v>
      </c>
      <c r="L1094" t="s">
        <v>150</v>
      </c>
      <c r="M1094" t="s">
        <v>144</v>
      </c>
      <c r="N1094" t="s">
        <v>3135</v>
      </c>
      <c r="O1094">
        <v>26</v>
      </c>
      <c r="P1094" t="s">
        <v>159</v>
      </c>
      <c r="Q1094"/>
      <c r="R1094">
        <v>551</v>
      </c>
      <c r="S1094">
        <v>518.96</v>
      </c>
      <c r="T1094" t="s">
        <v>145</v>
      </c>
      <c r="U1094" t="s">
        <v>185</v>
      </c>
      <c r="V1094" t="s">
        <v>27</v>
      </c>
      <c r="W1094" t="s">
        <v>1082</v>
      </c>
      <c r="X1094" t="s">
        <v>27</v>
      </c>
      <c r="Y1094" t="s">
        <v>138</v>
      </c>
      <c r="Z1094"/>
      <c r="AA1094" t="s">
        <v>494</v>
      </c>
      <c r="AB1094"/>
      <c r="AC1094" t="s">
        <v>139</v>
      </c>
      <c r="AD1094" t="s">
        <v>3371</v>
      </c>
      <c r="AE1094"/>
      <c r="AF1094"/>
      <c r="AG1094" t="s">
        <v>156</v>
      </c>
      <c r="AH1094" t="s">
        <v>68</v>
      </c>
      <c r="AI1094" t="s">
        <v>493</v>
      </c>
      <c r="AJ1094"/>
      <c r="AK1094"/>
    </row>
    <row r="1095" spans="1:37">
      <c r="A1095" t="s">
        <v>23</v>
      </c>
      <c r="B1095" t="s">
        <v>24</v>
      </c>
      <c r="C1095" t="s">
        <v>1618</v>
      </c>
      <c r="D1095" t="s">
        <v>135</v>
      </c>
      <c r="E1095" t="s">
        <v>3136</v>
      </c>
      <c r="F1095" t="s">
        <v>931</v>
      </c>
      <c r="G1095" t="s">
        <v>136</v>
      </c>
      <c r="H1095" t="s">
        <v>151</v>
      </c>
      <c r="I1095" t="s">
        <v>156</v>
      </c>
      <c r="J1095" t="s">
        <v>26</v>
      </c>
      <c r="K1095" t="s">
        <v>157</v>
      </c>
      <c r="L1095" t="s">
        <v>150</v>
      </c>
      <c r="M1095" t="s">
        <v>144</v>
      </c>
      <c r="N1095" t="s">
        <v>3137</v>
      </c>
      <c r="O1095">
        <v>1</v>
      </c>
      <c r="P1095" t="s">
        <v>160</v>
      </c>
      <c r="Q1095"/>
      <c r="R1095">
        <v>626</v>
      </c>
      <c r="S1095">
        <v>622.4</v>
      </c>
      <c r="T1095" t="s">
        <v>145</v>
      </c>
      <c r="U1095" t="s">
        <v>3372</v>
      </c>
      <c r="V1095" t="s">
        <v>27</v>
      </c>
      <c r="W1095" t="s">
        <v>66</v>
      </c>
      <c r="X1095" t="s">
        <v>67</v>
      </c>
      <c r="Y1095" t="s">
        <v>138</v>
      </c>
      <c r="Z1095"/>
      <c r="AA1095" t="s">
        <v>494</v>
      </c>
      <c r="AB1095"/>
      <c r="AC1095" t="s">
        <v>139</v>
      </c>
      <c r="AD1095" t="s">
        <v>3373</v>
      </c>
      <c r="AE1095"/>
      <c r="AF1095"/>
      <c r="AG1095" t="s">
        <v>156</v>
      </c>
      <c r="AH1095" t="s">
        <v>68</v>
      </c>
      <c r="AI1095" t="s">
        <v>493</v>
      </c>
      <c r="AJ1095"/>
      <c r="AK1095" t="s">
        <v>3138</v>
      </c>
    </row>
    <row r="1096" spans="1:37">
      <c r="A1096" t="s">
        <v>23</v>
      </c>
      <c r="B1096" t="s">
        <v>24</v>
      </c>
      <c r="C1096" t="s">
        <v>1618</v>
      </c>
      <c r="D1096" t="s">
        <v>135</v>
      </c>
      <c r="E1096" t="s">
        <v>3136</v>
      </c>
      <c r="F1096" t="s">
        <v>931</v>
      </c>
      <c r="G1096" t="s">
        <v>136</v>
      </c>
      <c r="H1096" t="s">
        <v>151</v>
      </c>
      <c r="I1096" t="s">
        <v>156</v>
      </c>
      <c r="J1096" t="s">
        <v>26</v>
      </c>
      <c r="K1096" t="s">
        <v>157</v>
      </c>
      <c r="L1096" t="s">
        <v>150</v>
      </c>
      <c r="M1096" t="s">
        <v>144</v>
      </c>
      <c r="N1096" t="s">
        <v>3139</v>
      </c>
      <c r="O1096">
        <v>1</v>
      </c>
      <c r="P1096" t="s">
        <v>160</v>
      </c>
      <c r="Q1096"/>
      <c r="R1096">
        <v>626</v>
      </c>
      <c r="S1096">
        <v>622.4</v>
      </c>
      <c r="T1096" t="s">
        <v>145</v>
      </c>
      <c r="U1096" t="s">
        <v>3372</v>
      </c>
      <c r="V1096" t="s">
        <v>27</v>
      </c>
      <c r="W1096" t="s">
        <v>66</v>
      </c>
      <c r="X1096" t="s">
        <v>67</v>
      </c>
      <c r="Y1096" t="s">
        <v>138</v>
      </c>
      <c r="Z1096"/>
      <c r="AA1096" t="s">
        <v>494</v>
      </c>
      <c r="AB1096"/>
      <c r="AC1096" t="s">
        <v>139</v>
      </c>
      <c r="AD1096" t="s">
        <v>3374</v>
      </c>
      <c r="AE1096"/>
      <c r="AF1096"/>
      <c r="AG1096" t="s">
        <v>156</v>
      </c>
      <c r="AH1096" t="s">
        <v>68</v>
      </c>
      <c r="AI1096" t="s">
        <v>493</v>
      </c>
      <c r="AJ1096"/>
      <c r="AK1096" t="s">
        <v>3140</v>
      </c>
    </row>
    <row r="1097" spans="1:37">
      <c r="A1097" t="s">
        <v>23</v>
      </c>
      <c r="B1097" t="s">
        <v>24</v>
      </c>
      <c r="C1097" t="s">
        <v>1618</v>
      </c>
      <c r="D1097" t="s">
        <v>135</v>
      </c>
      <c r="E1097" t="s">
        <v>3136</v>
      </c>
      <c r="F1097" t="s">
        <v>931</v>
      </c>
      <c r="G1097" t="s">
        <v>136</v>
      </c>
      <c r="H1097" t="s">
        <v>151</v>
      </c>
      <c r="I1097" t="s">
        <v>156</v>
      </c>
      <c r="J1097" t="s">
        <v>26</v>
      </c>
      <c r="K1097" t="s">
        <v>157</v>
      </c>
      <c r="L1097" t="s">
        <v>150</v>
      </c>
      <c r="M1097" t="s">
        <v>144</v>
      </c>
      <c r="N1097" t="s">
        <v>3141</v>
      </c>
      <c r="O1097">
        <v>1</v>
      </c>
      <c r="P1097" t="s">
        <v>160</v>
      </c>
      <c r="Q1097"/>
      <c r="R1097">
        <v>626</v>
      </c>
      <c r="S1097">
        <v>622.4</v>
      </c>
      <c r="T1097" t="s">
        <v>145</v>
      </c>
      <c r="U1097" t="s">
        <v>3372</v>
      </c>
      <c r="V1097" t="s">
        <v>27</v>
      </c>
      <c r="W1097" t="s">
        <v>66</v>
      </c>
      <c r="X1097" t="s">
        <v>67</v>
      </c>
      <c r="Y1097" t="s">
        <v>138</v>
      </c>
      <c r="Z1097"/>
      <c r="AA1097" t="s">
        <v>494</v>
      </c>
      <c r="AB1097"/>
      <c r="AC1097" t="s">
        <v>139</v>
      </c>
      <c r="AD1097" t="s">
        <v>3375</v>
      </c>
      <c r="AE1097"/>
      <c r="AF1097"/>
      <c r="AG1097" t="s">
        <v>156</v>
      </c>
      <c r="AH1097" t="s">
        <v>68</v>
      </c>
      <c r="AI1097" t="s">
        <v>493</v>
      </c>
      <c r="AJ1097"/>
      <c r="AK1097" t="s">
        <v>3142</v>
      </c>
    </row>
    <row r="1098" spans="1:37">
      <c r="A1098" t="s">
        <v>23</v>
      </c>
      <c r="B1098" t="s">
        <v>24</v>
      </c>
      <c r="C1098" t="s">
        <v>1618</v>
      </c>
      <c r="D1098" t="s">
        <v>135</v>
      </c>
      <c r="E1098" t="s">
        <v>3136</v>
      </c>
      <c r="F1098" t="s">
        <v>931</v>
      </c>
      <c r="G1098" t="s">
        <v>136</v>
      </c>
      <c r="H1098" t="s">
        <v>151</v>
      </c>
      <c r="I1098" t="s">
        <v>156</v>
      </c>
      <c r="J1098" t="s">
        <v>26</v>
      </c>
      <c r="K1098" t="s">
        <v>157</v>
      </c>
      <c r="L1098" t="s">
        <v>150</v>
      </c>
      <c r="M1098" t="s">
        <v>144</v>
      </c>
      <c r="N1098" t="s">
        <v>3143</v>
      </c>
      <c r="O1098">
        <v>1</v>
      </c>
      <c r="P1098" t="s">
        <v>160</v>
      </c>
      <c r="Q1098"/>
      <c r="R1098">
        <v>626</v>
      </c>
      <c r="S1098">
        <v>622.4</v>
      </c>
      <c r="T1098" t="s">
        <v>145</v>
      </c>
      <c r="U1098" t="s">
        <v>3372</v>
      </c>
      <c r="V1098" t="s">
        <v>27</v>
      </c>
      <c r="W1098" t="s">
        <v>66</v>
      </c>
      <c r="X1098" t="s">
        <v>67</v>
      </c>
      <c r="Y1098" t="s">
        <v>138</v>
      </c>
      <c r="Z1098"/>
      <c r="AA1098" t="s">
        <v>494</v>
      </c>
      <c r="AB1098"/>
      <c r="AC1098" t="s">
        <v>139</v>
      </c>
      <c r="AD1098" t="s">
        <v>3376</v>
      </c>
      <c r="AE1098"/>
      <c r="AF1098"/>
      <c r="AG1098" t="s">
        <v>156</v>
      </c>
      <c r="AH1098" t="s">
        <v>68</v>
      </c>
      <c r="AI1098" t="s">
        <v>493</v>
      </c>
      <c r="AJ1098"/>
      <c r="AK1098" t="s">
        <v>3144</v>
      </c>
    </row>
    <row r="1099" spans="1:37">
      <c r="A1099" t="s">
        <v>23</v>
      </c>
      <c r="B1099" t="s">
        <v>24</v>
      </c>
      <c r="C1099" t="s">
        <v>1618</v>
      </c>
      <c r="D1099" t="s">
        <v>135</v>
      </c>
      <c r="E1099" t="s">
        <v>3136</v>
      </c>
      <c r="F1099" t="s">
        <v>931</v>
      </c>
      <c r="G1099" t="s">
        <v>136</v>
      </c>
      <c r="H1099" t="s">
        <v>151</v>
      </c>
      <c r="I1099" t="s">
        <v>156</v>
      </c>
      <c r="J1099" t="s">
        <v>26</v>
      </c>
      <c r="K1099" t="s">
        <v>157</v>
      </c>
      <c r="L1099" t="s">
        <v>150</v>
      </c>
      <c r="M1099" t="s">
        <v>144</v>
      </c>
      <c r="N1099" t="s">
        <v>3145</v>
      </c>
      <c r="O1099">
        <v>1</v>
      </c>
      <c r="P1099" t="s">
        <v>160</v>
      </c>
      <c r="Q1099"/>
      <c r="R1099">
        <v>626</v>
      </c>
      <c r="S1099">
        <v>622.4</v>
      </c>
      <c r="T1099" t="s">
        <v>145</v>
      </c>
      <c r="U1099" t="s">
        <v>3372</v>
      </c>
      <c r="V1099" t="s">
        <v>27</v>
      </c>
      <c r="W1099" t="s">
        <v>66</v>
      </c>
      <c r="X1099" t="s">
        <v>67</v>
      </c>
      <c r="Y1099" t="s">
        <v>138</v>
      </c>
      <c r="Z1099"/>
      <c r="AA1099" t="s">
        <v>494</v>
      </c>
      <c r="AB1099"/>
      <c r="AC1099" t="s">
        <v>139</v>
      </c>
      <c r="AD1099" t="s">
        <v>3377</v>
      </c>
      <c r="AE1099"/>
      <c r="AF1099"/>
      <c r="AG1099" t="s">
        <v>156</v>
      </c>
      <c r="AH1099" t="s">
        <v>68</v>
      </c>
      <c r="AI1099" t="s">
        <v>493</v>
      </c>
      <c r="AJ1099"/>
      <c r="AK1099" t="s">
        <v>3146</v>
      </c>
    </row>
    <row r="1100" spans="1:37">
      <c r="A1100" t="s">
        <v>23</v>
      </c>
      <c r="B1100" t="s">
        <v>24</v>
      </c>
      <c r="C1100" t="s">
        <v>1618</v>
      </c>
      <c r="D1100" t="s">
        <v>135</v>
      </c>
      <c r="E1100" t="s">
        <v>3136</v>
      </c>
      <c r="F1100" t="s">
        <v>931</v>
      </c>
      <c r="G1100" t="s">
        <v>136</v>
      </c>
      <c r="H1100" t="s">
        <v>151</v>
      </c>
      <c r="I1100" t="s">
        <v>156</v>
      </c>
      <c r="J1100" t="s">
        <v>26</v>
      </c>
      <c r="K1100" t="s">
        <v>157</v>
      </c>
      <c r="L1100" t="s">
        <v>150</v>
      </c>
      <c r="M1100" t="s">
        <v>144</v>
      </c>
      <c r="N1100" t="s">
        <v>3147</v>
      </c>
      <c r="O1100">
        <v>1</v>
      </c>
      <c r="P1100" t="s">
        <v>160</v>
      </c>
      <c r="Q1100"/>
      <c r="R1100">
        <v>624</v>
      </c>
      <c r="S1100">
        <v>622.4</v>
      </c>
      <c r="T1100" t="s">
        <v>145</v>
      </c>
      <c r="U1100" t="s">
        <v>3372</v>
      </c>
      <c r="V1100" t="s">
        <v>27</v>
      </c>
      <c r="W1100" t="s">
        <v>66</v>
      </c>
      <c r="X1100" t="s">
        <v>67</v>
      </c>
      <c r="Y1100" t="s">
        <v>138</v>
      </c>
      <c r="Z1100"/>
      <c r="AA1100" t="s">
        <v>494</v>
      </c>
      <c r="AB1100"/>
      <c r="AC1100" t="s">
        <v>139</v>
      </c>
      <c r="AD1100" t="s">
        <v>3378</v>
      </c>
      <c r="AE1100"/>
      <c r="AF1100"/>
      <c r="AG1100" t="s">
        <v>156</v>
      </c>
      <c r="AH1100" t="s">
        <v>68</v>
      </c>
      <c r="AI1100" t="s">
        <v>493</v>
      </c>
      <c r="AJ1100"/>
      <c r="AK1100" t="s">
        <v>3148</v>
      </c>
    </row>
    <row r="1101" spans="1:37">
      <c r="A1101" t="s">
        <v>23</v>
      </c>
      <c r="B1101" t="s">
        <v>24</v>
      </c>
      <c r="C1101" t="s">
        <v>934</v>
      </c>
      <c r="D1101" t="s">
        <v>135</v>
      </c>
      <c r="E1101" t="s">
        <v>3105</v>
      </c>
      <c r="F1101" t="s">
        <v>931</v>
      </c>
      <c r="G1101" t="s">
        <v>136</v>
      </c>
      <c r="H1101" t="s">
        <v>1734</v>
      </c>
      <c r="I1101" t="s">
        <v>71</v>
      </c>
      <c r="J1101" t="s">
        <v>72</v>
      </c>
      <c r="K1101" t="s">
        <v>65</v>
      </c>
      <c r="L1101" t="s">
        <v>150</v>
      </c>
      <c r="M1101" t="s">
        <v>144</v>
      </c>
      <c r="N1101" t="s">
        <v>3149</v>
      </c>
      <c r="O1101">
        <v>970</v>
      </c>
      <c r="P1101" t="s">
        <v>35</v>
      </c>
      <c r="Q1101"/>
      <c r="R1101">
        <v>973</v>
      </c>
      <c r="S1101">
        <v>970</v>
      </c>
      <c r="T1101" t="s">
        <v>1817</v>
      </c>
      <c r="U1101" t="s">
        <v>2049</v>
      </c>
      <c r="V1101" t="s">
        <v>27</v>
      </c>
      <c r="W1101" t="s">
        <v>66</v>
      </c>
      <c r="X1101" t="s">
        <v>67</v>
      </c>
      <c r="Y1101" t="s">
        <v>138</v>
      </c>
      <c r="Z1101"/>
      <c r="AA1101" t="s">
        <v>494</v>
      </c>
      <c r="AB1101"/>
      <c r="AC1101" t="s">
        <v>139</v>
      </c>
      <c r="AD1101" t="s">
        <v>3379</v>
      </c>
      <c r="AE1101"/>
      <c r="AF1101"/>
      <c r="AG1101" t="s">
        <v>71</v>
      </c>
      <c r="AH1101" t="s">
        <v>68</v>
      </c>
      <c r="AI1101" t="s">
        <v>493</v>
      </c>
      <c r="AJ1101"/>
      <c r="AK1101"/>
    </row>
    <row r="1102" spans="1:37">
      <c r="A1102" t="s">
        <v>23</v>
      </c>
      <c r="B1102" t="s">
        <v>24</v>
      </c>
      <c r="C1102" t="s">
        <v>934</v>
      </c>
      <c r="D1102" t="s">
        <v>135</v>
      </c>
      <c r="E1102" t="s">
        <v>3105</v>
      </c>
      <c r="F1102" t="s">
        <v>931</v>
      </c>
      <c r="G1102" t="s">
        <v>136</v>
      </c>
      <c r="H1102" t="s">
        <v>1734</v>
      </c>
      <c r="I1102" t="s">
        <v>71</v>
      </c>
      <c r="J1102" t="s">
        <v>72</v>
      </c>
      <c r="K1102" t="s">
        <v>65</v>
      </c>
      <c r="L1102" t="s">
        <v>150</v>
      </c>
      <c r="M1102" t="s">
        <v>144</v>
      </c>
      <c r="N1102" t="s">
        <v>3150</v>
      </c>
      <c r="O1102">
        <v>322</v>
      </c>
      <c r="P1102" t="s">
        <v>35</v>
      </c>
      <c r="Q1102"/>
      <c r="R1102">
        <v>325</v>
      </c>
      <c r="S1102">
        <v>322</v>
      </c>
      <c r="T1102" t="s">
        <v>1817</v>
      </c>
      <c r="U1102" t="s">
        <v>2049</v>
      </c>
      <c r="V1102" t="s">
        <v>27</v>
      </c>
      <c r="W1102" t="s">
        <v>66</v>
      </c>
      <c r="X1102" t="s">
        <v>67</v>
      </c>
      <c r="Y1102" t="s">
        <v>138</v>
      </c>
      <c r="Z1102"/>
      <c r="AA1102" t="s">
        <v>494</v>
      </c>
      <c r="AB1102"/>
      <c r="AC1102" t="s">
        <v>139</v>
      </c>
      <c r="AD1102" t="s">
        <v>3380</v>
      </c>
      <c r="AE1102"/>
      <c r="AF1102"/>
      <c r="AG1102" t="s">
        <v>71</v>
      </c>
      <c r="AH1102" t="s">
        <v>68</v>
      </c>
      <c r="AI1102" t="s">
        <v>493</v>
      </c>
      <c r="AJ1102"/>
      <c r="AK1102"/>
    </row>
    <row r="1103" spans="1:37">
      <c r="A1103" t="s">
        <v>23</v>
      </c>
      <c r="B1103" t="s">
        <v>24</v>
      </c>
      <c r="C1103" t="s">
        <v>1618</v>
      </c>
      <c r="D1103" t="s">
        <v>135</v>
      </c>
      <c r="E1103" t="s">
        <v>3136</v>
      </c>
      <c r="F1103" t="s">
        <v>931</v>
      </c>
      <c r="G1103" t="s">
        <v>136</v>
      </c>
      <c r="H1103" t="s">
        <v>151</v>
      </c>
      <c r="I1103" t="s">
        <v>156</v>
      </c>
      <c r="J1103" t="s">
        <v>26</v>
      </c>
      <c r="K1103" t="s">
        <v>157</v>
      </c>
      <c r="L1103" t="s">
        <v>150</v>
      </c>
      <c r="M1103" t="s">
        <v>144</v>
      </c>
      <c r="N1103" t="s">
        <v>3151</v>
      </c>
      <c r="O1103">
        <v>1</v>
      </c>
      <c r="P1103" t="s">
        <v>160</v>
      </c>
      <c r="Q1103"/>
      <c r="R1103">
        <v>627</v>
      </c>
      <c r="S1103">
        <v>622.4</v>
      </c>
      <c r="T1103" t="s">
        <v>145</v>
      </c>
      <c r="U1103" t="s">
        <v>3372</v>
      </c>
      <c r="V1103" t="s">
        <v>27</v>
      </c>
      <c r="W1103" t="s">
        <v>66</v>
      </c>
      <c r="X1103" t="s">
        <v>67</v>
      </c>
      <c r="Y1103" t="s">
        <v>138</v>
      </c>
      <c r="Z1103"/>
      <c r="AA1103" t="s">
        <v>494</v>
      </c>
      <c r="AB1103"/>
      <c r="AC1103" t="s">
        <v>139</v>
      </c>
      <c r="AD1103" t="s">
        <v>3381</v>
      </c>
      <c r="AE1103"/>
      <c r="AF1103"/>
      <c r="AG1103" t="s">
        <v>156</v>
      </c>
      <c r="AH1103" t="s">
        <v>68</v>
      </c>
      <c r="AI1103" t="s">
        <v>493</v>
      </c>
      <c r="AJ1103"/>
      <c r="AK1103" t="s">
        <v>3152</v>
      </c>
    </row>
    <row r="1104" spans="1:37">
      <c r="A1104" t="s">
        <v>23</v>
      </c>
      <c r="B1104" t="s">
        <v>24</v>
      </c>
      <c r="C1104" t="s">
        <v>929</v>
      </c>
      <c r="D1104" t="s">
        <v>135</v>
      </c>
      <c r="E1104" t="s">
        <v>3006</v>
      </c>
      <c r="F1104" t="s">
        <v>3007</v>
      </c>
      <c r="G1104" t="s">
        <v>136</v>
      </c>
      <c r="H1104" t="s">
        <v>493</v>
      </c>
      <c r="I1104" t="s">
        <v>932</v>
      </c>
      <c r="J1104" t="s">
        <v>933</v>
      </c>
      <c r="K1104" t="s">
        <v>65</v>
      </c>
      <c r="L1104" t="s">
        <v>162</v>
      </c>
      <c r="M1104" t="s">
        <v>144</v>
      </c>
      <c r="N1104" t="s">
        <v>3153</v>
      </c>
      <c r="O1104">
        <v>756</v>
      </c>
      <c r="P1104" t="s">
        <v>35</v>
      </c>
      <c r="Q1104"/>
      <c r="R1104">
        <v>759</v>
      </c>
      <c r="S1104">
        <v>756</v>
      </c>
      <c r="T1104" t="s">
        <v>493</v>
      </c>
      <c r="U1104" t="s">
        <v>493</v>
      </c>
      <c r="V1104" t="s">
        <v>67</v>
      </c>
      <c r="W1104" t="s">
        <v>66</v>
      </c>
      <c r="X1104" t="s">
        <v>67</v>
      </c>
      <c r="Y1104" t="s">
        <v>935</v>
      </c>
      <c r="Z1104"/>
      <c r="AA1104" t="s">
        <v>494</v>
      </c>
      <c r="AB1104"/>
      <c r="AC1104" t="s">
        <v>139</v>
      </c>
      <c r="AD1104" t="s">
        <v>3154</v>
      </c>
      <c r="AE1104"/>
      <c r="AF1104" t="s">
        <v>2308</v>
      </c>
      <c r="AG1104" t="s">
        <v>493</v>
      </c>
      <c r="AH1104"/>
      <c r="AI1104" t="s">
        <v>493</v>
      </c>
      <c r="AJ1104"/>
      <c r="AK1104"/>
    </row>
    <row r="1105" spans="1:37">
      <c r="A1105" t="s">
        <v>23</v>
      </c>
      <c r="B1105" t="s">
        <v>24</v>
      </c>
      <c r="C1105" t="s">
        <v>929</v>
      </c>
      <c r="D1105" t="s">
        <v>135</v>
      </c>
      <c r="E1105" t="s">
        <v>3006</v>
      </c>
      <c r="F1105" t="s">
        <v>3007</v>
      </c>
      <c r="G1105" t="s">
        <v>136</v>
      </c>
      <c r="H1105" t="s">
        <v>493</v>
      </c>
      <c r="I1105" t="s">
        <v>932</v>
      </c>
      <c r="J1105" t="s">
        <v>933</v>
      </c>
      <c r="K1105" t="s">
        <v>65</v>
      </c>
      <c r="L1105" t="s">
        <v>162</v>
      </c>
      <c r="M1105" t="s">
        <v>144</v>
      </c>
      <c r="N1105" t="s">
        <v>3155</v>
      </c>
      <c r="O1105">
        <v>1172</v>
      </c>
      <c r="P1105" t="s">
        <v>35</v>
      </c>
      <c r="Q1105"/>
      <c r="R1105">
        <v>1175</v>
      </c>
      <c r="S1105">
        <v>1172</v>
      </c>
      <c r="T1105" t="s">
        <v>493</v>
      </c>
      <c r="U1105" t="s">
        <v>493</v>
      </c>
      <c r="V1105" t="s">
        <v>67</v>
      </c>
      <c r="W1105" t="s">
        <v>66</v>
      </c>
      <c r="X1105" t="s">
        <v>67</v>
      </c>
      <c r="Y1105" t="s">
        <v>935</v>
      </c>
      <c r="Z1105"/>
      <c r="AA1105" t="s">
        <v>494</v>
      </c>
      <c r="AB1105"/>
      <c r="AC1105" t="s">
        <v>139</v>
      </c>
      <c r="AD1105" t="s">
        <v>3154</v>
      </c>
      <c r="AE1105"/>
      <c r="AF1105" t="s">
        <v>2308</v>
      </c>
      <c r="AG1105" t="s">
        <v>493</v>
      </c>
      <c r="AH1105"/>
      <c r="AI1105" t="s">
        <v>493</v>
      </c>
      <c r="AJ1105"/>
      <c r="AK1105"/>
    </row>
    <row r="1106" spans="1:37">
      <c r="A1106" t="s">
        <v>23</v>
      </c>
      <c r="B1106" t="s">
        <v>24</v>
      </c>
      <c r="C1106" t="s">
        <v>929</v>
      </c>
      <c r="D1106" t="s">
        <v>135</v>
      </c>
      <c r="E1106" t="s">
        <v>3006</v>
      </c>
      <c r="F1106" t="s">
        <v>3007</v>
      </c>
      <c r="G1106" t="s">
        <v>136</v>
      </c>
      <c r="H1106" t="s">
        <v>493</v>
      </c>
      <c r="I1106" t="s">
        <v>932</v>
      </c>
      <c r="J1106" t="s">
        <v>933</v>
      </c>
      <c r="K1106" t="s">
        <v>65</v>
      </c>
      <c r="L1106" t="s">
        <v>162</v>
      </c>
      <c r="M1106" t="s">
        <v>144</v>
      </c>
      <c r="N1106" t="s">
        <v>3156</v>
      </c>
      <c r="O1106">
        <v>1193</v>
      </c>
      <c r="P1106" t="s">
        <v>35</v>
      </c>
      <c r="Q1106"/>
      <c r="R1106">
        <v>1196</v>
      </c>
      <c r="S1106">
        <v>1193</v>
      </c>
      <c r="T1106" t="s">
        <v>493</v>
      </c>
      <c r="U1106" t="s">
        <v>493</v>
      </c>
      <c r="V1106" t="s">
        <v>67</v>
      </c>
      <c r="W1106" t="s">
        <v>66</v>
      </c>
      <c r="X1106" t="s">
        <v>67</v>
      </c>
      <c r="Y1106" t="s">
        <v>935</v>
      </c>
      <c r="Z1106"/>
      <c r="AA1106" t="s">
        <v>494</v>
      </c>
      <c r="AB1106"/>
      <c r="AC1106" t="s">
        <v>139</v>
      </c>
      <c r="AD1106" t="s">
        <v>3157</v>
      </c>
      <c r="AE1106"/>
      <c r="AF1106" t="s">
        <v>2308</v>
      </c>
      <c r="AG1106" t="s">
        <v>493</v>
      </c>
      <c r="AH1106"/>
      <c r="AI1106" t="s">
        <v>493</v>
      </c>
      <c r="AJ1106"/>
      <c r="AK1106"/>
    </row>
    <row r="1107" spans="1:37">
      <c r="A1107" t="s">
        <v>23</v>
      </c>
      <c r="B1107" t="s">
        <v>24</v>
      </c>
      <c r="C1107" t="s">
        <v>929</v>
      </c>
      <c r="D1107" t="s">
        <v>135</v>
      </c>
      <c r="E1107" t="s">
        <v>3006</v>
      </c>
      <c r="F1107" t="s">
        <v>3007</v>
      </c>
      <c r="G1107" t="s">
        <v>136</v>
      </c>
      <c r="H1107" t="s">
        <v>493</v>
      </c>
      <c r="I1107" t="s">
        <v>932</v>
      </c>
      <c r="J1107" t="s">
        <v>933</v>
      </c>
      <c r="K1107" t="s">
        <v>65</v>
      </c>
      <c r="L1107" t="s">
        <v>162</v>
      </c>
      <c r="M1107" t="s">
        <v>144</v>
      </c>
      <c r="N1107" t="s">
        <v>3158</v>
      </c>
      <c r="O1107">
        <v>1189</v>
      </c>
      <c r="P1107" t="s">
        <v>35</v>
      </c>
      <c r="Q1107"/>
      <c r="R1107">
        <v>1191</v>
      </c>
      <c r="S1107">
        <v>1189</v>
      </c>
      <c r="T1107" t="s">
        <v>493</v>
      </c>
      <c r="U1107" t="s">
        <v>493</v>
      </c>
      <c r="V1107" t="s">
        <v>67</v>
      </c>
      <c r="W1107" t="s">
        <v>66</v>
      </c>
      <c r="X1107" t="s">
        <v>67</v>
      </c>
      <c r="Y1107" t="s">
        <v>935</v>
      </c>
      <c r="Z1107"/>
      <c r="AA1107" t="s">
        <v>494</v>
      </c>
      <c r="AB1107"/>
      <c r="AC1107" t="s">
        <v>139</v>
      </c>
      <c r="AD1107" t="s">
        <v>3157</v>
      </c>
      <c r="AE1107"/>
      <c r="AF1107" t="s">
        <v>2308</v>
      </c>
      <c r="AG1107" t="s">
        <v>493</v>
      </c>
      <c r="AH1107"/>
      <c r="AI1107" t="s">
        <v>493</v>
      </c>
      <c r="AJ1107"/>
      <c r="AK1107"/>
    </row>
    <row r="1108" spans="1:37">
      <c r="A1108" t="s">
        <v>23</v>
      </c>
      <c r="B1108" t="s">
        <v>24</v>
      </c>
      <c r="C1108" t="s">
        <v>929</v>
      </c>
      <c r="D1108" t="s">
        <v>135</v>
      </c>
      <c r="E1108" t="s">
        <v>3006</v>
      </c>
      <c r="F1108" t="s">
        <v>3007</v>
      </c>
      <c r="G1108" t="s">
        <v>136</v>
      </c>
      <c r="H1108" t="s">
        <v>493</v>
      </c>
      <c r="I1108" t="s">
        <v>932</v>
      </c>
      <c r="J1108" t="s">
        <v>933</v>
      </c>
      <c r="K1108" t="s">
        <v>65</v>
      </c>
      <c r="L1108" t="s">
        <v>162</v>
      </c>
      <c r="M1108" t="s">
        <v>144</v>
      </c>
      <c r="N1108" t="s">
        <v>3159</v>
      </c>
      <c r="O1108">
        <v>1183</v>
      </c>
      <c r="P1108" t="s">
        <v>35</v>
      </c>
      <c r="Q1108"/>
      <c r="R1108">
        <v>1186</v>
      </c>
      <c r="S1108">
        <v>1183</v>
      </c>
      <c r="T1108" t="s">
        <v>493</v>
      </c>
      <c r="U1108" t="s">
        <v>493</v>
      </c>
      <c r="V1108" t="s">
        <v>67</v>
      </c>
      <c r="W1108" t="s">
        <v>66</v>
      </c>
      <c r="X1108" t="s">
        <v>67</v>
      </c>
      <c r="Y1108" t="s">
        <v>935</v>
      </c>
      <c r="Z1108"/>
      <c r="AA1108" t="s">
        <v>494</v>
      </c>
      <c r="AB1108"/>
      <c r="AC1108" t="s">
        <v>139</v>
      </c>
      <c r="AD1108" t="s">
        <v>3157</v>
      </c>
      <c r="AE1108"/>
      <c r="AF1108" t="s">
        <v>2308</v>
      </c>
      <c r="AG1108" t="s">
        <v>493</v>
      </c>
      <c r="AH1108"/>
      <c r="AI1108" t="s">
        <v>493</v>
      </c>
      <c r="AJ1108"/>
      <c r="AK1108"/>
    </row>
    <row r="1109" spans="1:37">
      <c r="A1109" t="s">
        <v>23</v>
      </c>
      <c r="B1109" t="s">
        <v>24</v>
      </c>
      <c r="C1109" t="s">
        <v>929</v>
      </c>
      <c r="D1109" t="s">
        <v>135</v>
      </c>
      <c r="E1109" t="s">
        <v>3006</v>
      </c>
      <c r="F1109" t="s">
        <v>3007</v>
      </c>
      <c r="G1109" t="s">
        <v>136</v>
      </c>
      <c r="H1109" t="s">
        <v>493</v>
      </c>
      <c r="I1109" t="s">
        <v>932</v>
      </c>
      <c r="J1109" t="s">
        <v>933</v>
      </c>
      <c r="K1109" t="s">
        <v>65</v>
      </c>
      <c r="L1109" t="s">
        <v>162</v>
      </c>
      <c r="M1109" t="s">
        <v>144</v>
      </c>
      <c r="N1109" t="s">
        <v>3160</v>
      </c>
      <c r="O1109">
        <v>1187</v>
      </c>
      <c r="P1109" t="s">
        <v>35</v>
      </c>
      <c r="Q1109"/>
      <c r="R1109">
        <v>1190</v>
      </c>
      <c r="S1109">
        <v>1187</v>
      </c>
      <c r="T1109" t="s">
        <v>493</v>
      </c>
      <c r="U1109" t="s">
        <v>493</v>
      </c>
      <c r="V1109" t="s">
        <v>67</v>
      </c>
      <c r="W1109" t="s">
        <v>66</v>
      </c>
      <c r="X1109" t="s">
        <v>67</v>
      </c>
      <c r="Y1109" t="s">
        <v>935</v>
      </c>
      <c r="Z1109"/>
      <c r="AA1109" t="s">
        <v>494</v>
      </c>
      <c r="AB1109"/>
      <c r="AC1109" t="s">
        <v>139</v>
      </c>
      <c r="AD1109" t="s">
        <v>3161</v>
      </c>
      <c r="AE1109"/>
      <c r="AF1109" t="s">
        <v>2308</v>
      </c>
      <c r="AG1109" t="s">
        <v>493</v>
      </c>
      <c r="AH1109"/>
      <c r="AI1109" t="s">
        <v>493</v>
      </c>
      <c r="AJ1109"/>
      <c r="AK1109"/>
    </row>
    <row r="1110" spans="1:37">
      <c r="A1110" t="s">
        <v>23</v>
      </c>
      <c r="B1110" t="s">
        <v>24</v>
      </c>
      <c r="C1110" t="s">
        <v>929</v>
      </c>
      <c r="D1110" t="s">
        <v>135</v>
      </c>
      <c r="E1110" t="s">
        <v>3006</v>
      </c>
      <c r="F1110" t="s">
        <v>3007</v>
      </c>
      <c r="G1110" t="s">
        <v>136</v>
      </c>
      <c r="H1110" t="s">
        <v>493</v>
      </c>
      <c r="I1110" t="s">
        <v>932</v>
      </c>
      <c r="J1110" t="s">
        <v>933</v>
      </c>
      <c r="K1110" t="s">
        <v>65</v>
      </c>
      <c r="L1110" t="s">
        <v>162</v>
      </c>
      <c r="M1110" t="s">
        <v>144</v>
      </c>
      <c r="N1110" t="s">
        <v>3162</v>
      </c>
      <c r="O1110">
        <v>1197</v>
      </c>
      <c r="P1110" t="s">
        <v>35</v>
      </c>
      <c r="Q1110"/>
      <c r="R1110">
        <v>1200</v>
      </c>
      <c r="S1110">
        <v>1197</v>
      </c>
      <c r="T1110" t="s">
        <v>493</v>
      </c>
      <c r="U1110" t="s">
        <v>493</v>
      </c>
      <c r="V1110" t="s">
        <v>67</v>
      </c>
      <c r="W1110" t="s">
        <v>66</v>
      </c>
      <c r="X1110" t="s">
        <v>67</v>
      </c>
      <c r="Y1110" t="s">
        <v>935</v>
      </c>
      <c r="Z1110"/>
      <c r="AA1110" t="s">
        <v>494</v>
      </c>
      <c r="AB1110"/>
      <c r="AC1110" t="s">
        <v>139</v>
      </c>
      <c r="AD1110" t="s">
        <v>3161</v>
      </c>
      <c r="AE1110"/>
      <c r="AF1110" t="s">
        <v>2308</v>
      </c>
      <c r="AG1110" t="s">
        <v>493</v>
      </c>
      <c r="AH1110"/>
      <c r="AI1110" t="s">
        <v>493</v>
      </c>
      <c r="AJ1110"/>
      <c r="AK1110"/>
    </row>
    <row r="1111" spans="1:37">
      <c r="A1111" t="s">
        <v>23</v>
      </c>
      <c r="B1111" t="s">
        <v>24</v>
      </c>
      <c r="C1111" t="s">
        <v>929</v>
      </c>
      <c r="D1111" t="s">
        <v>135</v>
      </c>
      <c r="E1111" t="s">
        <v>3006</v>
      </c>
      <c r="F1111" t="s">
        <v>3007</v>
      </c>
      <c r="G1111" t="s">
        <v>136</v>
      </c>
      <c r="H1111" t="s">
        <v>493</v>
      </c>
      <c r="I1111" t="s">
        <v>932</v>
      </c>
      <c r="J1111" t="s">
        <v>933</v>
      </c>
      <c r="K1111" t="s">
        <v>65</v>
      </c>
      <c r="L1111" t="s">
        <v>162</v>
      </c>
      <c r="M1111" t="s">
        <v>144</v>
      </c>
      <c r="N1111" t="s">
        <v>3163</v>
      </c>
      <c r="O1111">
        <v>1189</v>
      </c>
      <c r="P1111" t="s">
        <v>35</v>
      </c>
      <c r="Q1111"/>
      <c r="R1111">
        <v>1192</v>
      </c>
      <c r="S1111">
        <v>1189</v>
      </c>
      <c r="T1111" t="s">
        <v>493</v>
      </c>
      <c r="U1111" t="s">
        <v>493</v>
      </c>
      <c r="V1111" t="s">
        <v>67</v>
      </c>
      <c r="W1111" t="s">
        <v>66</v>
      </c>
      <c r="X1111" t="s">
        <v>67</v>
      </c>
      <c r="Y1111" t="s">
        <v>935</v>
      </c>
      <c r="Z1111"/>
      <c r="AA1111" t="s">
        <v>494</v>
      </c>
      <c r="AB1111"/>
      <c r="AC1111" t="s">
        <v>139</v>
      </c>
      <c r="AD1111" t="s">
        <v>3161</v>
      </c>
      <c r="AE1111"/>
      <c r="AF1111" t="s">
        <v>2308</v>
      </c>
      <c r="AG1111" t="s">
        <v>493</v>
      </c>
      <c r="AH1111"/>
      <c r="AI1111" t="s">
        <v>493</v>
      </c>
      <c r="AJ1111"/>
      <c r="AK1111"/>
    </row>
    <row r="1112" spans="1:37">
      <c r="A1112" t="s">
        <v>23</v>
      </c>
      <c r="B1112" t="s">
        <v>24</v>
      </c>
      <c r="C1112" t="s">
        <v>929</v>
      </c>
      <c r="D1112" t="s">
        <v>135</v>
      </c>
      <c r="E1112" t="s">
        <v>3006</v>
      </c>
      <c r="F1112" t="s">
        <v>3007</v>
      </c>
      <c r="G1112" t="s">
        <v>136</v>
      </c>
      <c r="H1112" t="s">
        <v>493</v>
      </c>
      <c r="I1112" t="s">
        <v>932</v>
      </c>
      <c r="J1112" t="s">
        <v>933</v>
      </c>
      <c r="K1112" t="s">
        <v>65</v>
      </c>
      <c r="L1112" t="s">
        <v>162</v>
      </c>
      <c r="M1112" t="s">
        <v>144</v>
      </c>
      <c r="N1112" t="s">
        <v>3164</v>
      </c>
      <c r="O1112">
        <v>1189</v>
      </c>
      <c r="P1112" t="s">
        <v>35</v>
      </c>
      <c r="Q1112"/>
      <c r="R1112">
        <v>1192</v>
      </c>
      <c r="S1112">
        <v>1189</v>
      </c>
      <c r="T1112" t="s">
        <v>493</v>
      </c>
      <c r="U1112" t="s">
        <v>493</v>
      </c>
      <c r="V1112" t="s">
        <v>67</v>
      </c>
      <c r="W1112" t="s">
        <v>66</v>
      </c>
      <c r="X1112" t="s">
        <v>67</v>
      </c>
      <c r="Y1112" t="s">
        <v>935</v>
      </c>
      <c r="Z1112"/>
      <c r="AA1112" t="s">
        <v>494</v>
      </c>
      <c r="AB1112"/>
      <c r="AC1112" t="s">
        <v>139</v>
      </c>
      <c r="AD1112" t="s">
        <v>3165</v>
      </c>
      <c r="AE1112"/>
      <c r="AF1112" t="s">
        <v>2308</v>
      </c>
      <c r="AG1112" t="s">
        <v>493</v>
      </c>
      <c r="AH1112"/>
      <c r="AI1112" t="s">
        <v>493</v>
      </c>
      <c r="AJ1112"/>
      <c r="AK1112"/>
    </row>
    <row r="1113" spans="1:37">
      <c r="A1113" t="s">
        <v>23</v>
      </c>
      <c r="B1113" t="s">
        <v>24</v>
      </c>
      <c r="C1113" t="s">
        <v>929</v>
      </c>
      <c r="D1113" t="s">
        <v>135</v>
      </c>
      <c r="E1113" t="s">
        <v>3006</v>
      </c>
      <c r="F1113" t="s">
        <v>3007</v>
      </c>
      <c r="G1113" t="s">
        <v>136</v>
      </c>
      <c r="H1113" t="s">
        <v>493</v>
      </c>
      <c r="I1113" t="s">
        <v>932</v>
      </c>
      <c r="J1113" t="s">
        <v>933</v>
      </c>
      <c r="K1113" t="s">
        <v>65</v>
      </c>
      <c r="L1113" t="s">
        <v>162</v>
      </c>
      <c r="M1113" t="s">
        <v>144</v>
      </c>
      <c r="N1113" t="s">
        <v>3166</v>
      </c>
      <c r="O1113">
        <v>1178</v>
      </c>
      <c r="P1113" t="s">
        <v>35</v>
      </c>
      <c r="Q1113"/>
      <c r="R1113">
        <v>1181</v>
      </c>
      <c r="S1113">
        <v>1178</v>
      </c>
      <c r="T1113" t="s">
        <v>493</v>
      </c>
      <c r="U1113" t="s">
        <v>493</v>
      </c>
      <c r="V1113" t="s">
        <v>67</v>
      </c>
      <c r="W1113" t="s">
        <v>66</v>
      </c>
      <c r="X1113" t="s">
        <v>67</v>
      </c>
      <c r="Y1113" t="s">
        <v>935</v>
      </c>
      <c r="Z1113"/>
      <c r="AA1113" t="s">
        <v>494</v>
      </c>
      <c r="AB1113"/>
      <c r="AC1113" t="s">
        <v>139</v>
      </c>
      <c r="AD1113" t="s">
        <v>3165</v>
      </c>
      <c r="AE1113"/>
      <c r="AF1113" t="s">
        <v>2308</v>
      </c>
      <c r="AG1113" t="s">
        <v>493</v>
      </c>
      <c r="AH1113"/>
      <c r="AI1113" t="s">
        <v>493</v>
      </c>
      <c r="AJ1113"/>
      <c r="AK1113"/>
    </row>
    <row r="1114" spans="1:37">
      <c r="A1114" t="s">
        <v>23</v>
      </c>
      <c r="B1114" t="s">
        <v>24</v>
      </c>
      <c r="C1114" t="s">
        <v>929</v>
      </c>
      <c r="D1114" t="s">
        <v>135</v>
      </c>
      <c r="E1114" t="s">
        <v>3006</v>
      </c>
      <c r="F1114" t="s">
        <v>3007</v>
      </c>
      <c r="G1114" t="s">
        <v>136</v>
      </c>
      <c r="H1114" t="s">
        <v>493</v>
      </c>
      <c r="I1114" t="s">
        <v>932</v>
      </c>
      <c r="J1114" t="s">
        <v>933</v>
      </c>
      <c r="K1114" t="s">
        <v>65</v>
      </c>
      <c r="L1114" t="s">
        <v>162</v>
      </c>
      <c r="M1114" t="s">
        <v>144</v>
      </c>
      <c r="N1114" t="s">
        <v>3167</v>
      </c>
      <c r="O1114">
        <v>1203</v>
      </c>
      <c r="P1114" t="s">
        <v>35</v>
      </c>
      <c r="Q1114"/>
      <c r="R1114">
        <v>1206</v>
      </c>
      <c r="S1114">
        <v>1203</v>
      </c>
      <c r="T1114" t="s">
        <v>493</v>
      </c>
      <c r="U1114" t="s">
        <v>493</v>
      </c>
      <c r="V1114" t="s">
        <v>67</v>
      </c>
      <c r="W1114" t="s">
        <v>66</v>
      </c>
      <c r="X1114" t="s">
        <v>67</v>
      </c>
      <c r="Y1114" t="s">
        <v>935</v>
      </c>
      <c r="Z1114"/>
      <c r="AA1114" t="s">
        <v>494</v>
      </c>
      <c r="AB1114"/>
      <c r="AC1114" t="s">
        <v>139</v>
      </c>
      <c r="AD1114" t="s">
        <v>3165</v>
      </c>
      <c r="AE1114"/>
      <c r="AF1114" t="s">
        <v>2308</v>
      </c>
      <c r="AG1114" t="s">
        <v>493</v>
      </c>
      <c r="AH1114"/>
      <c r="AI1114" t="s">
        <v>493</v>
      </c>
      <c r="AJ1114"/>
      <c r="AK1114"/>
    </row>
    <row r="1115" spans="1:37">
      <c r="A1115" t="s">
        <v>23</v>
      </c>
      <c r="B1115" t="s">
        <v>24</v>
      </c>
      <c r="C1115" t="s">
        <v>929</v>
      </c>
      <c r="D1115" t="s">
        <v>135</v>
      </c>
      <c r="E1115" t="s">
        <v>3006</v>
      </c>
      <c r="F1115" t="s">
        <v>3007</v>
      </c>
      <c r="G1115" t="s">
        <v>136</v>
      </c>
      <c r="H1115" t="s">
        <v>493</v>
      </c>
      <c r="I1115" t="s">
        <v>932</v>
      </c>
      <c r="J1115" t="s">
        <v>933</v>
      </c>
      <c r="K1115" t="s">
        <v>65</v>
      </c>
      <c r="L1115" t="s">
        <v>162</v>
      </c>
      <c r="M1115" t="s">
        <v>144</v>
      </c>
      <c r="N1115" t="s">
        <v>3168</v>
      </c>
      <c r="O1115">
        <v>1216</v>
      </c>
      <c r="P1115" t="s">
        <v>35</v>
      </c>
      <c r="Q1115"/>
      <c r="R1115">
        <v>1219</v>
      </c>
      <c r="S1115">
        <v>1216</v>
      </c>
      <c r="T1115" t="s">
        <v>493</v>
      </c>
      <c r="U1115" t="s">
        <v>493</v>
      </c>
      <c r="V1115" t="s">
        <v>67</v>
      </c>
      <c r="W1115" t="s">
        <v>66</v>
      </c>
      <c r="X1115" t="s">
        <v>67</v>
      </c>
      <c r="Y1115" t="s">
        <v>935</v>
      </c>
      <c r="Z1115"/>
      <c r="AA1115" t="s">
        <v>494</v>
      </c>
      <c r="AB1115"/>
      <c r="AC1115" t="s">
        <v>139</v>
      </c>
      <c r="AD1115" t="s">
        <v>3169</v>
      </c>
      <c r="AE1115"/>
      <c r="AF1115" t="s">
        <v>2308</v>
      </c>
      <c r="AG1115" t="s">
        <v>493</v>
      </c>
      <c r="AH1115"/>
      <c r="AI1115" t="s">
        <v>493</v>
      </c>
      <c r="AJ1115"/>
      <c r="AK1115"/>
    </row>
    <row r="1116" spans="1:37">
      <c r="A1116" t="s">
        <v>23</v>
      </c>
      <c r="B1116" t="s">
        <v>24</v>
      </c>
      <c r="C1116" t="s">
        <v>929</v>
      </c>
      <c r="D1116" t="s">
        <v>135</v>
      </c>
      <c r="E1116" t="s">
        <v>3006</v>
      </c>
      <c r="F1116" t="s">
        <v>3007</v>
      </c>
      <c r="G1116" t="s">
        <v>136</v>
      </c>
      <c r="H1116" t="s">
        <v>493</v>
      </c>
      <c r="I1116" t="s">
        <v>932</v>
      </c>
      <c r="J1116" t="s">
        <v>933</v>
      </c>
      <c r="K1116" t="s">
        <v>65</v>
      </c>
      <c r="L1116" t="s">
        <v>162</v>
      </c>
      <c r="M1116" t="s">
        <v>144</v>
      </c>
      <c r="N1116" t="s">
        <v>3170</v>
      </c>
      <c r="O1116">
        <v>1189</v>
      </c>
      <c r="P1116" t="s">
        <v>35</v>
      </c>
      <c r="Q1116"/>
      <c r="R1116">
        <v>1192</v>
      </c>
      <c r="S1116">
        <v>1189</v>
      </c>
      <c r="T1116" t="s">
        <v>493</v>
      </c>
      <c r="U1116" t="s">
        <v>493</v>
      </c>
      <c r="V1116" t="s">
        <v>67</v>
      </c>
      <c r="W1116" t="s">
        <v>66</v>
      </c>
      <c r="X1116" t="s">
        <v>67</v>
      </c>
      <c r="Y1116" t="s">
        <v>935</v>
      </c>
      <c r="Z1116"/>
      <c r="AA1116" t="s">
        <v>494</v>
      </c>
      <c r="AB1116"/>
      <c r="AC1116" t="s">
        <v>139</v>
      </c>
      <c r="AD1116" t="s">
        <v>3169</v>
      </c>
      <c r="AE1116"/>
      <c r="AF1116" t="s">
        <v>2308</v>
      </c>
      <c r="AG1116" t="s">
        <v>493</v>
      </c>
      <c r="AH1116"/>
      <c r="AI1116" t="s">
        <v>493</v>
      </c>
      <c r="AJ1116"/>
      <c r="AK1116"/>
    </row>
    <row r="1117" spans="1:37">
      <c r="A1117" t="s">
        <v>23</v>
      </c>
      <c r="B1117" t="s">
        <v>24</v>
      </c>
      <c r="C1117" t="s">
        <v>929</v>
      </c>
      <c r="D1117" t="s">
        <v>135</v>
      </c>
      <c r="E1117" t="s">
        <v>3006</v>
      </c>
      <c r="F1117" t="s">
        <v>3007</v>
      </c>
      <c r="G1117" t="s">
        <v>136</v>
      </c>
      <c r="H1117" t="s">
        <v>493</v>
      </c>
      <c r="I1117" t="s">
        <v>932</v>
      </c>
      <c r="J1117" t="s">
        <v>933</v>
      </c>
      <c r="K1117" t="s">
        <v>65</v>
      </c>
      <c r="L1117" t="s">
        <v>162</v>
      </c>
      <c r="M1117" t="s">
        <v>144</v>
      </c>
      <c r="N1117" t="s">
        <v>3171</v>
      </c>
      <c r="O1117">
        <v>1190</v>
      </c>
      <c r="P1117" t="s">
        <v>35</v>
      </c>
      <c r="Q1117"/>
      <c r="R1117">
        <v>1193</v>
      </c>
      <c r="S1117">
        <v>1190</v>
      </c>
      <c r="T1117" t="s">
        <v>493</v>
      </c>
      <c r="U1117" t="s">
        <v>493</v>
      </c>
      <c r="V1117" t="s">
        <v>67</v>
      </c>
      <c r="W1117" t="s">
        <v>66</v>
      </c>
      <c r="X1117" t="s">
        <v>67</v>
      </c>
      <c r="Y1117" t="s">
        <v>935</v>
      </c>
      <c r="Z1117"/>
      <c r="AA1117" t="s">
        <v>494</v>
      </c>
      <c r="AB1117"/>
      <c r="AC1117" t="s">
        <v>139</v>
      </c>
      <c r="AD1117" t="s">
        <v>3169</v>
      </c>
      <c r="AE1117"/>
      <c r="AF1117" t="s">
        <v>2308</v>
      </c>
      <c r="AG1117" t="s">
        <v>493</v>
      </c>
      <c r="AH1117"/>
      <c r="AI1117" t="s">
        <v>493</v>
      </c>
      <c r="AJ1117"/>
      <c r="AK1117"/>
    </row>
    <row r="1118" spans="1:37">
      <c r="A1118" t="s">
        <v>23</v>
      </c>
      <c r="B1118" t="s">
        <v>24</v>
      </c>
      <c r="C1118" t="s">
        <v>929</v>
      </c>
      <c r="D1118" t="s">
        <v>135</v>
      </c>
      <c r="E1118" t="s">
        <v>3006</v>
      </c>
      <c r="F1118" t="s">
        <v>3007</v>
      </c>
      <c r="G1118" t="s">
        <v>136</v>
      </c>
      <c r="H1118" t="s">
        <v>493</v>
      </c>
      <c r="I1118" t="s">
        <v>932</v>
      </c>
      <c r="J1118" t="s">
        <v>933</v>
      </c>
      <c r="K1118" t="s">
        <v>65</v>
      </c>
      <c r="L1118" t="s">
        <v>162</v>
      </c>
      <c r="M1118" t="s">
        <v>144</v>
      </c>
      <c r="N1118" t="s">
        <v>3172</v>
      </c>
      <c r="O1118">
        <v>1200</v>
      </c>
      <c r="P1118" t="s">
        <v>35</v>
      </c>
      <c r="Q1118"/>
      <c r="R1118">
        <v>1203</v>
      </c>
      <c r="S1118">
        <v>1200</v>
      </c>
      <c r="T1118" t="s">
        <v>493</v>
      </c>
      <c r="U1118" t="s">
        <v>493</v>
      </c>
      <c r="V1118" t="s">
        <v>67</v>
      </c>
      <c r="W1118" t="s">
        <v>66</v>
      </c>
      <c r="X1118" t="s">
        <v>67</v>
      </c>
      <c r="Y1118" t="s">
        <v>935</v>
      </c>
      <c r="Z1118"/>
      <c r="AA1118" t="s">
        <v>494</v>
      </c>
      <c r="AB1118"/>
      <c r="AC1118" t="s">
        <v>139</v>
      </c>
      <c r="AD1118" t="s">
        <v>3173</v>
      </c>
      <c r="AE1118"/>
      <c r="AF1118" t="s">
        <v>2308</v>
      </c>
      <c r="AG1118" t="s">
        <v>493</v>
      </c>
      <c r="AH1118"/>
      <c r="AI1118" t="s">
        <v>493</v>
      </c>
      <c r="AJ1118"/>
      <c r="AK1118"/>
    </row>
    <row r="1119" spans="1:37">
      <c r="A1119" t="s">
        <v>23</v>
      </c>
      <c r="B1119" t="s">
        <v>24</v>
      </c>
      <c r="C1119" t="s">
        <v>929</v>
      </c>
      <c r="D1119" t="s">
        <v>135</v>
      </c>
      <c r="E1119" t="s">
        <v>3006</v>
      </c>
      <c r="F1119" t="s">
        <v>3007</v>
      </c>
      <c r="G1119" t="s">
        <v>136</v>
      </c>
      <c r="H1119" t="s">
        <v>493</v>
      </c>
      <c r="I1119" t="s">
        <v>932</v>
      </c>
      <c r="J1119" t="s">
        <v>933</v>
      </c>
      <c r="K1119" t="s">
        <v>65</v>
      </c>
      <c r="L1119" t="s">
        <v>162</v>
      </c>
      <c r="M1119" t="s">
        <v>144</v>
      </c>
      <c r="N1119" t="s">
        <v>3174</v>
      </c>
      <c r="O1119">
        <v>1190</v>
      </c>
      <c r="P1119" t="s">
        <v>35</v>
      </c>
      <c r="Q1119"/>
      <c r="R1119">
        <v>1193</v>
      </c>
      <c r="S1119">
        <v>1190</v>
      </c>
      <c r="T1119" t="s">
        <v>493</v>
      </c>
      <c r="U1119" t="s">
        <v>493</v>
      </c>
      <c r="V1119" t="s">
        <v>67</v>
      </c>
      <c r="W1119" t="s">
        <v>66</v>
      </c>
      <c r="X1119" t="s">
        <v>67</v>
      </c>
      <c r="Y1119" t="s">
        <v>935</v>
      </c>
      <c r="Z1119"/>
      <c r="AA1119" t="s">
        <v>494</v>
      </c>
      <c r="AB1119"/>
      <c r="AC1119" t="s">
        <v>139</v>
      </c>
      <c r="AD1119" t="s">
        <v>3173</v>
      </c>
      <c r="AE1119"/>
      <c r="AF1119" t="s">
        <v>2308</v>
      </c>
      <c r="AG1119" t="s">
        <v>493</v>
      </c>
      <c r="AH1119"/>
      <c r="AI1119" t="s">
        <v>493</v>
      </c>
      <c r="AJ1119"/>
      <c r="AK1119"/>
    </row>
    <row r="1120" spans="1:37">
      <c r="A1120" t="s">
        <v>23</v>
      </c>
      <c r="B1120" t="s">
        <v>24</v>
      </c>
      <c r="C1120" t="s">
        <v>929</v>
      </c>
      <c r="D1120" t="s">
        <v>135</v>
      </c>
      <c r="E1120" t="s">
        <v>3006</v>
      </c>
      <c r="F1120" t="s">
        <v>3007</v>
      </c>
      <c r="G1120" t="s">
        <v>136</v>
      </c>
      <c r="H1120" t="s">
        <v>493</v>
      </c>
      <c r="I1120" t="s">
        <v>932</v>
      </c>
      <c r="J1120" t="s">
        <v>933</v>
      </c>
      <c r="K1120" t="s">
        <v>65</v>
      </c>
      <c r="L1120" t="s">
        <v>162</v>
      </c>
      <c r="M1120" t="s">
        <v>144</v>
      </c>
      <c r="N1120" t="s">
        <v>3175</v>
      </c>
      <c r="O1120">
        <v>1188</v>
      </c>
      <c r="P1120" t="s">
        <v>35</v>
      </c>
      <c r="Q1120"/>
      <c r="R1120">
        <v>1191</v>
      </c>
      <c r="S1120">
        <v>1188</v>
      </c>
      <c r="T1120" t="s">
        <v>493</v>
      </c>
      <c r="U1120" t="s">
        <v>493</v>
      </c>
      <c r="V1120" t="s">
        <v>67</v>
      </c>
      <c r="W1120" t="s">
        <v>66</v>
      </c>
      <c r="X1120" t="s">
        <v>67</v>
      </c>
      <c r="Y1120" t="s">
        <v>935</v>
      </c>
      <c r="Z1120"/>
      <c r="AA1120" t="s">
        <v>494</v>
      </c>
      <c r="AB1120"/>
      <c r="AC1120" t="s">
        <v>139</v>
      </c>
      <c r="AD1120" t="s">
        <v>3176</v>
      </c>
      <c r="AE1120"/>
      <c r="AF1120" t="s">
        <v>2308</v>
      </c>
      <c r="AG1120" t="s">
        <v>493</v>
      </c>
      <c r="AH1120"/>
      <c r="AI1120" t="s">
        <v>493</v>
      </c>
      <c r="AJ1120"/>
      <c r="AK1120"/>
    </row>
    <row r="1121" spans="1:37">
      <c r="A1121" t="s">
        <v>23</v>
      </c>
      <c r="B1121" t="s">
        <v>24</v>
      </c>
      <c r="C1121" t="s">
        <v>929</v>
      </c>
      <c r="D1121" t="s">
        <v>135</v>
      </c>
      <c r="E1121" t="s">
        <v>3006</v>
      </c>
      <c r="F1121" t="s">
        <v>3007</v>
      </c>
      <c r="G1121" t="s">
        <v>136</v>
      </c>
      <c r="H1121" t="s">
        <v>493</v>
      </c>
      <c r="I1121" t="s">
        <v>932</v>
      </c>
      <c r="J1121" t="s">
        <v>933</v>
      </c>
      <c r="K1121" t="s">
        <v>65</v>
      </c>
      <c r="L1121" t="s">
        <v>162</v>
      </c>
      <c r="M1121" t="s">
        <v>144</v>
      </c>
      <c r="N1121" t="s">
        <v>3177</v>
      </c>
      <c r="O1121">
        <v>1186</v>
      </c>
      <c r="P1121" t="s">
        <v>35</v>
      </c>
      <c r="Q1121"/>
      <c r="R1121">
        <v>1189</v>
      </c>
      <c r="S1121">
        <v>1186</v>
      </c>
      <c r="T1121" t="s">
        <v>493</v>
      </c>
      <c r="U1121" t="s">
        <v>493</v>
      </c>
      <c r="V1121" t="s">
        <v>67</v>
      </c>
      <c r="W1121" t="s">
        <v>66</v>
      </c>
      <c r="X1121" t="s">
        <v>67</v>
      </c>
      <c r="Y1121" t="s">
        <v>935</v>
      </c>
      <c r="Z1121"/>
      <c r="AA1121" t="s">
        <v>494</v>
      </c>
      <c r="AB1121"/>
      <c r="AC1121" t="s">
        <v>139</v>
      </c>
      <c r="AD1121" t="s">
        <v>3176</v>
      </c>
      <c r="AE1121"/>
      <c r="AF1121" t="s">
        <v>2308</v>
      </c>
      <c r="AG1121" t="s">
        <v>493</v>
      </c>
      <c r="AH1121"/>
      <c r="AI1121" t="s">
        <v>493</v>
      </c>
      <c r="AJ1121"/>
      <c r="AK1121"/>
    </row>
    <row r="1122" spans="1:37">
      <c r="A1122" t="s">
        <v>23</v>
      </c>
      <c r="B1122" t="s">
        <v>24</v>
      </c>
      <c r="C1122" t="s">
        <v>929</v>
      </c>
      <c r="D1122" t="s">
        <v>135</v>
      </c>
      <c r="E1122" t="s">
        <v>3006</v>
      </c>
      <c r="F1122" t="s">
        <v>3007</v>
      </c>
      <c r="G1122" t="s">
        <v>136</v>
      </c>
      <c r="H1122" t="s">
        <v>493</v>
      </c>
      <c r="I1122" t="s">
        <v>932</v>
      </c>
      <c r="J1122" t="s">
        <v>933</v>
      </c>
      <c r="K1122" t="s">
        <v>65</v>
      </c>
      <c r="L1122" t="s">
        <v>162</v>
      </c>
      <c r="M1122" t="s">
        <v>144</v>
      </c>
      <c r="N1122" t="s">
        <v>3178</v>
      </c>
      <c r="O1122">
        <v>1190</v>
      </c>
      <c r="P1122" t="s">
        <v>35</v>
      </c>
      <c r="Q1122"/>
      <c r="R1122">
        <v>1193</v>
      </c>
      <c r="S1122">
        <v>1190</v>
      </c>
      <c r="T1122" t="s">
        <v>493</v>
      </c>
      <c r="U1122" t="s">
        <v>493</v>
      </c>
      <c r="V1122" t="s">
        <v>67</v>
      </c>
      <c r="W1122" t="s">
        <v>66</v>
      </c>
      <c r="X1122" t="s">
        <v>67</v>
      </c>
      <c r="Y1122" t="s">
        <v>935</v>
      </c>
      <c r="Z1122"/>
      <c r="AA1122" t="s">
        <v>494</v>
      </c>
      <c r="AB1122"/>
      <c r="AC1122" t="s">
        <v>139</v>
      </c>
      <c r="AD1122" t="s">
        <v>3176</v>
      </c>
      <c r="AE1122"/>
      <c r="AF1122" t="s">
        <v>2308</v>
      </c>
      <c r="AG1122" t="s">
        <v>493</v>
      </c>
      <c r="AH1122"/>
      <c r="AI1122" t="s">
        <v>493</v>
      </c>
      <c r="AJ1122"/>
      <c r="AK1122"/>
    </row>
    <row r="1123" spans="1:37">
      <c r="A1123" t="s">
        <v>23</v>
      </c>
      <c r="B1123" t="s">
        <v>24</v>
      </c>
      <c r="C1123" t="s">
        <v>929</v>
      </c>
      <c r="D1123" t="s">
        <v>135</v>
      </c>
      <c r="E1123" t="s">
        <v>3006</v>
      </c>
      <c r="F1123" t="s">
        <v>3007</v>
      </c>
      <c r="G1123" t="s">
        <v>136</v>
      </c>
      <c r="H1123" t="s">
        <v>493</v>
      </c>
      <c r="I1123" t="s">
        <v>932</v>
      </c>
      <c r="J1123" t="s">
        <v>933</v>
      </c>
      <c r="K1123" t="s">
        <v>65</v>
      </c>
      <c r="L1123" t="s">
        <v>162</v>
      </c>
      <c r="M1123" t="s">
        <v>144</v>
      </c>
      <c r="N1123" t="s">
        <v>3179</v>
      </c>
      <c r="O1123">
        <v>1191</v>
      </c>
      <c r="P1123" t="s">
        <v>35</v>
      </c>
      <c r="Q1123"/>
      <c r="R1123">
        <v>1194</v>
      </c>
      <c r="S1123">
        <v>1191</v>
      </c>
      <c r="T1123" t="s">
        <v>493</v>
      </c>
      <c r="U1123" t="s">
        <v>493</v>
      </c>
      <c r="V1123" t="s">
        <v>67</v>
      </c>
      <c r="W1123" t="s">
        <v>66</v>
      </c>
      <c r="X1123" t="s">
        <v>67</v>
      </c>
      <c r="Y1123" t="s">
        <v>935</v>
      </c>
      <c r="Z1123"/>
      <c r="AA1123" t="s">
        <v>494</v>
      </c>
      <c r="AB1123"/>
      <c r="AC1123" t="s">
        <v>139</v>
      </c>
      <c r="AD1123" t="s">
        <v>3180</v>
      </c>
      <c r="AE1123"/>
      <c r="AF1123" t="s">
        <v>2308</v>
      </c>
      <c r="AG1123" t="s">
        <v>493</v>
      </c>
      <c r="AH1123"/>
      <c r="AI1123" t="s">
        <v>493</v>
      </c>
      <c r="AJ1123"/>
      <c r="AK1123"/>
    </row>
    <row r="1124" spans="1:37">
      <c r="A1124" t="s">
        <v>23</v>
      </c>
      <c r="B1124" t="s">
        <v>24</v>
      </c>
      <c r="C1124" t="s">
        <v>929</v>
      </c>
      <c r="D1124" t="s">
        <v>135</v>
      </c>
      <c r="E1124" t="s">
        <v>3006</v>
      </c>
      <c r="F1124" t="s">
        <v>3007</v>
      </c>
      <c r="G1124" t="s">
        <v>136</v>
      </c>
      <c r="H1124" t="s">
        <v>493</v>
      </c>
      <c r="I1124" t="s">
        <v>932</v>
      </c>
      <c r="J1124" t="s">
        <v>933</v>
      </c>
      <c r="K1124" t="s">
        <v>65</v>
      </c>
      <c r="L1124" t="s">
        <v>162</v>
      </c>
      <c r="M1124" t="s">
        <v>144</v>
      </c>
      <c r="N1124" t="s">
        <v>3181</v>
      </c>
      <c r="O1124">
        <v>1193</v>
      </c>
      <c r="P1124" t="s">
        <v>35</v>
      </c>
      <c r="Q1124"/>
      <c r="R1124">
        <v>1196</v>
      </c>
      <c r="S1124">
        <v>1193</v>
      </c>
      <c r="T1124" t="s">
        <v>493</v>
      </c>
      <c r="U1124" t="s">
        <v>493</v>
      </c>
      <c r="V1124" t="s">
        <v>67</v>
      </c>
      <c r="W1124" t="s">
        <v>66</v>
      </c>
      <c r="X1124" t="s">
        <v>67</v>
      </c>
      <c r="Y1124" t="s">
        <v>935</v>
      </c>
      <c r="Z1124"/>
      <c r="AA1124" t="s">
        <v>494</v>
      </c>
      <c r="AB1124"/>
      <c r="AC1124" t="s">
        <v>139</v>
      </c>
      <c r="AD1124" t="s">
        <v>3180</v>
      </c>
      <c r="AE1124"/>
      <c r="AF1124" t="s">
        <v>2308</v>
      </c>
      <c r="AG1124" t="s">
        <v>493</v>
      </c>
      <c r="AH1124"/>
      <c r="AI1124" t="s">
        <v>493</v>
      </c>
      <c r="AJ1124"/>
      <c r="AK1124"/>
    </row>
    <row r="1125" spans="1:37">
      <c r="A1125" t="s">
        <v>23</v>
      </c>
      <c r="B1125" t="s">
        <v>24</v>
      </c>
      <c r="C1125" t="s">
        <v>929</v>
      </c>
      <c r="D1125" t="s">
        <v>135</v>
      </c>
      <c r="E1125" t="s">
        <v>3006</v>
      </c>
      <c r="F1125" t="s">
        <v>3007</v>
      </c>
      <c r="G1125" t="s">
        <v>136</v>
      </c>
      <c r="H1125" t="s">
        <v>493</v>
      </c>
      <c r="I1125" t="s">
        <v>932</v>
      </c>
      <c r="J1125" t="s">
        <v>933</v>
      </c>
      <c r="K1125" t="s">
        <v>65</v>
      </c>
      <c r="L1125" t="s">
        <v>162</v>
      </c>
      <c r="M1125" t="s">
        <v>144</v>
      </c>
      <c r="N1125" t="s">
        <v>3182</v>
      </c>
      <c r="O1125">
        <v>1195</v>
      </c>
      <c r="P1125" t="s">
        <v>35</v>
      </c>
      <c r="Q1125"/>
      <c r="R1125">
        <v>1198</v>
      </c>
      <c r="S1125">
        <v>1195</v>
      </c>
      <c r="T1125" t="s">
        <v>493</v>
      </c>
      <c r="U1125" t="s">
        <v>493</v>
      </c>
      <c r="V1125" t="s">
        <v>67</v>
      </c>
      <c r="W1125" t="s">
        <v>66</v>
      </c>
      <c r="X1125" t="s">
        <v>67</v>
      </c>
      <c r="Y1125" t="s">
        <v>935</v>
      </c>
      <c r="Z1125"/>
      <c r="AA1125" t="s">
        <v>494</v>
      </c>
      <c r="AB1125"/>
      <c r="AC1125" t="s">
        <v>139</v>
      </c>
      <c r="AD1125" t="s">
        <v>3180</v>
      </c>
      <c r="AE1125"/>
      <c r="AF1125" t="s">
        <v>2308</v>
      </c>
      <c r="AG1125" t="s">
        <v>493</v>
      </c>
      <c r="AH1125"/>
      <c r="AI1125" t="s">
        <v>493</v>
      </c>
      <c r="AJ1125"/>
      <c r="AK1125"/>
    </row>
    <row r="1126" spans="1:37">
      <c r="A1126" t="s">
        <v>23</v>
      </c>
      <c r="B1126" t="s">
        <v>24</v>
      </c>
      <c r="C1126" t="s">
        <v>929</v>
      </c>
      <c r="D1126" t="s">
        <v>135</v>
      </c>
      <c r="E1126" t="s">
        <v>3006</v>
      </c>
      <c r="F1126" t="s">
        <v>3007</v>
      </c>
      <c r="G1126" t="s">
        <v>136</v>
      </c>
      <c r="H1126" t="s">
        <v>493</v>
      </c>
      <c r="I1126" t="s">
        <v>932</v>
      </c>
      <c r="J1126" t="s">
        <v>933</v>
      </c>
      <c r="K1126" t="s">
        <v>65</v>
      </c>
      <c r="L1126" t="s">
        <v>162</v>
      </c>
      <c r="M1126" t="s">
        <v>144</v>
      </c>
      <c r="N1126" t="s">
        <v>3183</v>
      </c>
      <c r="O1126">
        <v>1195</v>
      </c>
      <c r="P1126" t="s">
        <v>35</v>
      </c>
      <c r="Q1126"/>
      <c r="R1126">
        <v>1198</v>
      </c>
      <c r="S1126">
        <v>1195</v>
      </c>
      <c r="T1126" t="s">
        <v>493</v>
      </c>
      <c r="U1126" t="s">
        <v>493</v>
      </c>
      <c r="V1126" t="s">
        <v>67</v>
      </c>
      <c r="W1126" t="s">
        <v>66</v>
      </c>
      <c r="X1126" t="s">
        <v>67</v>
      </c>
      <c r="Y1126" t="s">
        <v>935</v>
      </c>
      <c r="Z1126"/>
      <c r="AA1126" t="s">
        <v>494</v>
      </c>
      <c r="AB1126"/>
      <c r="AC1126" t="s">
        <v>139</v>
      </c>
      <c r="AD1126" t="s">
        <v>3184</v>
      </c>
      <c r="AE1126"/>
      <c r="AF1126" t="s">
        <v>2308</v>
      </c>
      <c r="AG1126" t="s">
        <v>493</v>
      </c>
      <c r="AH1126"/>
      <c r="AI1126" t="s">
        <v>493</v>
      </c>
      <c r="AJ1126"/>
      <c r="AK1126"/>
    </row>
    <row r="1127" spans="1:37">
      <c r="A1127" t="s">
        <v>23</v>
      </c>
      <c r="B1127" t="s">
        <v>24</v>
      </c>
      <c r="C1127" t="s">
        <v>929</v>
      </c>
      <c r="D1127" t="s">
        <v>135</v>
      </c>
      <c r="E1127" t="s">
        <v>3006</v>
      </c>
      <c r="F1127" t="s">
        <v>3007</v>
      </c>
      <c r="G1127" t="s">
        <v>136</v>
      </c>
      <c r="H1127" t="s">
        <v>493</v>
      </c>
      <c r="I1127" t="s">
        <v>932</v>
      </c>
      <c r="J1127" t="s">
        <v>933</v>
      </c>
      <c r="K1127" t="s">
        <v>65</v>
      </c>
      <c r="L1127" t="s">
        <v>162</v>
      </c>
      <c r="M1127" t="s">
        <v>144</v>
      </c>
      <c r="N1127" t="s">
        <v>3185</v>
      </c>
      <c r="O1127">
        <v>1200</v>
      </c>
      <c r="P1127" t="s">
        <v>35</v>
      </c>
      <c r="Q1127"/>
      <c r="R1127">
        <v>1203</v>
      </c>
      <c r="S1127">
        <v>1200</v>
      </c>
      <c r="T1127" t="s">
        <v>493</v>
      </c>
      <c r="U1127" t="s">
        <v>493</v>
      </c>
      <c r="V1127" t="s">
        <v>67</v>
      </c>
      <c r="W1127" t="s">
        <v>66</v>
      </c>
      <c r="X1127" t="s">
        <v>67</v>
      </c>
      <c r="Y1127" t="s">
        <v>935</v>
      </c>
      <c r="Z1127"/>
      <c r="AA1127" t="s">
        <v>494</v>
      </c>
      <c r="AB1127"/>
      <c r="AC1127" t="s">
        <v>139</v>
      </c>
      <c r="AD1127" t="s">
        <v>3184</v>
      </c>
      <c r="AE1127"/>
      <c r="AF1127" t="s">
        <v>2308</v>
      </c>
      <c r="AG1127" t="s">
        <v>493</v>
      </c>
      <c r="AH1127"/>
      <c r="AI1127" t="s">
        <v>493</v>
      </c>
      <c r="AJ1127"/>
      <c r="AK1127"/>
    </row>
    <row r="1128" spans="1:37">
      <c r="A1128" t="s">
        <v>23</v>
      </c>
      <c r="B1128" t="s">
        <v>24</v>
      </c>
      <c r="C1128" t="s">
        <v>929</v>
      </c>
      <c r="D1128" t="s">
        <v>135</v>
      </c>
      <c r="E1128" t="s">
        <v>3006</v>
      </c>
      <c r="F1128" t="s">
        <v>3007</v>
      </c>
      <c r="G1128" t="s">
        <v>136</v>
      </c>
      <c r="H1128" t="s">
        <v>493</v>
      </c>
      <c r="I1128" t="s">
        <v>932</v>
      </c>
      <c r="J1128" t="s">
        <v>933</v>
      </c>
      <c r="K1128" t="s">
        <v>65</v>
      </c>
      <c r="L1128" t="s">
        <v>162</v>
      </c>
      <c r="M1128" t="s">
        <v>144</v>
      </c>
      <c r="N1128" t="s">
        <v>3186</v>
      </c>
      <c r="O1128">
        <v>1184</v>
      </c>
      <c r="P1128" t="s">
        <v>35</v>
      </c>
      <c r="Q1128"/>
      <c r="R1128">
        <v>1187</v>
      </c>
      <c r="S1128">
        <v>1184</v>
      </c>
      <c r="T1128" t="s">
        <v>493</v>
      </c>
      <c r="U1128" t="s">
        <v>493</v>
      </c>
      <c r="V1128" t="s">
        <v>67</v>
      </c>
      <c r="W1128" t="s">
        <v>66</v>
      </c>
      <c r="X1128" t="s">
        <v>67</v>
      </c>
      <c r="Y1128" t="s">
        <v>935</v>
      </c>
      <c r="Z1128"/>
      <c r="AA1128" t="s">
        <v>494</v>
      </c>
      <c r="AB1128"/>
      <c r="AC1128" t="s">
        <v>139</v>
      </c>
      <c r="AD1128" t="s">
        <v>3184</v>
      </c>
      <c r="AE1128"/>
      <c r="AF1128" t="s">
        <v>2308</v>
      </c>
      <c r="AG1128" t="s">
        <v>493</v>
      </c>
      <c r="AH1128"/>
      <c r="AI1128" t="s">
        <v>493</v>
      </c>
      <c r="AJ1128"/>
      <c r="AK1128"/>
    </row>
    <row r="1129" spans="1:37">
      <c r="A1129" t="s">
        <v>23</v>
      </c>
      <c r="B1129" t="s">
        <v>24</v>
      </c>
      <c r="C1129" t="s">
        <v>929</v>
      </c>
      <c r="D1129" t="s">
        <v>135</v>
      </c>
      <c r="E1129" t="s">
        <v>3006</v>
      </c>
      <c r="F1129" t="s">
        <v>3007</v>
      </c>
      <c r="G1129" t="s">
        <v>136</v>
      </c>
      <c r="H1129" t="s">
        <v>493</v>
      </c>
      <c r="I1129" t="s">
        <v>932</v>
      </c>
      <c r="J1129" t="s">
        <v>933</v>
      </c>
      <c r="K1129" t="s">
        <v>65</v>
      </c>
      <c r="L1129" t="s">
        <v>162</v>
      </c>
      <c r="M1129" t="s">
        <v>144</v>
      </c>
      <c r="N1129" t="s">
        <v>3187</v>
      </c>
      <c r="O1129">
        <v>1188</v>
      </c>
      <c r="P1129" t="s">
        <v>35</v>
      </c>
      <c r="Q1129"/>
      <c r="R1129">
        <v>1191</v>
      </c>
      <c r="S1129">
        <v>1188</v>
      </c>
      <c r="T1129" t="s">
        <v>493</v>
      </c>
      <c r="U1129" t="s">
        <v>493</v>
      </c>
      <c r="V1129" t="s">
        <v>67</v>
      </c>
      <c r="W1129" t="s">
        <v>66</v>
      </c>
      <c r="X1129" t="s">
        <v>67</v>
      </c>
      <c r="Y1129" t="s">
        <v>935</v>
      </c>
      <c r="Z1129"/>
      <c r="AA1129" t="s">
        <v>494</v>
      </c>
      <c r="AB1129"/>
      <c r="AC1129" t="s">
        <v>139</v>
      </c>
      <c r="AD1129" t="s">
        <v>3188</v>
      </c>
      <c r="AE1129"/>
      <c r="AF1129" t="s">
        <v>2308</v>
      </c>
      <c r="AG1129" t="s">
        <v>493</v>
      </c>
      <c r="AH1129"/>
      <c r="AI1129" t="s">
        <v>493</v>
      </c>
      <c r="AJ1129"/>
      <c r="AK1129"/>
    </row>
    <row r="1130" spans="1:37">
      <c r="A1130" t="s">
        <v>23</v>
      </c>
      <c r="B1130" t="s">
        <v>24</v>
      </c>
      <c r="C1130" t="s">
        <v>929</v>
      </c>
      <c r="D1130" t="s">
        <v>135</v>
      </c>
      <c r="E1130" t="s">
        <v>3006</v>
      </c>
      <c r="F1130" t="s">
        <v>3007</v>
      </c>
      <c r="G1130" t="s">
        <v>136</v>
      </c>
      <c r="H1130" t="s">
        <v>493</v>
      </c>
      <c r="I1130" t="s">
        <v>932</v>
      </c>
      <c r="J1130" t="s">
        <v>933</v>
      </c>
      <c r="K1130" t="s">
        <v>65</v>
      </c>
      <c r="L1130" t="s">
        <v>162</v>
      </c>
      <c r="M1130" t="s">
        <v>144</v>
      </c>
      <c r="N1130" t="s">
        <v>3189</v>
      </c>
      <c r="O1130">
        <v>1188</v>
      </c>
      <c r="P1130" t="s">
        <v>35</v>
      </c>
      <c r="Q1130"/>
      <c r="R1130">
        <v>1191</v>
      </c>
      <c r="S1130">
        <v>1188</v>
      </c>
      <c r="T1130" t="s">
        <v>493</v>
      </c>
      <c r="U1130" t="s">
        <v>493</v>
      </c>
      <c r="V1130" t="s">
        <v>67</v>
      </c>
      <c r="W1130" t="s">
        <v>66</v>
      </c>
      <c r="X1130" t="s">
        <v>67</v>
      </c>
      <c r="Y1130" t="s">
        <v>935</v>
      </c>
      <c r="Z1130"/>
      <c r="AA1130" t="s">
        <v>494</v>
      </c>
      <c r="AB1130"/>
      <c r="AC1130" t="s">
        <v>139</v>
      </c>
      <c r="AD1130" t="s">
        <v>3188</v>
      </c>
      <c r="AE1130"/>
      <c r="AF1130" t="s">
        <v>2308</v>
      </c>
      <c r="AG1130" t="s">
        <v>493</v>
      </c>
      <c r="AH1130"/>
      <c r="AI1130" t="s">
        <v>493</v>
      </c>
      <c r="AJ1130"/>
      <c r="AK1130"/>
    </row>
    <row r="1131" spans="1:37">
      <c r="A1131" t="s">
        <v>23</v>
      </c>
      <c r="B1131" t="s">
        <v>24</v>
      </c>
      <c r="C1131" t="s">
        <v>929</v>
      </c>
      <c r="D1131" t="s">
        <v>135</v>
      </c>
      <c r="E1131" t="s">
        <v>3006</v>
      </c>
      <c r="F1131" t="s">
        <v>3007</v>
      </c>
      <c r="G1131" t="s">
        <v>136</v>
      </c>
      <c r="H1131" t="s">
        <v>493</v>
      </c>
      <c r="I1131" t="s">
        <v>932</v>
      </c>
      <c r="J1131" t="s">
        <v>933</v>
      </c>
      <c r="K1131" t="s">
        <v>65</v>
      </c>
      <c r="L1131" t="s">
        <v>162</v>
      </c>
      <c r="M1131" t="s">
        <v>144</v>
      </c>
      <c r="N1131" t="s">
        <v>3190</v>
      </c>
      <c r="O1131">
        <v>1186</v>
      </c>
      <c r="P1131" t="s">
        <v>35</v>
      </c>
      <c r="Q1131"/>
      <c r="R1131">
        <v>1189</v>
      </c>
      <c r="S1131">
        <v>1186</v>
      </c>
      <c r="T1131" t="s">
        <v>493</v>
      </c>
      <c r="U1131" t="s">
        <v>493</v>
      </c>
      <c r="V1131" t="s">
        <v>67</v>
      </c>
      <c r="W1131" t="s">
        <v>66</v>
      </c>
      <c r="X1131" t="s">
        <v>67</v>
      </c>
      <c r="Y1131" t="s">
        <v>935</v>
      </c>
      <c r="Z1131"/>
      <c r="AA1131" t="s">
        <v>494</v>
      </c>
      <c r="AB1131"/>
      <c r="AC1131" t="s">
        <v>139</v>
      </c>
      <c r="AD1131" t="s">
        <v>3191</v>
      </c>
      <c r="AE1131"/>
      <c r="AF1131" t="s">
        <v>2308</v>
      </c>
      <c r="AG1131" t="s">
        <v>493</v>
      </c>
      <c r="AH1131"/>
      <c r="AI1131" t="s">
        <v>493</v>
      </c>
      <c r="AJ1131"/>
      <c r="AK1131"/>
    </row>
    <row r="1132" spans="1:37">
      <c r="A1132" t="s">
        <v>23</v>
      </c>
      <c r="B1132" t="s">
        <v>24</v>
      </c>
      <c r="C1132" t="s">
        <v>929</v>
      </c>
      <c r="D1132" t="s">
        <v>135</v>
      </c>
      <c r="E1132" t="s">
        <v>3006</v>
      </c>
      <c r="F1132" t="s">
        <v>3007</v>
      </c>
      <c r="G1132" t="s">
        <v>136</v>
      </c>
      <c r="H1132" t="s">
        <v>493</v>
      </c>
      <c r="I1132" t="s">
        <v>932</v>
      </c>
      <c r="J1132" t="s">
        <v>933</v>
      </c>
      <c r="K1132" t="s">
        <v>65</v>
      </c>
      <c r="L1132" t="s">
        <v>162</v>
      </c>
      <c r="M1132" t="s">
        <v>144</v>
      </c>
      <c r="N1132" t="s">
        <v>3192</v>
      </c>
      <c r="O1132">
        <v>1184</v>
      </c>
      <c r="P1132" t="s">
        <v>35</v>
      </c>
      <c r="Q1132"/>
      <c r="R1132">
        <v>1187</v>
      </c>
      <c r="S1132">
        <v>1184</v>
      </c>
      <c r="T1132" t="s">
        <v>493</v>
      </c>
      <c r="U1132" t="s">
        <v>493</v>
      </c>
      <c r="V1132" t="s">
        <v>67</v>
      </c>
      <c r="W1132" t="s">
        <v>66</v>
      </c>
      <c r="X1132" t="s">
        <v>67</v>
      </c>
      <c r="Y1132" t="s">
        <v>935</v>
      </c>
      <c r="Z1132"/>
      <c r="AA1132" t="s">
        <v>494</v>
      </c>
      <c r="AB1132"/>
      <c r="AC1132" t="s">
        <v>139</v>
      </c>
      <c r="AD1132" t="s">
        <v>3191</v>
      </c>
      <c r="AE1132"/>
      <c r="AF1132" t="s">
        <v>2308</v>
      </c>
      <c r="AG1132" t="s">
        <v>493</v>
      </c>
      <c r="AH1132"/>
      <c r="AI1132" t="s">
        <v>493</v>
      </c>
      <c r="AJ1132"/>
      <c r="AK1132"/>
    </row>
    <row r="1133" spans="1:37">
      <c r="A1133" t="s">
        <v>23</v>
      </c>
      <c r="B1133" t="s">
        <v>24</v>
      </c>
      <c r="C1133" t="s">
        <v>929</v>
      </c>
      <c r="D1133" t="s">
        <v>135</v>
      </c>
      <c r="E1133" t="s">
        <v>3006</v>
      </c>
      <c r="F1133" t="s">
        <v>3007</v>
      </c>
      <c r="G1133" t="s">
        <v>136</v>
      </c>
      <c r="H1133" t="s">
        <v>493</v>
      </c>
      <c r="I1133" t="s">
        <v>932</v>
      </c>
      <c r="J1133" t="s">
        <v>933</v>
      </c>
      <c r="K1133" t="s">
        <v>65</v>
      </c>
      <c r="L1133" t="s">
        <v>162</v>
      </c>
      <c r="M1133" t="s">
        <v>144</v>
      </c>
      <c r="N1133" t="s">
        <v>3193</v>
      </c>
      <c r="O1133">
        <v>1177</v>
      </c>
      <c r="P1133" t="s">
        <v>35</v>
      </c>
      <c r="Q1133"/>
      <c r="R1133">
        <v>1190</v>
      </c>
      <c r="S1133">
        <v>1177</v>
      </c>
      <c r="T1133" t="s">
        <v>493</v>
      </c>
      <c r="U1133" t="s">
        <v>493</v>
      </c>
      <c r="V1133" t="s">
        <v>67</v>
      </c>
      <c r="W1133" t="s">
        <v>66</v>
      </c>
      <c r="X1133" t="s">
        <v>67</v>
      </c>
      <c r="Y1133" t="s">
        <v>935</v>
      </c>
      <c r="Z1133"/>
      <c r="AA1133" t="s">
        <v>494</v>
      </c>
      <c r="AB1133"/>
      <c r="AC1133" t="s">
        <v>139</v>
      </c>
      <c r="AD1133" t="s">
        <v>3191</v>
      </c>
      <c r="AE1133"/>
      <c r="AF1133" t="s">
        <v>2308</v>
      </c>
      <c r="AG1133" t="s">
        <v>493</v>
      </c>
      <c r="AH1133"/>
      <c r="AI1133" t="s">
        <v>493</v>
      </c>
      <c r="AJ1133"/>
      <c r="AK1133"/>
    </row>
    <row r="1134" spans="1:37">
      <c r="A1134" t="s">
        <v>23</v>
      </c>
      <c r="B1134" t="s">
        <v>24</v>
      </c>
      <c r="C1134" t="s">
        <v>929</v>
      </c>
      <c r="D1134" t="s">
        <v>135</v>
      </c>
      <c r="E1134" t="s">
        <v>3006</v>
      </c>
      <c r="F1134" t="s">
        <v>3007</v>
      </c>
      <c r="G1134" t="s">
        <v>136</v>
      </c>
      <c r="H1134" t="s">
        <v>493</v>
      </c>
      <c r="I1134" t="s">
        <v>932</v>
      </c>
      <c r="J1134" t="s">
        <v>933</v>
      </c>
      <c r="K1134" t="s">
        <v>65</v>
      </c>
      <c r="L1134" t="s">
        <v>162</v>
      </c>
      <c r="M1134" t="s">
        <v>144</v>
      </c>
      <c r="N1134" t="s">
        <v>3194</v>
      </c>
      <c r="O1134">
        <v>1199</v>
      </c>
      <c r="P1134" t="s">
        <v>35</v>
      </c>
      <c r="Q1134"/>
      <c r="R1134">
        <v>1202</v>
      </c>
      <c r="S1134">
        <v>1199</v>
      </c>
      <c r="T1134" t="s">
        <v>493</v>
      </c>
      <c r="U1134" t="s">
        <v>493</v>
      </c>
      <c r="V1134" t="s">
        <v>67</v>
      </c>
      <c r="W1134" t="s">
        <v>66</v>
      </c>
      <c r="X1134" t="s">
        <v>67</v>
      </c>
      <c r="Y1134" t="s">
        <v>935</v>
      </c>
      <c r="Z1134"/>
      <c r="AA1134" t="s">
        <v>494</v>
      </c>
      <c r="AB1134"/>
      <c r="AC1134" t="s">
        <v>139</v>
      </c>
      <c r="AD1134" t="s">
        <v>3195</v>
      </c>
      <c r="AE1134"/>
      <c r="AF1134" t="s">
        <v>2308</v>
      </c>
      <c r="AG1134" t="s">
        <v>493</v>
      </c>
      <c r="AH1134"/>
      <c r="AI1134" t="s">
        <v>493</v>
      </c>
      <c r="AJ1134"/>
      <c r="AK1134"/>
    </row>
    <row r="1135" spans="1:37">
      <c r="A1135" t="s">
        <v>23</v>
      </c>
      <c r="B1135" t="s">
        <v>24</v>
      </c>
      <c r="C1135" t="s">
        <v>929</v>
      </c>
      <c r="D1135" t="s">
        <v>135</v>
      </c>
      <c r="E1135" t="s">
        <v>3006</v>
      </c>
      <c r="F1135" t="s">
        <v>3007</v>
      </c>
      <c r="G1135" t="s">
        <v>136</v>
      </c>
      <c r="H1135" t="s">
        <v>493</v>
      </c>
      <c r="I1135" t="s">
        <v>932</v>
      </c>
      <c r="J1135" t="s">
        <v>933</v>
      </c>
      <c r="K1135" t="s">
        <v>65</v>
      </c>
      <c r="L1135" t="s">
        <v>162</v>
      </c>
      <c r="M1135" t="s">
        <v>144</v>
      </c>
      <c r="N1135" t="s">
        <v>3196</v>
      </c>
      <c r="O1135">
        <v>1181</v>
      </c>
      <c r="P1135" t="s">
        <v>35</v>
      </c>
      <c r="Q1135"/>
      <c r="R1135">
        <v>1184</v>
      </c>
      <c r="S1135">
        <v>1181</v>
      </c>
      <c r="T1135" t="s">
        <v>493</v>
      </c>
      <c r="U1135" t="s">
        <v>493</v>
      </c>
      <c r="V1135" t="s">
        <v>67</v>
      </c>
      <c r="W1135" t="s">
        <v>66</v>
      </c>
      <c r="X1135" t="s">
        <v>67</v>
      </c>
      <c r="Y1135" t="s">
        <v>935</v>
      </c>
      <c r="Z1135"/>
      <c r="AA1135" t="s">
        <v>494</v>
      </c>
      <c r="AB1135"/>
      <c r="AC1135" t="s">
        <v>139</v>
      </c>
      <c r="AD1135" t="s">
        <v>3195</v>
      </c>
      <c r="AE1135"/>
      <c r="AF1135" t="s">
        <v>2308</v>
      </c>
      <c r="AG1135" t="s">
        <v>493</v>
      </c>
      <c r="AH1135"/>
      <c r="AI1135" t="s">
        <v>493</v>
      </c>
      <c r="AJ1135"/>
      <c r="AK1135"/>
    </row>
    <row r="1136" spans="1:37">
      <c r="A1136" t="s">
        <v>23</v>
      </c>
      <c r="B1136" t="s">
        <v>24</v>
      </c>
      <c r="C1136" t="s">
        <v>929</v>
      </c>
      <c r="D1136" t="s">
        <v>135</v>
      </c>
      <c r="E1136" t="s">
        <v>3006</v>
      </c>
      <c r="F1136" t="s">
        <v>3007</v>
      </c>
      <c r="G1136" t="s">
        <v>136</v>
      </c>
      <c r="H1136" t="s">
        <v>493</v>
      </c>
      <c r="I1136" t="s">
        <v>932</v>
      </c>
      <c r="J1136" t="s">
        <v>933</v>
      </c>
      <c r="K1136" t="s">
        <v>65</v>
      </c>
      <c r="L1136" t="s">
        <v>162</v>
      </c>
      <c r="M1136" t="s">
        <v>144</v>
      </c>
      <c r="N1136" t="s">
        <v>3197</v>
      </c>
      <c r="O1136">
        <v>1193</v>
      </c>
      <c r="P1136" t="s">
        <v>35</v>
      </c>
      <c r="Q1136"/>
      <c r="R1136">
        <v>1196</v>
      </c>
      <c r="S1136">
        <v>1193</v>
      </c>
      <c r="T1136" t="s">
        <v>493</v>
      </c>
      <c r="U1136" t="s">
        <v>493</v>
      </c>
      <c r="V1136" t="s">
        <v>67</v>
      </c>
      <c r="W1136" t="s">
        <v>66</v>
      </c>
      <c r="X1136" t="s">
        <v>67</v>
      </c>
      <c r="Y1136" t="s">
        <v>935</v>
      </c>
      <c r="Z1136"/>
      <c r="AA1136" t="s">
        <v>494</v>
      </c>
      <c r="AB1136"/>
      <c r="AC1136" t="s">
        <v>139</v>
      </c>
      <c r="AD1136" t="s">
        <v>3198</v>
      </c>
      <c r="AE1136"/>
      <c r="AF1136" t="s">
        <v>2308</v>
      </c>
      <c r="AG1136" t="s">
        <v>493</v>
      </c>
      <c r="AH1136"/>
      <c r="AI1136" t="s">
        <v>493</v>
      </c>
      <c r="AJ1136"/>
      <c r="AK1136"/>
    </row>
    <row r="1137" spans="1:37">
      <c r="A1137" t="s">
        <v>23</v>
      </c>
      <c r="B1137" t="s">
        <v>24</v>
      </c>
      <c r="C1137" t="s">
        <v>929</v>
      </c>
      <c r="D1137" t="s">
        <v>135</v>
      </c>
      <c r="E1137" t="s">
        <v>3006</v>
      </c>
      <c r="F1137" t="s">
        <v>3007</v>
      </c>
      <c r="G1137" t="s">
        <v>136</v>
      </c>
      <c r="H1137" t="s">
        <v>493</v>
      </c>
      <c r="I1137" t="s">
        <v>932</v>
      </c>
      <c r="J1137" t="s">
        <v>933</v>
      </c>
      <c r="K1137" t="s">
        <v>65</v>
      </c>
      <c r="L1137" t="s">
        <v>162</v>
      </c>
      <c r="M1137" t="s">
        <v>144</v>
      </c>
      <c r="N1137" t="s">
        <v>3199</v>
      </c>
      <c r="O1137">
        <v>1192</v>
      </c>
      <c r="P1137" t="s">
        <v>35</v>
      </c>
      <c r="Q1137"/>
      <c r="R1137">
        <v>1195</v>
      </c>
      <c r="S1137">
        <v>1192</v>
      </c>
      <c r="T1137" t="s">
        <v>493</v>
      </c>
      <c r="U1137" t="s">
        <v>493</v>
      </c>
      <c r="V1137" t="s">
        <v>67</v>
      </c>
      <c r="W1137" t="s">
        <v>66</v>
      </c>
      <c r="X1137" t="s">
        <v>67</v>
      </c>
      <c r="Y1137" t="s">
        <v>935</v>
      </c>
      <c r="Z1137"/>
      <c r="AA1137" t="s">
        <v>494</v>
      </c>
      <c r="AB1137"/>
      <c r="AC1137" t="s">
        <v>139</v>
      </c>
      <c r="AD1137" t="s">
        <v>3198</v>
      </c>
      <c r="AE1137"/>
      <c r="AF1137" t="s">
        <v>2308</v>
      </c>
      <c r="AG1137" t="s">
        <v>493</v>
      </c>
      <c r="AH1137"/>
      <c r="AI1137" t="s">
        <v>493</v>
      </c>
      <c r="AJ1137"/>
      <c r="AK1137"/>
    </row>
    <row r="1138" spans="1:37">
      <c r="A1138" t="s">
        <v>23</v>
      </c>
      <c r="B1138" t="s">
        <v>24</v>
      </c>
      <c r="C1138" t="s">
        <v>929</v>
      </c>
      <c r="D1138" t="s">
        <v>135</v>
      </c>
      <c r="E1138" t="s">
        <v>3006</v>
      </c>
      <c r="F1138" t="s">
        <v>3007</v>
      </c>
      <c r="G1138" t="s">
        <v>136</v>
      </c>
      <c r="H1138" t="s">
        <v>493</v>
      </c>
      <c r="I1138" t="s">
        <v>932</v>
      </c>
      <c r="J1138" t="s">
        <v>933</v>
      </c>
      <c r="K1138" t="s">
        <v>65</v>
      </c>
      <c r="L1138" t="s">
        <v>162</v>
      </c>
      <c r="M1138" t="s">
        <v>144</v>
      </c>
      <c r="N1138" t="s">
        <v>3200</v>
      </c>
      <c r="O1138">
        <v>1195</v>
      </c>
      <c r="P1138" t="s">
        <v>35</v>
      </c>
      <c r="Q1138"/>
      <c r="R1138">
        <v>1198</v>
      </c>
      <c r="S1138">
        <v>1195</v>
      </c>
      <c r="T1138" t="s">
        <v>493</v>
      </c>
      <c r="U1138" t="s">
        <v>493</v>
      </c>
      <c r="V1138" t="s">
        <v>67</v>
      </c>
      <c r="W1138" t="s">
        <v>66</v>
      </c>
      <c r="X1138" t="s">
        <v>67</v>
      </c>
      <c r="Y1138" t="s">
        <v>935</v>
      </c>
      <c r="Z1138"/>
      <c r="AA1138" t="s">
        <v>494</v>
      </c>
      <c r="AB1138"/>
      <c r="AC1138" t="s">
        <v>139</v>
      </c>
      <c r="AD1138" t="s">
        <v>3198</v>
      </c>
      <c r="AE1138"/>
      <c r="AF1138" t="s">
        <v>2308</v>
      </c>
      <c r="AG1138" t="s">
        <v>493</v>
      </c>
      <c r="AH1138"/>
      <c r="AI1138" t="s">
        <v>493</v>
      </c>
      <c r="AJ1138"/>
      <c r="AK1138"/>
    </row>
    <row r="1139" spans="1:37">
      <c r="A1139" t="s">
        <v>23</v>
      </c>
      <c r="B1139" t="s">
        <v>24</v>
      </c>
      <c r="C1139" t="s">
        <v>929</v>
      </c>
      <c r="D1139" t="s">
        <v>135</v>
      </c>
      <c r="E1139" t="s">
        <v>3006</v>
      </c>
      <c r="F1139" t="s">
        <v>3007</v>
      </c>
      <c r="G1139" t="s">
        <v>136</v>
      </c>
      <c r="H1139" t="s">
        <v>493</v>
      </c>
      <c r="I1139" t="s">
        <v>932</v>
      </c>
      <c r="J1139" t="s">
        <v>933</v>
      </c>
      <c r="K1139" t="s">
        <v>65</v>
      </c>
      <c r="L1139" t="s">
        <v>162</v>
      </c>
      <c r="M1139" t="s">
        <v>144</v>
      </c>
      <c r="N1139" t="s">
        <v>3201</v>
      </c>
      <c r="O1139">
        <v>1187</v>
      </c>
      <c r="P1139" t="s">
        <v>35</v>
      </c>
      <c r="Q1139"/>
      <c r="R1139">
        <v>1190</v>
      </c>
      <c r="S1139">
        <v>1187</v>
      </c>
      <c r="T1139" t="s">
        <v>493</v>
      </c>
      <c r="U1139" t="s">
        <v>493</v>
      </c>
      <c r="V1139" t="s">
        <v>67</v>
      </c>
      <c r="W1139" t="s">
        <v>66</v>
      </c>
      <c r="X1139" t="s">
        <v>67</v>
      </c>
      <c r="Y1139" t="s">
        <v>935</v>
      </c>
      <c r="Z1139"/>
      <c r="AA1139" t="s">
        <v>494</v>
      </c>
      <c r="AB1139"/>
      <c r="AC1139" t="s">
        <v>139</v>
      </c>
      <c r="AD1139" t="s">
        <v>3202</v>
      </c>
      <c r="AE1139"/>
      <c r="AF1139" t="s">
        <v>2308</v>
      </c>
      <c r="AG1139" t="s">
        <v>493</v>
      </c>
      <c r="AH1139"/>
      <c r="AI1139" t="s">
        <v>493</v>
      </c>
      <c r="AJ1139"/>
      <c r="AK1139"/>
    </row>
    <row r="1140" spans="1:37">
      <c r="A1140" t="s">
        <v>23</v>
      </c>
      <c r="B1140" t="s">
        <v>24</v>
      </c>
      <c r="C1140" t="s">
        <v>929</v>
      </c>
      <c r="D1140" t="s">
        <v>135</v>
      </c>
      <c r="E1140" t="s">
        <v>3006</v>
      </c>
      <c r="F1140" t="s">
        <v>3007</v>
      </c>
      <c r="G1140" t="s">
        <v>136</v>
      </c>
      <c r="H1140" t="s">
        <v>493</v>
      </c>
      <c r="I1140" t="s">
        <v>932</v>
      </c>
      <c r="J1140" t="s">
        <v>933</v>
      </c>
      <c r="K1140" t="s">
        <v>65</v>
      </c>
      <c r="L1140" t="s">
        <v>162</v>
      </c>
      <c r="M1140" t="s">
        <v>144</v>
      </c>
      <c r="N1140" t="s">
        <v>3203</v>
      </c>
      <c r="O1140">
        <v>1184</v>
      </c>
      <c r="P1140" t="s">
        <v>35</v>
      </c>
      <c r="Q1140"/>
      <c r="R1140">
        <v>1187</v>
      </c>
      <c r="S1140">
        <v>1184</v>
      </c>
      <c r="T1140" t="s">
        <v>493</v>
      </c>
      <c r="U1140" t="s">
        <v>493</v>
      </c>
      <c r="V1140" t="s">
        <v>67</v>
      </c>
      <c r="W1140" t="s">
        <v>66</v>
      </c>
      <c r="X1140" t="s">
        <v>67</v>
      </c>
      <c r="Y1140" t="s">
        <v>935</v>
      </c>
      <c r="Z1140"/>
      <c r="AA1140" t="s">
        <v>494</v>
      </c>
      <c r="AB1140"/>
      <c r="AC1140" t="s">
        <v>139</v>
      </c>
      <c r="AD1140" t="s">
        <v>3202</v>
      </c>
      <c r="AE1140"/>
      <c r="AF1140" t="s">
        <v>2308</v>
      </c>
      <c r="AG1140" t="s">
        <v>493</v>
      </c>
      <c r="AH1140"/>
      <c r="AI1140" t="s">
        <v>493</v>
      </c>
      <c r="AJ1140"/>
      <c r="AK1140"/>
    </row>
    <row r="1141" spans="1:37">
      <c r="A1141" t="s">
        <v>23</v>
      </c>
      <c r="B1141" t="s">
        <v>24</v>
      </c>
      <c r="C1141" t="s">
        <v>929</v>
      </c>
      <c r="D1141" t="s">
        <v>135</v>
      </c>
      <c r="E1141" t="s">
        <v>3006</v>
      </c>
      <c r="F1141" t="s">
        <v>3007</v>
      </c>
      <c r="G1141" t="s">
        <v>136</v>
      </c>
      <c r="H1141" t="s">
        <v>493</v>
      </c>
      <c r="I1141" t="s">
        <v>932</v>
      </c>
      <c r="J1141" t="s">
        <v>933</v>
      </c>
      <c r="K1141" t="s">
        <v>65</v>
      </c>
      <c r="L1141" t="s">
        <v>162</v>
      </c>
      <c r="M1141" t="s">
        <v>144</v>
      </c>
      <c r="N1141" t="s">
        <v>3204</v>
      </c>
      <c r="O1141">
        <v>1188</v>
      </c>
      <c r="P1141" t="s">
        <v>35</v>
      </c>
      <c r="Q1141"/>
      <c r="R1141">
        <v>1191</v>
      </c>
      <c r="S1141">
        <v>1188</v>
      </c>
      <c r="T1141" t="s">
        <v>493</v>
      </c>
      <c r="U1141" t="s">
        <v>493</v>
      </c>
      <c r="V1141" t="s">
        <v>67</v>
      </c>
      <c r="W1141" t="s">
        <v>66</v>
      </c>
      <c r="X1141" t="s">
        <v>67</v>
      </c>
      <c r="Y1141" t="s">
        <v>935</v>
      </c>
      <c r="Z1141"/>
      <c r="AA1141" t="s">
        <v>494</v>
      </c>
      <c r="AB1141"/>
      <c r="AC1141" t="s">
        <v>139</v>
      </c>
      <c r="AD1141" t="s">
        <v>3202</v>
      </c>
      <c r="AE1141"/>
      <c r="AF1141" t="s">
        <v>2308</v>
      </c>
      <c r="AG1141" t="s">
        <v>493</v>
      </c>
      <c r="AH1141"/>
      <c r="AI1141" t="s">
        <v>493</v>
      </c>
      <c r="AJ1141"/>
      <c r="AK1141"/>
    </row>
    <row r="1142" spans="1:37">
      <c r="A1142" t="s">
        <v>23</v>
      </c>
      <c r="B1142" t="s">
        <v>24</v>
      </c>
      <c r="C1142" t="s">
        <v>929</v>
      </c>
      <c r="D1142" t="s">
        <v>135</v>
      </c>
      <c r="E1142" t="s">
        <v>3006</v>
      </c>
      <c r="F1142" t="s">
        <v>3007</v>
      </c>
      <c r="G1142" t="s">
        <v>136</v>
      </c>
      <c r="H1142" t="s">
        <v>493</v>
      </c>
      <c r="I1142" t="s">
        <v>932</v>
      </c>
      <c r="J1142" t="s">
        <v>933</v>
      </c>
      <c r="K1142" t="s">
        <v>65</v>
      </c>
      <c r="L1142" t="s">
        <v>162</v>
      </c>
      <c r="M1142" t="s">
        <v>144</v>
      </c>
      <c r="N1142" t="s">
        <v>3205</v>
      </c>
      <c r="O1142">
        <v>1197</v>
      </c>
      <c r="P1142" t="s">
        <v>35</v>
      </c>
      <c r="Q1142"/>
      <c r="R1142">
        <v>1200</v>
      </c>
      <c r="S1142">
        <v>1197</v>
      </c>
      <c r="T1142" t="s">
        <v>493</v>
      </c>
      <c r="U1142" t="s">
        <v>493</v>
      </c>
      <c r="V1142" t="s">
        <v>67</v>
      </c>
      <c r="W1142" t="s">
        <v>66</v>
      </c>
      <c r="X1142" t="s">
        <v>67</v>
      </c>
      <c r="Y1142" t="s">
        <v>935</v>
      </c>
      <c r="Z1142"/>
      <c r="AA1142" t="s">
        <v>494</v>
      </c>
      <c r="AB1142"/>
      <c r="AC1142" t="s">
        <v>139</v>
      </c>
      <c r="AD1142" t="s">
        <v>3206</v>
      </c>
      <c r="AE1142"/>
      <c r="AF1142" t="s">
        <v>2308</v>
      </c>
      <c r="AG1142" t="s">
        <v>493</v>
      </c>
      <c r="AH1142"/>
      <c r="AI1142" t="s">
        <v>493</v>
      </c>
      <c r="AJ1142"/>
      <c r="AK1142"/>
    </row>
    <row r="1143" spans="1:37">
      <c r="A1143" t="s">
        <v>23</v>
      </c>
      <c r="B1143" t="s">
        <v>24</v>
      </c>
      <c r="C1143" t="s">
        <v>1618</v>
      </c>
      <c r="D1143" t="s">
        <v>135</v>
      </c>
      <c r="E1143" t="s">
        <v>3136</v>
      </c>
      <c r="F1143" t="s">
        <v>931</v>
      </c>
      <c r="G1143" t="s">
        <v>136</v>
      </c>
      <c r="H1143" t="s">
        <v>151</v>
      </c>
      <c r="I1143" t="s">
        <v>156</v>
      </c>
      <c r="J1143" t="s">
        <v>26</v>
      </c>
      <c r="K1143" t="s">
        <v>157</v>
      </c>
      <c r="L1143" t="s">
        <v>150</v>
      </c>
      <c r="M1143" t="s">
        <v>144</v>
      </c>
      <c r="N1143" t="s">
        <v>3207</v>
      </c>
      <c r="O1143">
        <v>1</v>
      </c>
      <c r="P1143" t="s">
        <v>160</v>
      </c>
      <c r="Q1143"/>
      <c r="R1143">
        <v>626</v>
      </c>
      <c r="S1143">
        <v>622.4</v>
      </c>
      <c r="T1143" t="s">
        <v>145</v>
      </c>
      <c r="U1143" t="s">
        <v>3372</v>
      </c>
      <c r="V1143" t="s">
        <v>27</v>
      </c>
      <c r="W1143" t="s">
        <v>66</v>
      </c>
      <c r="X1143" t="s">
        <v>67</v>
      </c>
      <c r="Y1143" t="s">
        <v>138</v>
      </c>
      <c r="Z1143"/>
      <c r="AA1143" t="s">
        <v>494</v>
      </c>
      <c r="AB1143"/>
      <c r="AC1143" t="s">
        <v>139</v>
      </c>
      <c r="AD1143" t="s">
        <v>3382</v>
      </c>
      <c r="AE1143"/>
      <c r="AF1143"/>
      <c r="AG1143" t="s">
        <v>156</v>
      </c>
      <c r="AH1143" t="s">
        <v>68</v>
      </c>
      <c r="AI1143" t="s">
        <v>493</v>
      </c>
      <c r="AJ1143"/>
      <c r="AK1143" t="s">
        <v>3208</v>
      </c>
    </row>
    <row r="1144" spans="1:37">
      <c r="A1144" t="s">
        <v>23</v>
      </c>
      <c r="B1144" t="s">
        <v>24</v>
      </c>
      <c r="C1144" t="s">
        <v>1618</v>
      </c>
      <c r="D1144" t="s">
        <v>135</v>
      </c>
      <c r="E1144" t="s">
        <v>3136</v>
      </c>
      <c r="F1144" t="s">
        <v>931</v>
      </c>
      <c r="G1144" t="s">
        <v>136</v>
      </c>
      <c r="H1144" t="s">
        <v>151</v>
      </c>
      <c r="I1144" t="s">
        <v>156</v>
      </c>
      <c r="J1144" t="s">
        <v>26</v>
      </c>
      <c r="K1144" t="s">
        <v>157</v>
      </c>
      <c r="L1144" t="s">
        <v>150</v>
      </c>
      <c r="M1144" t="s">
        <v>144</v>
      </c>
      <c r="N1144" t="s">
        <v>3209</v>
      </c>
      <c r="O1144">
        <v>1</v>
      </c>
      <c r="P1144" t="s">
        <v>160</v>
      </c>
      <c r="Q1144"/>
      <c r="R1144">
        <v>625</v>
      </c>
      <c r="S1144">
        <v>622.4</v>
      </c>
      <c r="T1144" t="s">
        <v>145</v>
      </c>
      <c r="U1144" t="s">
        <v>3372</v>
      </c>
      <c r="V1144" t="s">
        <v>27</v>
      </c>
      <c r="W1144" t="s">
        <v>66</v>
      </c>
      <c r="X1144" t="s">
        <v>67</v>
      </c>
      <c r="Y1144" t="s">
        <v>138</v>
      </c>
      <c r="Z1144"/>
      <c r="AA1144" t="s">
        <v>494</v>
      </c>
      <c r="AB1144"/>
      <c r="AC1144" t="s">
        <v>139</v>
      </c>
      <c r="AD1144" t="s">
        <v>3383</v>
      </c>
      <c r="AE1144"/>
      <c r="AF1144"/>
      <c r="AG1144" t="s">
        <v>156</v>
      </c>
      <c r="AH1144" t="s">
        <v>68</v>
      </c>
      <c r="AI1144" t="s">
        <v>493</v>
      </c>
      <c r="AJ1144"/>
      <c r="AK1144" t="s">
        <v>3210</v>
      </c>
    </row>
    <row r="1145" spans="1:37">
      <c r="A1145" t="s">
        <v>23</v>
      </c>
      <c r="B1145" t="s">
        <v>24</v>
      </c>
      <c r="C1145" t="s">
        <v>1618</v>
      </c>
      <c r="D1145" t="s">
        <v>135</v>
      </c>
      <c r="E1145" t="s">
        <v>3136</v>
      </c>
      <c r="F1145" t="s">
        <v>931</v>
      </c>
      <c r="G1145" t="s">
        <v>136</v>
      </c>
      <c r="H1145" t="s">
        <v>151</v>
      </c>
      <c r="I1145" t="s">
        <v>156</v>
      </c>
      <c r="J1145" t="s">
        <v>26</v>
      </c>
      <c r="K1145" t="s">
        <v>157</v>
      </c>
      <c r="L1145" t="s">
        <v>150</v>
      </c>
      <c r="M1145" t="s">
        <v>144</v>
      </c>
      <c r="N1145" t="s">
        <v>3211</v>
      </c>
      <c r="O1145">
        <v>1</v>
      </c>
      <c r="P1145" t="s">
        <v>160</v>
      </c>
      <c r="Q1145"/>
      <c r="R1145">
        <v>625</v>
      </c>
      <c r="S1145">
        <v>622.4</v>
      </c>
      <c r="T1145" t="s">
        <v>145</v>
      </c>
      <c r="U1145" t="s">
        <v>3372</v>
      </c>
      <c r="V1145" t="s">
        <v>27</v>
      </c>
      <c r="W1145" t="s">
        <v>66</v>
      </c>
      <c r="X1145" t="s">
        <v>67</v>
      </c>
      <c r="Y1145" t="s">
        <v>138</v>
      </c>
      <c r="Z1145"/>
      <c r="AA1145" t="s">
        <v>494</v>
      </c>
      <c r="AB1145"/>
      <c r="AC1145" t="s">
        <v>139</v>
      </c>
      <c r="AD1145" t="s">
        <v>3384</v>
      </c>
      <c r="AE1145"/>
      <c r="AF1145"/>
      <c r="AG1145" t="s">
        <v>156</v>
      </c>
      <c r="AH1145" t="s">
        <v>68</v>
      </c>
      <c r="AI1145" t="s">
        <v>493</v>
      </c>
      <c r="AJ1145"/>
      <c r="AK1145" t="s">
        <v>3212</v>
      </c>
    </row>
    <row r="1146" spans="1:37">
      <c r="A1146" t="s">
        <v>23</v>
      </c>
      <c r="B1146" t="s">
        <v>24</v>
      </c>
      <c r="C1146" t="s">
        <v>934</v>
      </c>
      <c r="D1146" t="s">
        <v>135</v>
      </c>
      <c r="E1146" t="s">
        <v>3213</v>
      </c>
      <c r="F1146" t="s">
        <v>931</v>
      </c>
      <c r="G1146" t="s">
        <v>136</v>
      </c>
      <c r="H1146" t="s">
        <v>152</v>
      </c>
      <c r="I1146" t="s">
        <v>71</v>
      </c>
      <c r="J1146" t="s">
        <v>72</v>
      </c>
      <c r="K1146" t="s">
        <v>65</v>
      </c>
      <c r="L1146" t="s">
        <v>2993</v>
      </c>
      <c r="M1146" t="s">
        <v>137</v>
      </c>
      <c r="N1146" t="s">
        <v>3214</v>
      </c>
      <c r="O1146">
        <v>1167</v>
      </c>
      <c r="P1146" t="s">
        <v>35</v>
      </c>
      <c r="Q1146"/>
      <c r="R1146">
        <v>1170</v>
      </c>
      <c r="S1146">
        <v>1167</v>
      </c>
      <c r="T1146" t="s">
        <v>493</v>
      </c>
      <c r="U1146" t="s">
        <v>493</v>
      </c>
      <c r="V1146" t="s">
        <v>67</v>
      </c>
      <c r="W1146" t="s">
        <v>66</v>
      </c>
      <c r="X1146" t="s">
        <v>67</v>
      </c>
      <c r="Y1146" t="s">
        <v>935</v>
      </c>
      <c r="Z1146"/>
      <c r="AA1146" t="s">
        <v>494</v>
      </c>
      <c r="AB1146"/>
      <c r="AC1146" t="s">
        <v>139</v>
      </c>
      <c r="AD1146" t="s">
        <v>3215</v>
      </c>
      <c r="AE1146"/>
      <c r="AF1146" t="s">
        <v>493</v>
      </c>
      <c r="AG1146" t="s">
        <v>71</v>
      </c>
      <c r="AH1146" t="s">
        <v>1275</v>
      </c>
      <c r="AI1146" t="s">
        <v>493</v>
      </c>
      <c r="AJ1146"/>
      <c r="AK1146"/>
    </row>
    <row r="1147" spans="1:37">
      <c r="A1147" t="s">
        <v>23</v>
      </c>
      <c r="B1147" t="s">
        <v>24</v>
      </c>
      <c r="C1147" t="s">
        <v>1618</v>
      </c>
      <c r="D1147" t="s">
        <v>135</v>
      </c>
      <c r="E1147" t="s">
        <v>3136</v>
      </c>
      <c r="F1147" t="s">
        <v>931</v>
      </c>
      <c r="G1147" t="s">
        <v>136</v>
      </c>
      <c r="H1147" t="s">
        <v>151</v>
      </c>
      <c r="I1147" t="s">
        <v>156</v>
      </c>
      <c r="J1147" t="s">
        <v>26</v>
      </c>
      <c r="K1147" t="s">
        <v>157</v>
      </c>
      <c r="L1147" t="s">
        <v>150</v>
      </c>
      <c r="M1147" t="s">
        <v>144</v>
      </c>
      <c r="N1147" t="s">
        <v>3216</v>
      </c>
      <c r="O1147">
        <v>1</v>
      </c>
      <c r="P1147" t="s">
        <v>160</v>
      </c>
      <c r="Q1147"/>
      <c r="R1147">
        <v>625</v>
      </c>
      <c r="S1147">
        <v>622.4</v>
      </c>
      <c r="T1147" t="s">
        <v>145</v>
      </c>
      <c r="U1147" t="s">
        <v>3372</v>
      </c>
      <c r="V1147" t="s">
        <v>27</v>
      </c>
      <c r="W1147" t="s">
        <v>66</v>
      </c>
      <c r="X1147" t="s">
        <v>67</v>
      </c>
      <c r="Y1147" t="s">
        <v>138</v>
      </c>
      <c r="Z1147"/>
      <c r="AA1147" t="s">
        <v>494</v>
      </c>
      <c r="AB1147"/>
      <c r="AC1147" t="s">
        <v>139</v>
      </c>
      <c r="AD1147" t="s">
        <v>3385</v>
      </c>
      <c r="AE1147"/>
      <c r="AF1147"/>
      <c r="AG1147" t="s">
        <v>156</v>
      </c>
      <c r="AH1147" t="s">
        <v>68</v>
      </c>
      <c r="AI1147" t="s">
        <v>493</v>
      </c>
      <c r="AJ1147"/>
      <c r="AK1147" t="s">
        <v>3217</v>
      </c>
    </row>
    <row r="1148" spans="1:37">
      <c r="A1148" t="s">
        <v>23</v>
      </c>
      <c r="B1148" t="s">
        <v>24</v>
      </c>
      <c r="C1148" t="s">
        <v>1618</v>
      </c>
      <c r="D1148" t="s">
        <v>135</v>
      </c>
      <c r="E1148" t="s">
        <v>3136</v>
      </c>
      <c r="F1148" t="s">
        <v>931</v>
      </c>
      <c r="G1148" t="s">
        <v>136</v>
      </c>
      <c r="H1148" t="s">
        <v>151</v>
      </c>
      <c r="I1148" t="s">
        <v>156</v>
      </c>
      <c r="J1148" t="s">
        <v>26</v>
      </c>
      <c r="K1148" t="s">
        <v>157</v>
      </c>
      <c r="L1148" t="s">
        <v>150</v>
      </c>
      <c r="M1148" t="s">
        <v>144</v>
      </c>
      <c r="N1148" t="s">
        <v>3218</v>
      </c>
      <c r="O1148">
        <v>1</v>
      </c>
      <c r="P1148" t="s">
        <v>160</v>
      </c>
      <c r="Q1148"/>
      <c r="R1148">
        <v>627</v>
      </c>
      <c r="S1148">
        <v>622.4</v>
      </c>
      <c r="T1148" t="s">
        <v>145</v>
      </c>
      <c r="U1148" t="s">
        <v>3372</v>
      </c>
      <c r="V1148" t="s">
        <v>27</v>
      </c>
      <c r="W1148" t="s">
        <v>66</v>
      </c>
      <c r="X1148" t="s">
        <v>67</v>
      </c>
      <c r="Y1148" t="s">
        <v>138</v>
      </c>
      <c r="Z1148"/>
      <c r="AA1148" t="s">
        <v>494</v>
      </c>
      <c r="AB1148"/>
      <c r="AC1148" t="s">
        <v>139</v>
      </c>
      <c r="AD1148" t="s">
        <v>3386</v>
      </c>
      <c r="AE1148"/>
      <c r="AF1148"/>
      <c r="AG1148" t="s">
        <v>156</v>
      </c>
      <c r="AH1148" t="s">
        <v>68</v>
      </c>
      <c r="AI1148" t="s">
        <v>493</v>
      </c>
      <c r="AJ1148"/>
      <c r="AK1148" t="s">
        <v>3219</v>
      </c>
    </row>
    <row r="1149" spans="1:37">
      <c r="A1149" t="s">
        <v>23</v>
      </c>
      <c r="B1149" t="s">
        <v>24</v>
      </c>
      <c r="C1149" t="s">
        <v>1618</v>
      </c>
      <c r="D1149" t="s">
        <v>135</v>
      </c>
      <c r="E1149" t="s">
        <v>3136</v>
      </c>
      <c r="F1149" t="s">
        <v>931</v>
      </c>
      <c r="G1149" t="s">
        <v>136</v>
      </c>
      <c r="H1149" t="s">
        <v>151</v>
      </c>
      <c r="I1149" t="s">
        <v>156</v>
      </c>
      <c r="J1149" t="s">
        <v>26</v>
      </c>
      <c r="K1149" t="s">
        <v>157</v>
      </c>
      <c r="L1149" t="s">
        <v>150</v>
      </c>
      <c r="M1149" t="s">
        <v>144</v>
      </c>
      <c r="N1149" t="s">
        <v>3220</v>
      </c>
      <c r="O1149">
        <v>1</v>
      </c>
      <c r="P1149" t="s">
        <v>160</v>
      </c>
      <c r="Q1149"/>
      <c r="R1149">
        <v>627</v>
      </c>
      <c r="S1149">
        <v>622.4</v>
      </c>
      <c r="T1149" t="s">
        <v>145</v>
      </c>
      <c r="U1149" t="s">
        <v>3372</v>
      </c>
      <c r="V1149" t="s">
        <v>27</v>
      </c>
      <c r="W1149" t="s">
        <v>66</v>
      </c>
      <c r="X1149" t="s">
        <v>67</v>
      </c>
      <c r="Y1149" t="s">
        <v>138</v>
      </c>
      <c r="Z1149"/>
      <c r="AA1149" t="s">
        <v>494</v>
      </c>
      <c r="AB1149"/>
      <c r="AC1149" t="s">
        <v>139</v>
      </c>
      <c r="AD1149" t="s">
        <v>3387</v>
      </c>
      <c r="AE1149"/>
      <c r="AF1149"/>
      <c r="AG1149" t="s">
        <v>156</v>
      </c>
      <c r="AH1149" t="s">
        <v>68</v>
      </c>
      <c r="AI1149" t="s">
        <v>493</v>
      </c>
      <c r="AJ1149"/>
      <c r="AK1149" t="s">
        <v>3222</v>
      </c>
    </row>
    <row r="1150" spans="1:37">
      <c r="A1150" t="s">
        <v>23</v>
      </c>
      <c r="B1150" t="s">
        <v>24</v>
      </c>
      <c r="C1150" t="s">
        <v>934</v>
      </c>
      <c r="D1150" t="s">
        <v>135</v>
      </c>
      <c r="E1150" t="s">
        <v>2051</v>
      </c>
      <c r="F1150" t="s">
        <v>931</v>
      </c>
      <c r="G1150" t="s">
        <v>136</v>
      </c>
      <c r="H1150" t="s">
        <v>151</v>
      </c>
      <c r="I1150" t="s">
        <v>71</v>
      </c>
      <c r="J1150" t="s">
        <v>72</v>
      </c>
      <c r="K1150" t="s">
        <v>65</v>
      </c>
      <c r="L1150" t="s">
        <v>1046</v>
      </c>
      <c r="M1150" t="s">
        <v>154</v>
      </c>
      <c r="N1150" t="s">
        <v>3223</v>
      </c>
      <c r="O1150">
        <v>498.6</v>
      </c>
      <c r="P1150" t="s">
        <v>35</v>
      </c>
      <c r="Q1150"/>
      <c r="R1150">
        <v>498.6</v>
      </c>
      <c r="S1150">
        <v>498.6</v>
      </c>
      <c r="T1150" t="s">
        <v>493</v>
      </c>
      <c r="U1150" t="s">
        <v>493</v>
      </c>
      <c r="V1150" t="s">
        <v>27</v>
      </c>
      <c r="W1150" t="s">
        <v>2230</v>
      </c>
      <c r="X1150" t="s">
        <v>67</v>
      </c>
      <c r="Y1150" t="s">
        <v>69</v>
      </c>
      <c r="Z1150"/>
      <c r="AA1150" t="s">
        <v>494</v>
      </c>
      <c r="AB1150"/>
      <c r="AC1150" t="s">
        <v>139</v>
      </c>
      <c r="AD1150" t="s">
        <v>3221</v>
      </c>
      <c r="AE1150"/>
      <c r="AF1150" t="s">
        <v>70</v>
      </c>
      <c r="AG1150" t="s">
        <v>71</v>
      </c>
      <c r="AH1150" t="s">
        <v>68</v>
      </c>
      <c r="AI1150" t="s">
        <v>493</v>
      </c>
      <c r="AJ1150"/>
      <c r="AK1150"/>
    </row>
    <row r="1151" spans="1:37">
      <c r="A1151" t="s">
        <v>23</v>
      </c>
      <c r="B1151" t="s">
        <v>24</v>
      </c>
      <c r="C1151" t="s">
        <v>934</v>
      </c>
      <c r="D1151" t="s">
        <v>135</v>
      </c>
      <c r="E1151" t="s">
        <v>3213</v>
      </c>
      <c r="F1151" t="s">
        <v>931</v>
      </c>
      <c r="G1151" t="s">
        <v>136</v>
      </c>
      <c r="H1151" t="s">
        <v>152</v>
      </c>
      <c r="I1151" t="s">
        <v>71</v>
      </c>
      <c r="J1151" t="s">
        <v>72</v>
      </c>
      <c r="K1151" t="s">
        <v>65</v>
      </c>
      <c r="L1151" t="s">
        <v>2993</v>
      </c>
      <c r="M1151" t="s">
        <v>137</v>
      </c>
      <c r="N1151" t="s">
        <v>3224</v>
      </c>
      <c r="O1151">
        <v>1107</v>
      </c>
      <c r="P1151" t="s">
        <v>35</v>
      </c>
      <c r="Q1151"/>
      <c r="R1151">
        <v>1110</v>
      </c>
      <c r="S1151">
        <v>1107</v>
      </c>
      <c r="T1151" t="s">
        <v>493</v>
      </c>
      <c r="U1151" t="s">
        <v>493</v>
      </c>
      <c r="V1151" t="s">
        <v>67</v>
      </c>
      <c r="W1151" t="s">
        <v>66</v>
      </c>
      <c r="X1151" t="s">
        <v>67</v>
      </c>
      <c r="Y1151" t="s">
        <v>935</v>
      </c>
      <c r="Z1151"/>
      <c r="AA1151" t="s">
        <v>494</v>
      </c>
      <c r="AB1151"/>
      <c r="AC1151" t="s">
        <v>139</v>
      </c>
      <c r="AD1151" t="s">
        <v>3225</v>
      </c>
      <c r="AE1151"/>
      <c r="AF1151" t="s">
        <v>493</v>
      </c>
      <c r="AG1151" t="s">
        <v>71</v>
      </c>
      <c r="AH1151" t="s">
        <v>1275</v>
      </c>
      <c r="AI1151" t="s">
        <v>493</v>
      </c>
      <c r="AJ1151"/>
      <c r="AK1151"/>
    </row>
    <row r="1152" spans="1:37">
      <c r="A1152" t="s">
        <v>23</v>
      </c>
      <c r="B1152" t="s">
        <v>24</v>
      </c>
      <c r="C1152" t="s">
        <v>1618</v>
      </c>
      <c r="D1152" t="s">
        <v>135</v>
      </c>
      <c r="E1152" t="s">
        <v>3136</v>
      </c>
      <c r="F1152" t="s">
        <v>931</v>
      </c>
      <c r="G1152" t="s">
        <v>136</v>
      </c>
      <c r="H1152" t="s">
        <v>151</v>
      </c>
      <c r="I1152" t="s">
        <v>156</v>
      </c>
      <c r="J1152" t="s">
        <v>26</v>
      </c>
      <c r="K1152" t="s">
        <v>157</v>
      </c>
      <c r="L1152" t="s">
        <v>150</v>
      </c>
      <c r="M1152" t="s">
        <v>144</v>
      </c>
      <c r="N1152" t="s">
        <v>3226</v>
      </c>
      <c r="O1152">
        <v>1</v>
      </c>
      <c r="P1152" t="s">
        <v>160</v>
      </c>
      <c r="Q1152"/>
      <c r="R1152">
        <v>626</v>
      </c>
      <c r="S1152">
        <v>622.4</v>
      </c>
      <c r="T1152" t="s">
        <v>145</v>
      </c>
      <c r="U1152" t="s">
        <v>3372</v>
      </c>
      <c r="V1152" t="s">
        <v>27</v>
      </c>
      <c r="W1152" t="s">
        <v>66</v>
      </c>
      <c r="X1152" t="s">
        <v>67</v>
      </c>
      <c r="Y1152" t="s">
        <v>138</v>
      </c>
      <c r="Z1152"/>
      <c r="AA1152" t="s">
        <v>494</v>
      </c>
      <c r="AB1152"/>
      <c r="AC1152" t="s">
        <v>139</v>
      </c>
      <c r="AD1152" t="s">
        <v>3388</v>
      </c>
      <c r="AE1152"/>
      <c r="AF1152"/>
      <c r="AG1152" t="s">
        <v>156</v>
      </c>
      <c r="AH1152" t="s">
        <v>68</v>
      </c>
      <c r="AI1152" t="s">
        <v>493</v>
      </c>
      <c r="AJ1152"/>
      <c r="AK1152" t="s">
        <v>3228</v>
      </c>
    </row>
    <row r="1153" spans="1:37">
      <c r="A1153" t="s">
        <v>23</v>
      </c>
      <c r="B1153" t="s">
        <v>24</v>
      </c>
      <c r="C1153" t="s">
        <v>934</v>
      </c>
      <c r="D1153" t="s">
        <v>135</v>
      </c>
      <c r="E1153" t="s">
        <v>2051</v>
      </c>
      <c r="F1153" t="s">
        <v>931</v>
      </c>
      <c r="G1153" t="s">
        <v>136</v>
      </c>
      <c r="H1153" t="s">
        <v>151</v>
      </c>
      <c r="I1153" t="s">
        <v>71</v>
      </c>
      <c r="J1153" t="s">
        <v>72</v>
      </c>
      <c r="K1153" t="s">
        <v>65</v>
      </c>
      <c r="L1153" t="s">
        <v>1046</v>
      </c>
      <c r="M1153" t="s">
        <v>154</v>
      </c>
      <c r="N1153" t="s">
        <v>3229</v>
      </c>
      <c r="O1153">
        <v>495.6</v>
      </c>
      <c r="P1153" t="s">
        <v>35</v>
      </c>
      <c r="Q1153"/>
      <c r="R1153">
        <v>495.6</v>
      </c>
      <c r="S1153">
        <v>495.6</v>
      </c>
      <c r="T1153" t="s">
        <v>493</v>
      </c>
      <c r="U1153" t="s">
        <v>493</v>
      </c>
      <c r="V1153" t="s">
        <v>27</v>
      </c>
      <c r="W1153" t="s">
        <v>2230</v>
      </c>
      <c r="X1153" t="s">
        <v>67</v>
      </c>
      <c r="Y1153" t="s">
        <v>69</v>
      </c>
      <c r="Z1153"/>
      <c r="AA1153" t="s">
        <v>494</v>
      </c>
      <c r="AB1153"/>
      <c r="AC1153" t="s">
        <v>139</v>
      </c>
      <c r="AD1153" t="s">
        <v>3227</v>
      </c>
      <c r="AE1153"/>
      <c r="AF1153" t="s">
        <v>70</v>
      </c>
      <c r="AG1153" t="s">
        <v>71</v>
      </c>
      <c r="AH1153" t="s">
        <v>68</v>
      </c>
      <c r="AI1153" t="s">
        <v>493</v>
      </c>
      <c r="AJ1153"/>
      <c r="AK1153"/>
    </row>
    <row r="1154" spans="1:37">
      <c r="A1154" t="s">
        <v>23</v>
      </c>
      <c r="B1154" t="s">
        <v>24</v>
      </c>
      <c r="C1154" t="s">
        <v>1618</v>
      </c>
      <c r="D1154" t="s">
        <v>135</v>
      </c>
      <c r="E1154" t="s">
        <v>3136</v>
      </c>
      <c r="F1154" t="s">
        <v>931</v>
      </c>
      <c r="G1154" t="s">
        <v>136</v>
      </c>
      <c r="H1154" t="s">
        <v>151</v>
      </c>
      <c r="I1154" t="s">
        <v>156</v>
      </c>
      <c r="J1154" t="s">
        <v>26</v>
      </c>
      <c r="K1154" t="s">
        <v>157</v>
      </c>
      <c r="L1154" t="s">
        <v>150</v>
      </c>
      <c r="M1154" t="s">
        <v>144</v>
      </c>
      <c r="N1154" t="s">
        <v>3230</v>
      </c>
      <c r="O1154">
        <v>1</v>
      </c>
      <c r="P1154" t="s">
        <v>160</v>
      </c>
      <c r="Q1154"/>
      <c r="R1154">
        <v>624</v>
      </c>
      <c r="S1154">
        <v>622.4</v>
      </c>
      <c r="T1154" t="s">
        <v>145</v>
      </c>
      <c r="U1154" t="s">
        <v>3372</v>
      </c>
      <c r="V1154" t="s">
        <v>27</v>
      </c>
      <c r="W1154" t="s">
        <v>66</v>
      </c>
      <c r="X1154" t="s">
        <v>67</v>
      </c>
      <c r="Y1154" t="s">
        <v>138</v>
      </c>
      <c r="Z1154"/>
      <c r="AA1154" t="s">
        <v>494</v>
      </c>
      <c r="AB1154"/>
      <c r="AC1154" t="s">
        <v>139</v>
      </c>
      <c r="AD1154" t="s">
        <v>3389</v>
      </c>
      <c r="AE1154"/>
      <c r="AF1154"/>
      <c r="AG1154" t="s">
        <v>156</v>
      </c>
      <c r="AH1154" t="s">
        <v>68</v>
      </c>
      <c r="AI1154" t="s">
        <v>493</v>
      </c>
      <c r="AJ1154"/>
      <c r="AK1154" t="s">
        <v>3232</v>
      </c>
    </row>
    <row r="1155" spans="1:37">
      <c r="A1155" t="s">
        <v>23</v>
      </c>
      <c r="B1155" t="s">
        <v>24</v>
      </c>
      <c r="C1155" t="s">
        <v>934</v>
      </c>
      <c r="D1155" t="s">
        <v>135</v>
      </c>
      <c r="E1155" t="s">
        <v>2051</v>
      </c>
      <c r="F1155" t="s">
        <v>931</v>
      </c>
      <c r="G1155" t="s">
        <v>136</v>
      </c>
      <c r="H1155" t="s">
        <v>151</v>
      </c>
      <c r="I1155" t="s">
        <v>71</v>
      </c>
      <c r="J1155" t="s">
        <v>72</v>
      </c>
      <c r="K1155" t="s">
        <v>65</v>
      </c>
      <c r="L1155" t="s">
        <v>1046</v>
      </c>
      <c r="M1155" t="s">
        <v>154</v>
      </c>
      <c r="N1155" t="s">
        <v>3233</v>
      </c>
      <c r="O1155">
        <v>494.6</v>
      </c>
      <c r="P1155" t="s">
        <v>35</v>
      </c>
      <c r="Q1155"/>
      <c r="R1155">
        <v>494.6</v>
      </c>
      <c r="S1155">
        <v>494.6</v>
      </c>
      <c r="T1155" t="s">
        <v>493</v>
      </c>
      <c r="U1155" t="s">
        <v>493</v>
      </c>
      <c r="V1155" t="s">
        <v>27</v>
      </c>
      <c r="W1155" t="s">
        <v>2230</v>
      </c>
      <c r="X1155" t="s">
        <v>67</v>
      </c>
      <c r="Y1155" t="s">
        <v>69</v>
      </c>
      <c r="Z1155"/>
      <c r="AA1155" t="s">
        <v>494</v>
      </c>
      <c r="AB1155"/>
      <c r="AC1155" t="s">
        <v>139</v>
      </c>
      <c r="AD1155" t="s">
        <v>3231</v>
      </c>
      <c r="AE1155"/>
      <c r="AF1155" t="s">
        <v>70</v>
      </c>
      <c r="AG1155" t="s">
        <v>71</v>
      </c>
      <c r="AH1155" t="s">
        <v>68</v>
      </c>
      <c r="AI1155" t="s">
        <v>493</v>
      </c>
      <c r="AJ1155"/>
      <c r="AK1155"/>
    </row>
    <row r="1156" spans="1:37">
      <c r="A1156" t="s">
        <v>23</v>
      </c>
      <c r="B1156" t="s">
        <v>24</v>
      </c>
      <c r="C1156" t="s">
        <v>934</v>
      </c>
      <c r="D1156" t="s">
        <v>135</v>
      </c>
      <c r="E1156" t="s">
        <v>3213</v>
      </c>
      <c r="F1156" t="s">
        <v>931</v>
      </c>
      <c r="G1156" t="s">
        <v>136</v>
      </c>
      <c r="H1156" t="s">
        <v>152</v>
      </c>
      <c r="I1156" t="s">
        <v>71</v>
      </c>
      <c r="J1156" t="s">
        <v>72</v>
      </c>
      <c r="K1156" t="s">
        <v>65</v>
      </c>
      <c r="L1156" t="s">
        <v>2993</v>
      </c>
      <c r="M1156" t="s">
        <v>137</v>
      </c>
      <c r="N1156" t="s">
        <v>3234</v>
      </c>
      <c r="O1156">
        <v>1123</v>
      </c>
      <c r="P1156" t="s">
        <v>35</v>
      </c>
      <c r="Q1156"/>
      <c r="R1156">
        <v>1126</v>
      </c>
      <c r="S1156">
        <v>1123</v>
      </c>
      <c r="T1156" t="s">
        <v>493</v>
      </c>
      <c r="U1156" t="s">
        <v>493</v>
      </c>
      <c r="V1156" t="s">
        <v>67</v>
      </c>
      <c r="W1156" t="s">
        <v>66</v>
      </c>
      <c r="X1156" t="s">
        <v>67</v>
      </c>
      <c r="Y1156" t="s">
        <v>935</v>
      </c>
      <c r="Z1156"/>
      <c r="AA1156" t="s">
        <v>494</v>
      </c>
      <c r="AB1156"/>
      <c r="AC1156" t="s">
        <v>139</v>
      </c>
      <c r="AD1156" t="s">
        <v>3235</v>
      </c>
      <c r="AE1156"/>
      <c r="AF1156" t="s">
        <v>493</v>
      </c>
      <c r="AG1156" t="s">
        <v>71</v>
      </c>
      <c r="AH1156" t="s">
        <v>1275</v>
      </c>
      <c r="AI1156" t="s">
        <v>493</v>
      </c>
      <c r="AJ1156"/>
      <c r="AK1156"/>
    </row>
    <row r="1157" spans="1:37">
      <c r="A1157" t="s">
        <v>23</v>
      </c>
      <c r="B1157" t="s">
        <v>24</v>
      </c>
      <c r="C1157" t="s">
        <v>1618</v>
      </c>
      <c r="D1157" t="s">
        <v>135</v>
      </c>
      <c r="E1157" t="s">
        <v>3136</v>
      </c>
      <c r="F1157" t="s">
        <v>931</v>
      </c>
      <c r="G1157" t="s">
        <v>136</v>
      </c>
      <c r="H1157" t="s">
        <v>151</v>
      </c>
      <c r="I1157" t="s">
        <v>156</v>
      </c>
      <c r="J1157" t="s">
        <v>26</v>
      </c>
      <c r="K1157" t="s">
        <v>157</v>
      </c>
      <c r="L1157" t="s">
        <v>150</v>
      </c>
      <c r="M1157" t="s">
        <v>144</v>
      </c>
      <c r="N1157" t="s">
        <v>3236</v>
      </c>
      <c r="O1157">
        <v>1</v>
      </c>
      <c r="P1157" t="s">
        <v>160</v>
      </c>
      <c r="Q1157"/>
      <c r="R1157">
        <v>625</v>
      </c>
      <c r="S1157">
        <v>622.4</v>
      </c>
      <c r="T1157" t="s">
        <v>145</v>
      </c>
      <c r="U1157" t="s">
        <v>3372</v>
      </c>
      <c r="V1157" t="s">
        <v>27</v>
      </c>
      <c r="W1157" t="s">
        <v>66</v>
      </c>
      <c r="X1157" t="s">
        <v>67</v>
      </c>
      <c r="Y1157" t="s">
        <v>138</v>
      </c>
      <c r="Z1157"/>
      <c r="AA1157" t="s">
        <v>494</v>
      </c>
      <c r="AB1157"/>
      <c r="AC1157" t="s">
        <v>139</v>
      </c>
      <c r="AD1157" t="s">
        <v>3390</v>
      </c>
      <c r="AE1157"/>
      <c r="AF1157"/>
      <c r="AG1157" t="s">
        <v>156</v>
      </c>
      <c r="AH1157" t="s">
        <v>68</v>
      </c>
      <c r="AI1157" t="s">
        <v>493</v>
      </c>
      <c r="AJ1157"/>
      <c r="AK1157" t="s">
        <v>3238</v>
      </c>
    </row>
    <row r="1158" spans="1:37">
      <c r="A1158" t="s">
        <v>23</v>
      </c>
      <c r="B1158" t="s">
        <v>24</v>
      </c>
      <c r="C1158" t="s">
        <v>934</v>
      </c>
      <c r="D1158" t="s">
        <v>135</v>
      </c>
      <c r="E1158" t="s">
        <v>2051</v>
      </c>
      <c r="F1158" t="s">
        <v>931</v>
      </c>
      <c r="G1158" t="s">
        <v>136</v>
      </c>
      <c r="H1158" t="s">
        <v>151</v>
      </c>
      <c r="I1158" t="s">
        <v>71</v>
      </c>
      <c r="J1158" t="s">
        <v>72</v>
      </c>
      <c r="K1158" t="s">
        <v>65</v>
      </c>
      <c r="L1158" t="s">
        <v>1046</v>
      </c>
      <c r="M1158" t="s">
        <v>154</v>
      </c>
      <c r="N1158" t="s">
        <v>3239</v>
      </c>
      <c r="O1158">
        <v>490.6</v>
      </c>
      <c r="P1158" t="s">
        <v>35</v>
      </c>
      <c r="Q1158"/>
      <c r="R1158">
        <v>490.6</v>
      </c>
      <c r="S1158">
        <v>490.6</v>
      </c>
      <c r="T1158" t="s">
        <v>493</v>
      </c>
      <c r="U1158" t="s">
        <v>493</v>
      </c>
      <c r="V1158" t="s">
        <v>27</v>
      </c>
      <c r="W1158" t="s">
        <v>2230</v>
      </c>
      <c r="X1158" t="s">
        <v>67</v>
      </c>
      <c r="Y1158" t="s">
        <v>69</v>
      </c>
      <c r="Z1158"/>
      <c r="AA1158" t="s">
        <v>494</v>
      </c>
      <c r="AB1158"/>
      <c r="AC1158" t="s">
        <v>139</v>
      </c>
      <c r="AD1158" t="s">
        <v>3237</v>
      </c>
      <c r="AE1158"/>
      <c r="AF1158" t="s">
        <v>70</v>
      </c>
      <c r="AG1158" t="s">
        <v>71</v>
      </c>
      <c r="AH1158" t="s">
        <v>68</v>
      </c>
      <c r="AI1158" t="s">
        <v>493</v>
      </c>
      <c r="AJ1158"/>
      <c r="AK1158"/>
    </row>
    <row r="1159" spans="1:37">
      <c r="A1159" t="s">
        <v>23</v>
      </c>
      <c r="B1159" t="s">
        <v>24</v>
      </c>
      <c r="C1159" t="s">
        <v>1618</v>
      </c>
      <c r="D1159" t="s">
        <v>135</v>
      </c>
      <c r="E1159" t="s">
        <v>3136</v>
      </c>
      <c r="F1159" t="s">
        <v>931</v>
      </c>
      <c r="G1159" t="s">
        <v>136</v>
      </c>
      <c r="H1159" t="s">
        <v>151</v>
      </c>
      <c r="I1159" t="s">
        <v>156</v>
      </c>
      <c r="J1159" t="s">
        <v>26</v>
      </c>
      <c r="K1159" t="s">
        <v>157</v>
      </c>
      <c r="L1159" t="s">
        <v>150</v>
      </c>
      <c r="M1159" t="s">
        <v>144</v>
      </c>
      <c r="N1159" t="s">
        <v>3240</v>
      </c>
      <c r="O1159">
        <v>1</v>
      </c>
      <c r="P1159" t="s">
        <v>160</v>
      </c>
      <c r="Q1159"/>
      <c r="R1159">
        <v>626</v>
      </c>
      <c r="S1159">
        <v>622.4</v>
      </c>
      <c r="T1159" t="s">
        <v>145</v>
      </c>
      <c r="U1159" t="s">
        <v>3372</v>
      </c>
      <c r="V1159" t="s">
        <v>27</v>
      </c>
      <c r="W1159" t="s">
        <v>66</v>
      </c>
      <c r="X1159" t="s">
        <v>67</v>
      </c>
      <c r="Y1159" t="s">
        <v>138</v>
      </c>
      <c r="Z1159"/>
      <c r="AA1159" t="s">
        <v>494</v>
      </c>
      <c r="AB1159"/>
      <c r="AC1159" t="s">
        <v>139</v>
      </c>
      <c r="AD1159" t="s">
        <v>3391</v>
      </c>
      <c r="AE1159"/>
      <c r="AF1159"/>
      <c r="AG1159" t="s">
        <v>156</v>
      </c>
      <c r="AH1159" t="s">
        <v>68</v>
      </c>
      <c r="AI1159" t="s">
        <v>493</v>
      </c>
      <c r="AJ1159"/>
      <c r="AK1159" t="s">
        <v>3242</v>
      </c>
    </row>
    <row r="1160" spans="1:37">
      <c r="A1160" t="s">
        <v>23</v>
      </c>
      <c r="B1160" t="s">
        <v>24</v>
      </c>
      <c r="C1160" t="s">
        <v>934</v>
      </c>
      <c r="D1160" t="s">
        <v>135</v>
      </c>
      <c r="E1160" t="s">
        <v>2051</v>
      </c>
      <c r="F1160" t="s">
        <v>931</v>
      </c>
      <c r="G1160" t="s">
        <v>136</v>
      </c>
      <c r="H1160" t="s">
        <v>151</v>
      </c>
      <c r="I1160" t="s">
        <v>71</v>
      </c>
      <c r="J1160" t="s">
        <v>72</v>
      </c>
      <c r="K1160" t="s">
        <v>65</v>
      </c>
      <c r="L1160" t="s">
        <v>1046</v>
      </c>
      <c r="M1160" t="s">
        <v>154</v>
      </c>
      <c r="N1160" t="s">
        <v>3243</v>
      </c>
      <c r="O1160">
        <v>490.6</v>
      </c>
      <c r="P1160" t="s">
        <v>35</v>
      </c>
      <c r="Q1160"/>
      <c r="R1160">
        <v>490.6</v>
      </c>
      <c r="S1160">
        <v>490.6</v>
      </c>
      <c r="T1160" t="s">
        <v>493</v>
      </c>
      <c r="U1160" t="s">
        <v>493</v>
      </c>
      <c r="V1160" t="s">
        <v>27</v>
      </c>
      <c r="W1160" t="s">
        <v>2230</v>
      </c>
      <c r="X1160" t="s">
        <v>67</v>
      </c>
      <c r="Y1160" t="s">
        <v>69</v>
      </c>
      <c r="Z1160"/>
      <c r="AA1160" t="s">
        <v>494</v>
      </c>
      <c r="AB1160"/>
      <c r="AC1160" t="s">
        <v>139</v>
      </c>
      <c r="AD1160" t="s">
        <v>3241</v>
      </c>
      <c r="AE1160"/>
      <c r="AF1160" t="s">
        <v>70</v>
      </c>
      <c r="AG1160" t="s">
        <v>71</v>
      </c>
      <c r="AH1160" t="s">
        <v>68</v>
      </c>
      <c r="AI1160" t="s">
        <v>493</v>
      </c>
      <c r="AJ1160"/>
      <c r="AK1160"/>
    </row>
    <row r="1161" spans="1:37">
      <c r="A1161" t="s">
        <v>23</v>
      </c>
      <c r="B1161" t="s">
        <v>24</v>
      </c>
      <c r="C1161" t="s">
        <v>934</v>
      </c>
      <c r="D1161" t="s">
        <v>135</v>
      </c>
      <c r="E1161" t="s">
        <v>3213</v>
      </c>
      <c r="F1161" t="s">
        <v>931</v>
      </c>
      <c r="G1161" t="s">
        <v>136</v>
      </c>
      <c r="H1161" t="s">
        <v>152</v>
      </c>
      <c r="I1161" t="s">
        <v>71</v>
      </c>
      <c r="J1161" t="s">
        <v>72</v>
      </c>
      <c r="K1161" t="s">
        <v>65</v>
      </c>
      <c r="L1161" t="s">
        <v>2993</v>
      </c>
      <c r="M1161" t="s">
        <v>137</v>
      </c>
      <c r="N1161" t="s">
        <v>3244</v>
      </c>
      <c r="O1161">
        <v>1116</v>
      </c>
      <c r="P1161" t="s">
        <v>35</v>
      </c>
      <c r="Q1161"/>
      <c r="R1161">
        <v>1119</v>
      </c>
      <c r="S1161">
        <v>1116</v>
      </c>
      <c r="T1161" t="s">
        <v>493</v>
      </c>
      <c r="U1161" t="s">
        <v>493</v>
      </c>
      <c r="V1161" t="s">
        <v>67</v>
      </c>
      <c r="W1161" t="s">
        <v>66</v>
      </c>
      <c r="X1161" t="s">
        <v>67</v>
      </c>
      <c r="Y1161" t="s">
        <v>935</v>
      </c>
      <c r="Z1161"/>
      <c r="AA1161" t="s">
        <v>494</v>
      </c>
      <c r="AB1161"/>
      <c r="AC1161" t="s">
        <v>139</v>
      </c>
      <c r="AD1161" t="s">
        <v>3245</v>
      </c>
      <c r="AE1161"/>
      <c r="AF1161" t="s">
        <v>493</v>
      </c>
      <c r="AG1161" t="s">
        <v>71</v>
      </c>
      <c r="AH1161" t="s">
        <v>1275</v>
      </c>
      <c r="AI1161" t="s">
        <v>493</v>
      </c>
      <c r="AJ1161"/>
      <c r="AK1161"/>
    </row>
    <row r="1162" spans="1:37">
      <c r="A1162" t="s">
        <v>23</v>
      </c>
      <c r="B1162" t="s">
        <v>24</v>
      </c>
      <c r="C1162" t="s">
        <v>1618</v>
      </c>
      <c r="D1162" t="s">
        <v>135</v>
      </c>
      <c r="E1162" t="s">
        <v>3136</v>
      </c>
      <c r="F1162" t="s">
        <v>931</v>
      </c>
      <c r="G1162" t="s">
        <v>136</v>
      </c>
      <c r="H1162" t="s">
        <v>151</v>
      </c>
      <c r="I1162" t="s">
        <v>156</v>
      </c>
      <c r="J1162" t="s">
        <v>26</v>
      </c>
      <c r="K1162" t="s">
        <v>157</v>
      </c>
      <c r="L1162" t="s">
        <v>150</v>
      </c>
      <c r="M1162" t="s">
        <v>144</v>
      </c>
      <c r="N1162" t="s">
        <v>3246</v>
      </c>
      <c r="O1162">
        <v>1</v>
      </c>
      <c r="P1162" t="s">
        <v>160</v>
      </c>
      <c r="Q1162"/>
      <c r="R1162">
        <v>624</v>
      </c>
      <c r="S1162">
        <v>622.4</v>
      </c>
      <c r="T1162" t="s">
        <v>145</v>
      </c>
      <c r="U1162" t="s">
        <v>3372</v>
      </c>
      <c r="V1162" t="s">
        <v>27</v>
      </c>
      <c r="W1162" t="s">
        <v>66</v>
      </c>
      <c r="X1162" t="s">
        <v>67</v>
      </c>
      <c r="Y1162" t="s">
        <v>138</v>
      </c>
      <c r="Z1162"/>
      <c r="AA1162" t="s">
        <v>494</v>
      </c>
      <c r="AB1162"/>
      <c r="AC1162" t="s">
        <v>139</v>
      </c>
      <c r="AD1162" t="s">
        <v>3392</v>
      </c>
      <c r="AE1162"/>
      <c r="AF1162"/>
      <c r="AG1162" t="s">
        <v>156</v>
      </c>
      <c r="AH1162" t="s">
        <v>68</v>
      </c>
      <c r="AI1162" t="s">
        <v>493</v>
      </c>
      <c r="AJ1162"/>
      <c r="AK1162" t="s">
        <v>3248</v>
      </c>
    </row>
    <row r="1163" spans="1:37">
      <c r="A1163" t="s">
        <v>23</v>
      </c>
      <c r="B1163" t="s">
        <v>24</v>
      </c>
      <c r="C1163" t="s">
        <v>934</v>
      </c>
      <c r="D1163" t="s">
        <v>135</v>
      </c>
      <c r="E1163" t="s">
        <v>2051</v>
      </c>
      <c r="F1163" t="s">
        <v>931</v>
      </c>
      <c r="G1163" t="s">
        <v>136</v>
      </c>
      <c r="H1163" t="s">
        <v>151</v>
      </c>
      <c r="I1163" t="s">
        <v>71</v>
      </c>
      <c r="J1163" t="s">
        <v>72</v>
      </c>
      <c r="K1163" t="s">
        <v>65</v>
      </c>
      <c r="L1163" t="s">
        <v>1046</v>
      </c>
      <c r="M1163" t="s">
        <v>154</v>
      </c>
      <c r="N1163" t="s">
        <v>3249</v>
      </c>
      <c r="O1163">
        <v>489.6</v>
      </c>
      <c r="P1163" t="s">
        <v>35</v>
      </c>
      <c r="Q1163"/>
      <c r="R1163">
        <v>489.6</v>
      </c>
      <c r="S1163">
        <v>489.6</v>
      </c>
      <c r="T1163" t="s">
        <v>493</v>
      </c>
      <c r="U1163" t="s">
        <v>493</v>
      </c>
      <c r="V1163" t="s">
        <v>27</v>
      </c>
      <c r="W1163" t="s">
        <v>2230</v>
      </c>
      <c r="X1163" t="s">
        <v>67</v>
      </c>
      <c r="Y1163" t="s">
        <v>69</v>
      </c>
      <c r="Z1163"/>
      <c r="AA1163" t="s">
        <v>494</v>
      </c>
      <c r="AB1163"/>
      <c r="AC1163" t="s">
        <v>139</v>
      </c>
      <c r="AD1163" t="s">
        <v>3247</v>
      </c>
      <c r="AE1163"/>
      <c r="AF1163" t="s">
        <v>70</v>
      </c>
      <c r="AG1163" t="s">
        <v>71</v>
      </c>
      <c r="AH1163" t="s">
        <v>68</v>
      </c>
      <c r="AI1163" t="s">
        <v>493</v>
      </c>
      <c r="AJ1163"/>
      <c r="AK1163"/>
    </row>
    <row r="1164" spans="1:37">
      <c r="A1164" t="s">
        <v>23</v>
      </c>
      <c r="B1164" t="s">
        <v>24</v>
      </c>
      <c r="C1164" t="s">
        <v>934</v>
      </c>
      <c r="D1164" t="s">
        <v>135</v>
      </c>
      <c r="E1164" t="s">
        <v>3213</v>
      </c>
      <c r="F1164" t="s">
        <v>931</v>
      </c>
      <c r="G1164" t="s">
        <v>136</v>
      </c>
      <c r="H1164" t="s">
        <v>152</v>
      </c>
      <c r="I1164" t="s">
        <v>71</v>
      </c>
      <c r="J1164" t="s">
        <v>72</v>
      </c>
      <c r="K1164" t="s">
        <v>65</v>
      </c>
      <c r="L1164" t="s">
        <v>2993</v>
      </c>
      <c r="M1164" t="s">
        <v>137</v>
      </c>
      <c r="N1164" t="s">
        <v>3250</v>
      </c>
      <c r="O1164">
        <v>1106</v>
      </c>
      <c r="P1164" t="s">
        <v>35</v>
      </c>
      <c r="Q1164"/>
      <c r="R1164">
        <v>1109</v>
      </c>
      <c r="S1164">
        <v>1106</v>
      </c>
      <c r="T1164" t="s">
        <v>493</v>
      </c>
      <c r="U1164" t="s">
        <v>493</v>
      </c>
      <c r="V1164" t="s">
        <v>67</v>
      </c>
      <c r="W1164" t="s">
        <v>66</v>
      </c>
      <c r="X1164" t="s">
        <v>67</v>
      </c>
      <c r="Y1164" t="s">
        <v>935</v>
      </c>
      <c r="Z1164"/>
      <c r="AA1164" t="s">
        <v>494</v>
      </c>
      <c r="AB1164"/>
      <c r="AC1164" t="s">
        <v>139</v>
      </c>
      <c r="AD1164" t="s">
        <v>3251</v>
      </c>
      <c r="AE1164"/>
      <c r="AF1164" t="s">
        <v>493</v>
      </c>
      <c r="AG1164" t="s">
        <v>71</v>
      </c>
      <c r="AH1164" t="s">
        <v>1275</v>
      </c>
      <c r="AI1164" t="s">
        <v>493</v>
      </c>
      <c r="AJ1164"/>
      <c r="AK1164"/>
    </row>
    <row r="1165" spans="1:37">
      <c r="A1165" t="s">
        <v>23</v>
      </c>
      <c r="B1165" t="s">
        <v>24</v>
      </c>
      <c r="C1165" t="s">
        <v>1618</v>
      </c>
      <c r="D1165" t="s">
        <v>135</v>
      </c>
      <c r="E1165" t="s">
        <v>3136</v>
      </c>
      <c r="F1165" t="s">
        <v>931</v>
      </c>
      <c r="G1165" t="s">
        <v>136</v>
      </c>
      <c r="H1165" t="s">
        <v>151</v>
      </c>
      <c r="I1165" t="s">
        <v>156</v>
      </c>
      <c r="J1165" t="s">
        <v>26</v>
      </c>
      <c r="K1165" t="s">
        <v>157</v>
      </c>
      <c r="L1165" t="s">
        <v>150</v>
      </c>
      <c r="M1165" t="s">
        <v>144</v>
      </c>
      <c r="N1165" t="s">
        <v>3252</v>
      </c>
      <c r="O1165">
        <v>1</v>
      </c>
      <c r="P1165" t="s">
        <v>160</v>
      </c>
      <c r="Q1165"/>
      <c r="R1165">
        <v>626</v>
      </c>
      <c r="S1165">
        <v>622.4</v>
      </c>
      <c r="T1165" t="s">
        <v>145</v>
      </c>
      <c r="U1165" t="s">
        <v>3372</v>
      </c>
      <c r="V1165" t="s">
        <v>27</v>
      </c>
      <c r="W1165" t="s">
        <v>66</v>
      </c>
      <c r="X1165" t="s">
        <v>67</v>
      </c>
      <c r="Y1165" t="s">
        <v>138</v>
      </c>
      <c r="Z1165"/>
      <c r="AA1165" t="s">
        <v>494</v>
      </c>
      <c r="AB1165"/>
      <c r="AC1165" t="s">
        <v>139</v>
      </c>
      <c r="AD1165" t="s">
        <v>3393</v>
      </c>
      <c r="AE1165"/>
      <c r="AF1165"/>
      <c r="AG1165" t="s">
        <v>156</v>
      </c>
      <c r="AH1165" t="s">
        <v>68</v>
      </c>
      <c r="AI1165" t="s">
        <v>493</v>
      </c>
      <c r="AJ1165"/>
      <c r="AK1165" t="s">
        <v>3254</v>
      </c>
    </row>
    <row r="1166" spans="1:37">
      <c r="A1166" t="s">
        <v>23</v>
      </c>
      <c r="B1166" t="s">
        <v>24</v>
      </c>
      <c r="C1166" t="s">
        <v>934</v>
      </c>
      <c r="D1166" t="s">
        <v>135</v>
      </c>
      <c r="E1166" t="s">
        <v>2051</v>
      </c>
      <c r="F1166" t="s">
        <v>931</v>
      </c>
      <c r="G1166" t="s">
        <v>136</v>
      </c>
      <c r="H1166" t="s">
        <v>151</v>
      </c>
      <c r="I1166" t="s">
        <v>71</v>
      </c>
      <c r="J1166" t="s">
        <v>72</v>
      </c>
      <c r="K1166" t="s">
        <v>65</v>
      </c>
      <c r="L1166" t="s">
        <v>1046</v>
      </c>
      <c r="M1166" t="s">
        <v>154</v>
      </c>
      <c r="N1166" t="s">
        <v>3255</v>
      </c>
      <c r="O1166">
        <v>400.6</v>
      </c>
      <c r="P1166" t="s">
        <v>35</v>
      </c>
      <c r="Q1166"/>
      <c r="R1166">
        <v>400.6</v>
      </c>
      <c r="S1166">
        <v>400.6</v>
      </c>
      <c r="T1166" t="s">
        <v>493</v>
      </c>
      <c r="U1166" t="s">
        <v>493</v>
      </c>
      <c r="V1166" t="s">
        <v>27</v>
      </c>
      <c r="W1166" t="s">
        <v>2230</v>
      </c>
      <c r="X1166" t="s">
        <v>67</v>
      </c>
      <c r="Y1166" t="s">
        <v>69</v>
      </c>
      <c r="Z1166"/>
      <c r="AA1166" t="s">
        <v>494</v>
      </c>
      <c r="AB1166"/>
      <c r="AC1166" t="s">
        <v>139</v>
      </c>
      <c r="AD1166" t="s">
        <v>3253</v>
      </c>
      <c r="AE1166"/>
      <c r="AF1166" t="s">
        <v>70</v>
      </c>
      <c r="AG1166" t="s">
        <v>71</v>
      </c>
      <c r="AH1166" t="s">
        <v>68</v>
      </c>
      <c r="AI1166" t="s">
        <v>493</v>
      </c>
      <c r="AJ1166"/>
      <c r="AK1166"/>
    </row>
    <row r="1167" spans="1:37">
      <c r="A1167" t="s">
        <v>23</v>
      </c>
      <c r="B1167" t="s">
        <v>24</v>
      </c>
      <c r="C1167" t="s">
        <v>1618</v>
      </c>
      <c r="D1167" t="s">
        <v>135</v>
      </c>
      <c r="E1167" t="s">
        <v>3136</v>
      </c>
      <c r="F1167" t="s">
        <v>931</v>
      </c>
      <c r="G1167" t="s">
        <v>136</v>
      </c>
      <c r="H1167" t="s">
        <v>151</v>
      </c>
      <c r="I1167" t="s">
        <v>156</v>
      </c>
      <c r="J1167" t="s">
        <v>26</v>
      </c>
      <c r="K1167" t="s">
        <v>157</v>
      </c>
      <c r="L1167" t="s">
        <v>150</v>
      </c>
      <c r="M1167" t="s">
        <v>144</v>
      </c>
      <c r="N1167" t="s">
        <v>3256</v>
      </c>
      <c r="O1167">
        <v>1</v>
      </c>
      <c r="P1167" t="s">
        <v>160</v>
      </c>
      <c r="Q1167"/>
      <c r="R1167">
        <v>623</v>
      </c>
      <c r="S1167">
        <v>622.4</v>
      </c>
      <c r="T1167" t="s">
        <v>145</v>
      </c>
      <c r="U1167" t="s">
        <v>3372</v>
      </c>
      <c r="V1167" t="s">
        <v>27</v>
      </c>
      <c r="W1167" t="s">
        <v>66</v>
      </c>
      <c r="X1167" t="s">
        <v>67</v>
      </c>
      <c r="Y1167" t="s">
        <v>138</v>
      </c>
      <c r="Z1167"/>
      <c r="AA1167" t="s">
        <v>494</v>
      </c>
      <c r="AB1167"/>
      <c r="AC1167" t="s">
        <v>139</v>
      </c>
      <c r="AD1167" t="s">
        <v>3394</v>
      </c>
      <c r="AE1167"/>
      <c r="AF1167"/>
      <c r="AG1167" t="s">
        <v>156</v>
      </c>
      <c r="AH1167" t="s">
        <v>68</v>
      </c>
      <c r="AI1167" t="s">
        <v>493</v>
      </c>
      <c r="AJ1167"/>
      <c r="AK1167" t="s">
        <v>3258</v>
      </c>
    </row>
    <row r="1168" spans="1:37">
      <c r="A1168" t="s">
        <v>23</v>
      </c>
      <c r="B1168" t="s">
        <v>24</v>
      </c>
      <c r="C1168" t="s">
        <v>934</v>
      </c>
      <c r="D1168" t="s">
        <v>135</v>
      </c>
      <c r="E1168" t="s">
        <v>2051</v>
      </c>
      <c r="F1168" t="s">
        <v>931</v>
      </c>
      <c r="G1168" t="s">
        <v>136</v>
      </c>
      <c r="H1168" t="s">
        <v>151</v>
      </c>
      <c r="I1168" t="s">
        <v>71</v>
      </c>
      <c r="J1168" t="s">
        <v>72</v>
      </c>
      <c r="K1168" t="s">
        <v>65</v>
      </c>
      <c r="L1168" t="s">
        <v>1046</v>
      </c>
      <c r="M1168" t="s">
        <v>154</v>
      </c>
      <c r="N1168" t="s">
        <v>3259</v>
      </c>
      <c r="O1168">
        <v>432.8</v>
      </c>
      <c r="P1168" t="s">
        <v>35</v>
      </c>
      <c r="Q1168"/>
      <c r="R1168">
        <v>432.8</v>
      </c>
      <c r="S1168">
        <v>432.8</v>
      </c>
      <c r="T1168" t="s">
        <v>493</v>
      </c>
      <c r="U1168" t="s">
        <v>493</v>
      </c>
      <c r="V1168" t="s">
        <v>27</v>
      </c>
      <c r="W1168" t="s">
        <v>2230</v>
      </c>
      <c r="X1168" t="s">
        <v>67</v>
      </c>
      <c r="Y1168" t="s">
        <v>69</v>
      </c>
      <c r="Z1168"/>
      <c r="AA1168" t="s">
        <v>494</v>
      </c>
      <c r="AB1168"/>
      <c r="AC1168" t="s">
        <v>139</v>
      </c>
      <c r="AD1168" t="s">
        <v>3257</v>
      </c>
      <c r="AE1168"/>
      <c r="AF1168" t="s">
        <v>70</v>
      </c>
      <c r="AG1168" t="s">
        <v>71</v>
      </c>
      <c r="AH1168" t="s">
        <v>68</v>
      </c>
      <c r="AI1168" t="s">
        <v>493</v>
      </c>
      <c r="AJ1168"/>
      <c r="AK1168"/>
    </row>
    <row r="1169" spans="1:37">
      <c r="A1169" t="s">
        <v>23</v>
      </c>
      <c r="B1169" t="s">
        <v>24</v>
      </c>
      <c r="C1169" t="s">
        <v>934</v>
      </c>
      <c r="D1169" t="s">
        <v>135</v>
      </c>
      <c r="E1169" t="s">
        <v>3213</v>
      </c>
      <c r="F1169" t="s">
        <v>931</v>
      </c>
      <c r="G1169" t="s">
        <v>136</v>
      </c>
      <c r="H1169" t="s">
        <v>152</v>
      </c>
      <c r="I1169" t="s">
        <v>71</v>
      </c>
      <c r="J1169" t="s">
        <v>72</v>
      </c>
      <c r="K1169" t="s">
        <v>65</v>
      </c>
      <c r="L1169" t="s">
        <v>2993</v>
      </c>
      <c r="M1169" t="s">
        <v>137</v>
      </c>
      <c r="N1169" t="s">
        <v>3260</v>
      </c>
      <c r="O1169">
        <v>1128</v>
      </c>
      <c r="P1169" t="s">
        <v>35</v>
      </c>
      <c r="Q1169"/>
      <c r="R1169">
        <v>1131</v>
      </c>
      <c r="S1169">
        <v>1128</v>
      </c>
      <c r="T1169" t="s">
        <v>493</v>
      </c>
      <c r="U1169" t="s">
        <v>493</v>
      </c>
      <c r="V1169" t="s">
        <v>67</v>
      </c>
      <c r="W1169" t="s">
        <v>66</v>
      </c>
      <c r="X1169" t="s">
        <v>67</v>
      </c>
      <c r="Y1169" t="s">
        <v>935</v>
      </c>
      <c r="Z1169"/>
      <c r="AA1169" t="s">
        <v>494</v>
      </c>
      <c r="AB1169"/>
      <c r="AC1169" t="s">
        <v>139</v>
      </c>
      <c r="AD1169" t="s">
        <v>3261</v>
      </c>
      <c r="AE1169"/>
      <c r="AF1169" t="s">
        <v>493</v>
      </c>
      <c r="AG1169" t="s">
        <v>71</v>
      </c>
      <c r="AH1169" t="s">
        <v>1275</v>
      </c>
      <c r="AI1169" t="s">
        <v>493</v>
      </c>
      <c r="AJ1169"/>
      <c r="AK1169"/>
    </row>
    <row r="1170" spans="1:37">
      <c r="A1170" t="s">
        <v>23</v>
      </c>
      <c r="B1170" t="s">
        <v>24</v>
      </c>
      <c r="C1170" t="s">
        <v>1618</v>
      </c>
      <c r="D1170" t="s">
        <v>135</v>
      </c>
      <c r="E1170" t="s">
        <v>3136</v>
      </c>
      <c r="F1170" t="s">
        <v>931</v>
      </c>
      <c r="G1170" t="s">
        <v>136</v>
      </c>
      <c r="H1170" t="s">
        <v>151</v>
      </c>
      <c r="I1170" t="s">
        <v>156</v>
      </c>
      <c r="J1170" t="s">
        <v>26</v>
      </c>
      <c r="K1170" t="s">
        <v>157</v>
      </c>
      <c r="L1170" t="s">
        <v>150</v>
      </c>
      <c r="M1170" t="s">
        <v>144</v>
      </c>
      <c r="N1170" t="s">
        <v>3262</v>
      </c>
      <c r="O1170">
        <v>1</v>
      </c>
      <c r="P1170" t="s">
        <v>160</v>
      </c>
      <c r="Q1170"/>
      <c r="R1170">
        <v>623</v>
      </c>
      <c r="S1170">
        <v>622.4</v>
      </c>
      <c r="T1170" t="s">
        <v>145</v>
      </c>
      <c r="U1170" t="s">
        <v>3372</v>
      </c>
      <c r="V1170" t="s">
        <v>27</v>
      </c>
      <c r="W1170" t="s">
        <v>66</v>
      </c>
      <c r="X1170" t="s">
        <v>67</v>
      </c>
      <c r="Y1170" t="s">
        <v>138</v>
      </c>
      <c r="Z1170"/>
      <c r="AA1170" t="s">
        <v>494</v>
      </c>
      <c r="AB1170"/>
      <c r="AC1170" t="s">
        <v>139</v>
      </c>
      <c r="AD1170" t="s">
        <v>3395</v>
      </c>
      <c r="AE1170"/>
      <c r="AF1170"/>
      <c r="AG1170" t="s">
        <v>156</v>
      </c>
      <c r="AH1170" t="s">
        <v>68</v>
      </c>
      <c r="AI1170" t="s">
        <v>493</v>
      </c>
      <c r="AJ1170"/>
      <c r="AK1170" t="s">
        <v>3264</v>
      </c>
    </row>
    <row r="1171" spans="1:37">
      <c r="A1171" t="s">
        <v>23</v>
      </c>
      <c r="B1171" t="s">
        <v>24</v>
      </c>
      <c r="C1171" t="s">
        <v>934</v>
      </c>
      <c r="D1171" t="s">
        <v>135</v>
      </c>
      <c r="E1171" t="s">
        <v>2051</v>
      </c>
      <c r="F1171" t="s">
        <v>931</v>
      </c>
      <c r="G1171" t="s">
        <v>136</v>
      </c>
      <c r="H1171" t="s">
        <v>151</v>
      </c>
      <c r="I1171" t="s">
        <v>71</v>
      </c>
      <c r="J1171" t="s">
        <v>72</v>
      </c>
      <c r="K1171" t="s">
        <v>65</v>
      </c>
      <c r="L1171" t="s">
        <v>1046</v>
      </c>
      <c r="M1171" t="s">
        <v>154</v>
      </c>
      <c r="N1171" t="s">
        <v>3265</v>
      </c>
      <c r="O1171">
        <v>392.8</v>
      </c>
      <c r="P1171" t="s">
        <v>35</v>
      </c>
      <c r="Q1171"/>
      <c r="R1171">
        <v>392.8</v>
      </c>
      <c r="S1171">
        <v>392.8</v>
      </c>
      <c r="T1171" t="s">
        <v>493</v>
      </c>
      <c r="U1171" t="s">
        <v>493</v>
      </c>
      <c r="V1171" t="s">
        <v>27</v>
      </c>
      <c r="W1171" t="s">
        <v>2230</v>
      </c>
      <c r="X1171" t="s">
        <v>67</v>
      </c>
      <c r="Y1171" t="s">
        <v>69</v>
      </c>
      <c r="Z1171"/>
      <c r="AA1171" t="s">
        <v>494</v>
      </c>
      <c r="AB1171"/>
      <c r="AC1171" t="s">
        <v>139</v>
      </c>
      <c r="AD1171" t="s">
        <v>3263</v>
      </c>
      <c r="AE1171"/>
      <c r="AF1171" t="s">
        <v>70</v>
      </c>
      <c r="AG1171" t="s">
        <v>71</v>
      </c>
      <c r="AH1171" t="s">
        <v>68</v>
      </c>
      <c r="AI1171" t="s">
        <v>493</v>
      </c>
      <c r="AJ1171"/>
      <c r="AK1171"/>
    </row>
    <row r="1172" spans="1:37">
      <c r="A1172" t="s">
        <v>23</v>
      </c>
      <c r="B1172" t="s">
        <v>24</v>
      </c>
      <c r="C1172" t="s">
        <v>934</v>
      </c>
      <c r="D1172" t="s">
        <v>135</v>
      </c>
      <c r="E1172" t="s">
        <v>3213</v>
      </c>
      <c r="F1172" t="s">
        <v>931</v>
      </c>
      <c r="G1172" t="s">
        <v>136</v>
      </c>
      <c r="H1172" t="s">
        <v>152</v>
      </c>
      <c r="I1172" t="s">
        <v>71</v>
      </c>
      <c r="J1172" t="s">
        <v>72</v>
      </c>
      <c r="K1172" t="s">
        <v>65</v>
      </c>
      <c r="L1172" t="s">
        <v>2993</v>
      </c>
      <c r="M1172" t="s">
        <v>137</v>
      </c>
      <c r="N1172" t="s">
        <v>3266</v>
      </c>
      <c r="O1172">
        <v>1115</v>
      </c>
      <c r="P1172" t="s">
        <v>35</v>
      </c>
      <c r="Q1172"/>
      <c r="R1172">
        <v>1118</v>
      </c>
      <c r="S1172">
        <v>1115</v>
      </c>
      <c r="T1172" t="s">
        <v>493</v>
      </c>
      <c r="U1172" t="s">
        <v>493</v>
      </c>
      <c r="V1172" t="s">
        <v>67</v>
      </c>
      <c r="W1172" t="s">
        <v>66</v>
      </c>
      <c r="X1172" t="s">
        <v>67</v>
      </c>
      <c r="Y1172" t="s">
        <v>935</v>
      </c>
      <c r="Z1172"/>
      <c r="AA1172" t="s">
        <v>494</v>
      </c>
      <c r="AB1172"/>
      <c r="AC1172" t="s">
        <v>139</v>
      </c>
      <c r="AD1172" t="s">
        <v>3267</v>
      </c>
      <c r="AE1172"/>
      <c r="AF1172" t="s">
        <v>493</v>
      </c>
      <c r="AG1172" t="s">
        <v>71</v>
      </c>
      <c r="AH1172" t="s">
        <v>1275</v>
      </c>
      <c r="AI1172" t="s">
        <v>493</v>
      </c>
      <c r="AJ1172"/>
      <c r="AK1172"/>
    </row>
    <row r="1173" spans="1:37">
      <c r="A1173" t="s">
        <v>23</v>
      </c>
      <c r="B1173" t="s">
        <v>24</v>
      </c>
      <c r="C1173" t="s">
        <v>934</v>
      </c>
      <c r="D1173" t="s">
        <v>135</v>
      </c>
      <c r="E1173" t="s">
        <v>3213</v>
      </c>
      <c r="F1173" t="s">
        <v>931</v>
      </c>
      <c r="G1173" t="s">
        <v>136</v>
      </c>
      <c r="H1173" t="s">
        <v>152</v>
      </c>
      <c r="I1173" t="s">
        <v>71</v>
      </c>
      <c r="J1173" t="s">
        <v>72</v>
      </c>
      <c r="K1173" t="s">
        <v>65</v>
      </c>
      <c r="L1173" t="s">
        <v>2993</v>
      </c>
      <c r="M1173" t="s">
        <v>137</v>
      </c>
      <c r="N1173" t="s">
        <v>3268</v>
      </c>
      <c r="O1173">
        <v>1128</v>
      </c>
      <c r="P1173" t="s">
        <v>35</v>
      </c>
      <c r="Q1173"/>
      <c r="R1173">
        <v>1131</v>
      </c>
      <c r="S1173">
        <v>1128</v>
      </c>
      <c r="T1173" t="s">
        <v>493</v>
      </c>
      <c r="U1173" t="s">
        <v>493</v>
      </c>
      <c r="V1173" t="s">
        <v>67</v>
      </c>
      <c r="W1173" t="s">
        <v>66</v>
      </c>
      <c r="X1173" t="s">
        <v>67</v>
      </c>
      <c r="Y1173" t="s">
        <v>935</v>
      </c>
      <c r="Z1173"/>
      <c r="AA1173" t="s">
        <v>494</v>
      </c>
      <c r="AB1173"/>
      <c r="AC1173" t="s">
        <v>139</v>
      </c>
      <c r="AD1173" t="s">
        <v>3269</v>
      </c>
      <c r="AE1173"/>
      <c r="AF1173" t="s">
        <v>493</v>
      </c>
      <c r="AG1173" t="s">
        <v>71</v>
      </c>
      <c r="AH1173" t="s">
        <v>1275</v>
      </c>
      <c r="AI1173" t="s">
        <v>493</v>
      </c>
      <c r="AJ1173"/>
      <c r="AK1173"/>
    </row>
    <row r="1174" spans="1:37">
      <c r="A1174" t="s">
        <v>23</v>
      </c>
      <c r="B1174" t="s">
        <v>24</v>
      </c>
      <c r="C1174" t="s">
        <v>929</v>
      </c>
      <c r="D1174" t="s">
        <v>135</v>
      </c>
      <c r="E1174" t="s">
        <v>930</v>
      </c>
      <c r="F1174" t="s">
        <v>931</v>
      </c>
      <c r="G1174" t="s">
        <v>136</v>
      </c>
      <c r="H1174" t="s">
        <v>493</v>
      </c>
      <c r="I1174" t="s">
        <v>932</v>
      </c>
      <c r="J1174" t="s">
        <v>933</v>
      </c>
      <c r="K1174" t="s">
        <v>65</v>
      </c>
      <c r="L1174" t="s">
        <v>2993</v>
      </c>
      <c r="M1174" t="s">
        <v>137</v>
      </c>
      <c r="N1174" t="s">
        <v>3270</v>
      </c>
      <c r="O1174">
        <v>492</v>
      </c>
      <c r="P1174" t="s">
        <v>35</v>
      </c>
      <c r="Q1174"/>
      <c r="R1174">
        <v>492</v>
      </c>
      <c r="S1174">
        <v>492</v>
      </c>
      <c r="T1174" t="s">
        <v>493</v>
      </c>
      <c r="U1174" t="s">
        <v>493</v>
      </c>
      <c r="V1174" t="s">
        <v>27</v>
      </c>
      <c r="W1174" t="s">
        <v>66</v>
      </c>
      <c r="X1174" t="s">
        <v>67</v>
      </c>
      <c r="Y1174" t="s">
        <v>69</v>
      </c>
      <c r="Z1174"/>
      <c r="AA1174" t="s">
        <v>494</v>
      </c>
      <c r="AB1174"/>
      <c r="AC1174" t="s">
        <v>139</v>
      </c>
      <c r="AD1174" t="s">
        <v>3269</v>
      </c>
      <c r="AE1174"/>
      <c r="AF1174" t="s">
        <v>70</v>
      </c>
      <c r="AG1174" t="s">
        <v>493</v>
      </c>
      <c r="AH1174" t="s">
        <v>68</v>
      </c>
      <c r="AI1174" t="s">
        <v>493</v>
      </c>
      <c r="AJ1174"/>
      <c r="AK1174"/>
    </row>
    <row r="1175" spans="1:37">
      <c r="A1175" t="s">
        <v>23</v>
      </c>
      <c r="B1175" t="s">
        <v>24</v>
      </c>
      <c r="C1175" t="s">
        <v>178</v>
      </c>
      <c r="D1175" t="s">
        <v>135</v>
      </c>
      <c r="E1175" t="s">
        <v>3271</v>
      </c>
      <c r="F1175" t="s">
        <v>931</v>
      </c>
      <c r="G1175" t="s">
        <v>136</v>
      </c>
      <c r="H1175" t="s">
        <v>151</v>
      </c>
      <c r="I1175" t="s">
        <v>156</v>
      </c>
      <c r="J1175" t="s">
        <v>25</v>
      </c>
      <c r="K1175" t="s">
        <v>157</v>
      </c>
      <c r="L1175" t="s">
        <v>150</v>
      </c>
      <c r="M1175" t="s">
        <v>144</v>
      </c>
      <c r="N1175" t="s">
        <v>3272</v>
      </c>
      <c r="O1175">
        <v>23</v>
      </c>
      <c r="P1175" t="s">
        <v>159</v>
      </c>
      <c r="Q1175"/>
      <c r="R1175">
        <v>388</v>
      </c>
      <c r="S1175">
        <v>357.88</v>
      </c>
      <c r="T1175" t="s">
        <v>145</v>
      </c>
      <c r="U1175" t="s">
        <v>185</v>
      </c>
      <c r="V1175" t="s">
        <v>27</v>
      </c>
      <c r="W1175" t="s">
        <v>66</v>
      </c>
      <c r="X1175" t="s">
        <v>67</v>
      </c>
      <c r="Y1175" t="s">
        <v>138</v>
      </c>
      <c r="Z1175"/>
      <c r="AA1175" t="s">
        <v>494</v>
      </c>
      <c r="AB1175"/>
      <c r="AC1175" t="s">
        <v>139</v>
      </c>
      <c r="AD1175" t="s">
        <v>3396</v>
      </c>
      <c r="AE1175"/>
      <c r="AF1175"/>
      <c r="AG1175" t="s">
        <v>156</v>
      </c>
      <c r="AH1175" t="s">
        <v>68</v>
      </c>
      <c r="AI1175" t="s">
        <v>493</v>
      </c>
      <c r="AJ1175"/>
      <c r="AK1175"/>
    </row>
    <row r="1176" spans="1:37">
      <c r="A1176" t="s">
        <v>23</v>
      </c>
      <c r="B1176" t="s">
        <v>24</v>
      </c>
      <c r="C1176" t="s">
        <v>934</v>
      </c>
      <c r="D1176" t="s">
        <v>135</v>
      </c>
      <c r="E1176" t="s">
        <v>2051</v>
      </c>
      <c r="F1176" t="s">
        <v>931</v>
      </c>
      <c r="G1176" t="s">
        <v>136</v>
      </c>
      <c r="H1176" t="s">
        <v>151</v>
      </c>
      <c r="I1176" t="s">
        <v>71</v>
      </c>
      <c r="J1176" t="s">
        <v>72</v>
      </c>
      <c r="K1176" t="s">
        <v>65</v>
      </c>
      <c r="L1176" t="s">
        <v>1046</v>
      </c>
      <c r="M1176" t="s">
        <v>154</v>
      </c>
      <c r="N1176" t="s">
        <v>3274</v>
      </c>
      <c r="O1176">
        <v>143.72</v>
      </c>
      <c r="P1176" t="s">
        <v>35</v>
      </c>
      <c r="Q1176"/>
      <c r="R1176">
        <v>143.72</v>
      </c>
      <c r="S1176">
        <v>143.72</v>
      </c>
      <c r="T1176" t="s">
        <v>493</v>
      </c>
      <c r="U1176" t="s">
        <v>493</v>
      </c>
      <c r="V1176" t="s">
        <v>27</v>
      </c>
      <c r="W1176" t="s">
        <v>2230</v>
      </c>
      <c r="X1176" t="s">
        <v>67</v>
      </c>
      <c r="Y1176" t="s">
        <v>69</v>
      </c>
      <c r="Z1176"/>
      <c r="AA1176" t="s">
        <v>494</v>
      </c>
      <c r="AB1176"/>
      <c r="AC1176" t="s">
        <v>139</v>
      </c>
      <c r="AD1176" t="s">
        <v>3273</v>
      </c>
      <c r="AE1176"/>
      <c r="AF1176" t="s">
        <v>70</v>
      </c>
      <c r="AG1176" t="s">
        <v>71</v>
      </c>
      <c r="AH1176" t="s">
        <v>68</v>
      </c>
      <c r="AI1176" t="s">
        <v>493</v>
      </c>
      <c r="AJ1176"/>
      <c r="AK1176"/>
    </row>
    <row r="1177" spans="1:37">
      <c r="A1177" t="s">
        <v>23</v>
      </c>
      <c r="B1177" t="s">
        <v>24</v>
      </c>
      <c r="C1177" t="s">
        <v>934</v>
      </c>
      <c r="D1177" t="s">
        <v>135</v>
      </c>
      <c r="E1177" t="s">
        <v>3213</v>
      </c>
      <c r="F1177" t="s">
        <v>931</v>
      </c>
      <c r="G1177" t="s">
        <v>136</v>
      </c>
      <c r="H1177" t="s">
        <v>152</v>
      </c>
      <c r="I1177" t="s">
        <v>71</v>
      </c>
      <c r="J1177" t="s">
        <v>72</v>
      </c>
      <c r="K1177" t="s">
        <v>65</v>
      </c>
      <c r="L1177" t="s">
        <v>2993</v>
      </c>
      <c r="M1177" t="s">
        <v>137</v>
      </c>
      <c r="N1177" t="s">
        <v>3275</v>
      </c>
      <c r="O1177">
        <v>1117</v>
      </c>
      <c r="P1177" t="s">
        <v>35</v>
      </c>
      <c r="Q1177"/>
      <c r="R1177">
        <v>1120</v>
      </c>
      <c r="S1177">
        <v>1117</v>
      </c>
      <c r="T1177" t="s">
        <v>493</v>
      </c>
      <c r="U1177" t="s">
        <v>493</v>
      </c>
      <c r="V1177" t="s">
        <v>67</v>
      </c>
      <c r="W1177" t="s">
        <v>66</v>
      </c>
      <c r="X1177" t="s">
        <v>67</v>
      </c>
      <c r="Y1177" t="s">
        <v>935</v>
      </c>
      <c r="Z1177"/>
      <c r="AA1177" t="s">
        <v>494</v>
      </c>
      <c r="AB1177"/>
      <c r="AC1177" t="s">
        <v>139</v>
      </c>
      <c r="AD1177" t="s">
        <v>3276</v>
      </c>
      <c r="AE1177"/>
      <c r="AF1177" t="s">
        <v>493</v>
      </c>
      <c r="AG1177" t="s">
        <v>71</v>
      </c>
      <c r="AH1177" t="s">
        <v>1275</v>
      </c>
      <c r="AI1177" t="s">
        <v>493</v>
      </c>
      <c r="AJ1177"/>
      <c r="AK1177"/>
    </row>
    <row r="1178" spans="1:37">
      <c r="A1178" t="s">
        <v>23</v>
      </c>
      <c r="B1178" t="s">
        <v>24</v>
      </c>
      <c r="C1178" t="s">
        <v>929</v>
      </c>
      <c r="D1178" t="s">
        <v>135</v>
      </c>
      <c r="E1178" t="s">
        <v>930</v>
      </c>
      <c r="F1178" t="s">
        <v>931</v>
      </c>
      <c r="G1178" t="s">
        <v>136</v>
      </c>
      <c r="H1178" t="s">
        <v>493</v>
      </c>
      <c r="I1178" t="s">
        <v>932</v>
      </c>
      <c r="J1178" t="s">
        <v>933</v>
      </c>
      <c r="K1178" t="s">
        <v>65</v>
      </c>
      <c r="L1178" t="s">
        <v>2993</v>
      </c>
      <c r="M1178" t="s">
        <v>137</v>
      </c>
      <c r="N1178" t="s">
        <v>3277</v>
      </c>
      <c r="O1178">
        <v>86</v>
      </c>
      <c r="P1178" t="s">
        <v>35</v>
      </c>
      <c r="Q1178"/>
      <c r="R1178">
        <v>86</v>
      </c>
      <c r="S1178">
        <v>86</v>
      </c>
      <c r="T1178" t="s">
        <v>493</v>
      </c>
      <c r="U1178" t="s">
        <v>493</v>
      </c>
      <c r="V1178" t="s">
        <v>27</v>
      </c>
      <c r="W1178" t="s">
        <v>66</v>
      </c>
      <c r="X1178" t="s">
        <v>67</v>
      </c>
      <c r="Y1178" t="s">
        <v>69</v>
      </c>
      <c r="Z1178"/>
      <c r="AA1178" t="s">
        <v>494</v>
      </c>
      <c r="AB1178"/>
      <c r="AC1178" t="s">
        <v>139</v>
      </c>
      <c r="AD1178" t="s">
        <v>3276</v>
      </c>
      <c r="AE1178"/>
      <c r="AF1178" t="s">
        <v>70</v>
      </c>
      <c r="AG1178" t="s">
        <v>493</v>
      </c>
      <c r="AH1178" t="s">
        <v>68</v>
      </c>
      <c r="AI1178" t="s">
        <v>493</v>
      </c>
      <c r="AJ1178"/>
      <c r="AK1178"/>
    </row>
    <row r="1179" spans="1:37">
      <c r="A1179" t="s">
        <v>23</v>
      </c>
      <c r="B1179" t="s">
        <v>24</v>
      </c>
      <c r="C1179" t="s">
        <v>1618</v>
      </c>
      <c r="D1179" t="s">
        <v>135</v>
      </c>
      <c r="E1179" t="s">
        <v>3278</v>
      </c>
      <c r="F1179" t="s">
        <v>931</v>
      </c>
      <c r="G1179" t="s">
        <v>136</v>
      </c>
      <c r="H1179" t="s">
        <v>151</v>
      </c>
      <c r="I1179" t="s">
        <v>156</v>
      </c>
      <c r="J1179" t="s">
        <v>26</v>
      </c>
      <c r="K1179" t="s">
        <v>157</v>
      </c>
      <c r="L1179" t="s">
        <v>150</v>
      </c>
      <c r="M1179" t="s">
        <v>144</v>
      </c>
      <c r="N1179" t="s">
        <v>3279</v>
      </c>
      <c r="O1179">
        <v>1</v>
      </c>
      <c r="P1179" t="s">
        <v>160</v>
      </c>
      <c r="Q1179"/>
      <c r="R1179">
        <v>692</v>
      </c>
      <c r="S1179">
        <v>690.8</v>
      </c>
      <c r="T1179" t="s">
        <v>145</v>
      </c>
      <c r="U1179" t="s">
        <v>3292</v>
      </c>
      <c r="V1179" t="s">
        <v>27</v>
      </c>
      <c r="W1179" t="s">
        <v>66</v>
      </c>
      <c r="X1179" t="s">
        <v>67</v>
      </c>
      <c r="Y1179" t="s">
        <v>138</v>
      </c>
      <c r="Z1179"/>
      <c r="AA1179" t="s">
        <v>494</v>
      </c>
      <c r="AB1179"/>
      <c r="AC1179" t="s">
        <v>139</v>
      </c>
      <c r="AD1179" t="s">
        <v>3397</v>
      </c>
      <c r="AE1179"/>
      <c r="AF1179"/>
      <c r="AG1179" t="s">
        <v>156</v>
      </c>
      <c r="AH1179" t="s">
        <v>68</v>
      </c>
      <c r="AI1179" t="s">
        <v>493</v>
      </c>
      <c r="AJ1179"/>
      <c r="AK1179" t="s">
        <v>3280</v>
      </c>
    </row>
    <row r="1180" spans="1:37">
      <c r="A1180" t="s">
        <v>23</v>
      </c>
      <c r="B1180" t="s">
        <v>24</v>
      </c>
      <c r="C1180" t="s">
        <v>1618</v>
      </c>
      <c r="D1180" t="s">
        <v>135</v>
      </c>
      <c r="E1180" t="s">
        <v>3278</v>
      </c>
      <c r="F1180" t="s">
        <v>931</v>
      </c>
      <c r="G1180" t="s">
        <v>136</v>
      </c>
      <c r="H1180" t="s">
        <v>151</v>
      </c>
      <c r="I1180" t="s">
        <v>156</v>
      </c>
      <c r="J1180" t="s">
        <v>26</v>
      </c>
      <c r="K1180" t="s">
        <v>157</v>
      </c>
      <c r="L1180" t="s">
        <v>150</v>
      </c>
      <c r="M1180" t="s">
        <v>144</v>
      </c>
      <c r="N1180" t="s">
        <v>3281</v>
      </c>
      <c r="O1180">
        <v>1</v>
      </c>
      <c r="P1180" t="s">
        <v>160</v>
      </c>
      <c r="Q1180"/>
      <c r="R1180">
        <v>691</v>
      </c>
      <c r="S1180">
        <v>690.8</v>
      </c>
      <c r="T1180" t="s">
        <v>145</v>
      </c>
      <c r="U1180" t="s">
        <v>3292</v>
      </c>
      <c r="V1180" t="s">
        <v>27</v>
      </c>
      <c r="W1180" t="s">
        <v>66</v>
      </c>
      <c r="X1180" t="s">
        <v>67</v>
      </c>
      <c r="Y1180" t="s">
        <v>138</v>
      </c>
      <c r="Z1180"/>
      <c r="AA1180" t="s">
        <v>494</v>
      </c>
      <c r="AB1180"/>
      <c r="AC1180" t="s">
        <v>139</v>
      </c>
      <c r="AD1180" t="s">
        <v>3398</v>
      </c>
      <c r="AE1180"/>
      <c r="AF1180"/>
      <c r="AG1180" t="s">
        <v>156</v>
      </c>
      <c r="AH1180" t="s">
        <v>68</v>
      </c>
      <c r="AI1180" t="s">
        <v>493</v>
      </c>
      <c r="AJ1180"/>
      <c r="AK1180" t="s">
        <v>3282</v>
      </c>
    </row>
    <row r="1181" spans="1:37">
      <c r="A1181" t="s">
        <v>23</v>
      </c>
      <c r="B1181" t="s">
        <v>24</v>
      </c>
      <c r="C1181" t="s">
        <v>1618</v>
      </c>
      <c r="D1181" t="s">
        <v>135</v>
      </c>
      <c r="E1181" t="s">
        <v>3278</v>
      </c>
      <c r="F1181" t="s">
        <v>931</v>
      </c>
      <c r="G1181" t="s">
        <v>136</v>
      </c>
      <c r="H1181" t="s">
        <v>151</v>
      </c>
      <c r="I1181" t="s">
        <v>156</v>
      </c>
      <c r="J1181" t="s">
        <v>26</v>
      </c>
      <c r="K1181" t="s">
        <v>157</v>
      </c>
      <c r="L1181" t="s">
        <v>150</v>
      </c>
      <c r="M1181" t="s">
        <v>144</v>
      </c>
      <c r="N1181" t="s">
        <v>3283</v>
      </c>
      <c r="O1181">
        <v>1</v>
      </c>
      <c r="P1181" t="s">
        <v>160</v>
      </c>
      <c r="Q1181"/>
      <c r="R1181">
        <v>693</v>
      </c>
      <c r="S1181">
        <v>690.8</v>
      </c>
      <c r="T1181" t="s">
        <v>145</v>
      </c>
      <c r="U1181" t="s">
        <v>3292</v>
      </c>
      <c r="V1181" t="s">
        <v>27</v>
      </c>
      <c r="W1181" t="s">
        <v>66</v>
      </c>
      <c r="X1181" t="s">
        <v>67</v>
      </c>
      <c r="Y1181" t="s">
        <v>138</v>
      </c>
      <c r="Z1181"/>
      <c r="AA1181" t="s">
        <v>494</v>
      </c>
      <c r="AB1181"/>
      <c r="AC1181" t="s">
        <v>139</v>
      </c>
      <c r="AD1181" t="s">
        <v>3399</v>
      </c>
      <c r="AE1181"/>
      <c r="AF1181"/>
      <c r="AG1181" t="s">
        <v>156</v>
      </c>
      <c r="AH1181" t="s">
        <v>68</v>
      </c>
      <c r="AI1181" t="s">
        <v>493</v>
      </c>
      <c r="AJ1181"/>
      <c r="AK1181" t="s">
        <v>3284</v>
      </c>
    </row>
    <row r="1182" spans="1:37">
      <c r="A1182" t="s">
        <v>23</v>
      </c>
      <c r="B1182" t="s">
        <v>24</v>
      </c>
      <c r="C1182" t="s">
        <v>934</v>
      </c>
      <c r="D1182" t="s">
        <v>135</v>
      </c>
      <c r="E1182" t="s">
        <v>3213</v>
      </c>
      <c r="F1182" t="s">
        <v>931</v>
      </c>
      <c r="G1182" t="s">
        <v>136</v>
      </c>
      <c r="H1182" t="s">
        <v>152</v>
      </c>
      <c r="I1182" t="s">
        <v>71</v>
      </c>
      <c r="J1182" t="s">
        <v>72</v>
      </c>
      <c r="K1182" t="s">
        <v>65</v>
      </c>
      <c r="L1182" t="s">
        <v>2993</v>
      </c>
      <c r="M1182" t="s">
        <v>137</v>
      </c>
      <c r="N1182" t="s">
        <v>3285</v>
      </c>
      <c r="O1182">
        <v>993</v>
      </c>
      <c r="P1182" t="s">
        <v>35</v>
      </c>
      <c r="Q1182"/>
      <c r="R1182">
        <v>996</v>
      </c>
      <c r="S1182">
        <v>993</v>
      </c>
      <c r="T1182" t="s">
        <v>493</v>
      </c>
      <c r="U1182" t="s">
        <v>493</v>
      </c>
      <c r="V1182" t="s">
        <v>67</v>
      </c>
      <c r="W1182" t="s">
        <v>66</v>
      </c>
      <c r="X1182" t="s">
        <v>67</v>
      </c>
      <c r="Y1182" t="s">
        <v>935</v>
      </c>
      <c r="Z1182"/>
      <c r="AA1182" t="s">
        <v>494</v>
      </c>
      <c r="AB1182"/>
      <c r="AC1182" t="s">
        <v>139</v>
      </c>
      <c r="AD1182" t="s">
        <v>3286</v>
      </c>
      <c r="AE1182"/>
      <c r="AF1182" t="s">
        <v>493</v>
      </c>
      <c r="AG1182" t="s">
        <v>71</v>
      </c>
      <c r="AH1182" t="s">
        <v>1275</v>
      </c>
      <c r="AI1182" t="s">
        <v>493</v>
      </c>
      <c r="AJ1182"/>
      <c r="AK1182"/>
    </row>
    <row r="1183" spans="1:37">
      <c r="A1183" t="s">
        <v>23</v>
      </c>
      <c r="B1183" t="s">
        <v>24</v>
      </c>
      <c r="C1183" t="s">
        <v>929</v>
      </c>
      <c r="D1183" t="s">
        <v>135</v>
      </c>
      <c r="E1183" t="s">
        <v>930</v>
      </c>
      <c r="F1183" t="s">
        <v>931</v>
      </c>
      <c r="G1183" t="s">
        <v>136</v>
      </c>
      <c r="H1183" t="s">
        <v>493</v>
      </c>
      <c r="I1183" t="s">
        <v>932</v>
      </c>
      <c r="J1183" t="s">
        <v>933</v>
      </c>
      <c r="K1183" t="s">
        <v>65</v>
      </c>
      <c r="L1183" t="s">
        <v>2993</v>
      </c>
      <c r="M1183" t="s">
        <v>137</v>
      </c>
      <c r="N1183" t="s">
        <v>3287</v>
      </c>
      <c r="O1183">
        <v>205</v>
      </c>
      <c r="P1183" t="s">
        <v>35</v>
      </c>
      <c r="Q1183"/>
      <c r="R1183">
        <v>205</v>
      </c>
      <c r="S1183">
        <v>205</v>
      </c>
      <c r="T1183" t="s">
        <v>493</v>
      </c>
      <c r="U1183" t="s">
        <v>493</v>
      </c>
      <c r="V1183" t="s">
        <v>27</v>
      </c>
      <c r="W1183" t="s">
        <v>66</v>
      </c>
      <c r="X1183" t="s">
        <v>67</v>
      </c>
      <c r="Y1183" t="s">
        <v>69</v>
      </c>
      <c r="Z1183"/>
      <c r="AA1183" t="s">
        <v>494</v>
      </c>
      <c r="AB1183"/>
      <c r="AC1183" t="s">
        <v>139</v>
      </c>
      <c r="AD1183" t="s">
        <v>3286</v>
      </c>
      <c r="AE1183"/>
      <c r="AF1183" t="s">
        <v>70</v>
      </c>
      <c r="AG1183" t="s">
        <v>493</v>
      </c>
      <c r="AH1183" t="s">
        <v>68</v>
      </c>
      <c r="AI1183" t="s">
        <v>493</v>
      </c>
      <c r="AJ1183"/>
      <c r="AK1183"/>
    </row>
    <row r="1184" spans="1:37">
      <c r="A1184" t="s">
        <v>23</v>
      </c>
      <c r="B1184" t="s">
        <v>24</v>
      </c>
      <c r="C1184" t="s">
        <v>1618</v>
      </c>
      <c r="D1184" t="s">
        <v>135</v>
      </c>
      <c r="E1184" t="s">
        <v>3278</v>
      </c>
      <c r="F1184" t="s">
        <v>931</v>
      </c>
      <c r="G1184" t="s">
        <v>136</v>
      </c>
      <c r="H1184" t="s">
        <v>151</v>
      </c>
      <c r="I1184" t="s">
        <v>156</v>
      </c>
      <c r="J1184" t="s">
        <v>26</v>
      </c>
      <c r="K1184" t="s">
        <v>157</v>
      </c>
      <c r="L1184" t="s">
        <v>150</v>
      </c>
      <c r="M1184" t="s">
        <v>144</v>
      </c>
      <c r="N1184" t="s">
        <v>3288</v>
      </c>
      <c r="O1184">
        <v>1</v>
      </c>
      <c r="P1184" t="s">
        <v>160</v>
      </c>
      <c r="Q1184"/>
      <c r="R1184">
        <v>693</v>
      </c>
      <c r="S1184">
        <v>690.8</v>
      </c>
      <c r="T1184" t="s">
        <v>145</v>
      </c>
      <c r="U1184" t="s">
        <v>3292</v>
      </c>
      <c r="V1184" t="s">
        <v>27</v>
      </c>
      <c r="W1184" t="s">
        <v>66</v>
      </c>
      <c r="X1184" t="s">
        <v>67</v>
      </c>
      <c r="Y1184" t="s">
        <v>138</v>
      </c>
      <c r="Z1184"/>
      <c r="AA1184" t="s">
        <v>494</v>
      </c>
      <c r="AB1184"/>
      <c r="AC1184" t="s">
        <v>139</v>
      </c>
      <c r="AD1184" t="s">
        <v>3400</v>
      </c>
      <c r="AE1184"/>
      <c r="AF1184"/>
      <c r="AG1184" t="s">
        <v>156</v>
      </c>
      <c r="AH1184" t="s">
        <v>68</v>
      </c>
      <c r="AI1184" t="s">
        <v>493</v>
      </c>
      <c r="AJ1184"/>
      <c r="AK1184" t="s">
        <v>3289</v>
      </c>
    </row>
    <row r="1185" spans="1:37">
      <c r="A1185" t="s">
        <v>23</v>
      </c>
      <c r="B1185" t="s">
        <v>24</v>
      </c>
      <c r="C1185" t="s">
        <v>1618</v>
      </c>
      <c r="D1185" t="s">
        <v>135</v>
      </c>
      <c r="E1185" t="s">
        <v>3278</v>
      </c>
      <c r="F1185" t="s">
        <v>931</v>
      </c>
      <c r="G1185" t="s">
        <v>136</v>
      </c>
      <c r="H1185" t="s">
        <v>151</v>
      </c>
      <c r="I1185" t="s">
        <v>156</v>
      </c>
      <c r="J1185" t="s">
        <v>26</v>
      </c>
      <c r="K1185" t="s">
        <v>157</v>
      </c>
      <c r="L1185" t="s">
        <v>150</v>
      </c>
      <c r="M1185" t="s">
        <v>144</v>
      </c>
      <c r="N1185" t="s">
        <v>3401</v>
      </c>
      <c r="O1185">
        <v>1</v>
      </c>
      <c r="P1185" t="s">
        <v>160</v>
      </c>
      <c r="Q1185"/>
      <c r="R1185">
        <v>695</v>
      </c>
      <c r="S1185">
        <v>690.8</v>
      </c>
      <c r="T1185" t="s">
        <v>145</v>
      </c>
      <c r="U1185" t="s">
        <v>3292</v>
      </c>
      <c r="V1185" t="s">
        <v>27</v>
      </c>
      <c r="W1185" t="s">
        <v>66</v>
      </c>
      <c r="X1185" t="s">
        <v>67</v>
      </c>
      <c r="Y1185" t="s">
        <v>138</v>
      </c>
      <c r="Z1185"/>
      <c r="AA1185" t="s">
        <v>494</v>
      </c>
      <c r="AB1185"/>
      <c r="AC1185" t="s">
        <v>139</v>
      </c>
      <c r="AD1185" t="s">
        <v>3402</v>
      </c>
      <c r="AE1185"/>
      <c r="AF1185"/>
      <c r="AG1185" t="s">
        <v>156</v>
      </c>
      <c r="AH1185" t="s">
        <v>68</v>
      </c>
      <c r="AI1185" t="s">
        <v>493</v>
      </c>
      <c r="AJ1185"/>
      <c r="AK1185" t="s">
        <v>3403</v>
      </c>
    </row>
    <row r="1186" spans="1:37">
      <c r="A1186" t="s">
        <v>23</v>
      </c>
      <c r="B1186" t="s">
        <v>24</v>
      </c>
      <c r="C1186" t="s">
        <v>1618</v>
      </c>
      <c r="D1186" t="s">
        <v>135</v>
      </c>
      <c r="E1186" t="s">
        <v>3278</v>
      </c>
      <c r="F1186" t="s">
        <v>931</v>
      </c>
      <c r="G1186" t="s">
        <v>136</v>
      </c>
      <c r="H1186" t="s">
        <v>151</v>
      </c>
      <c r="I1186" t="s">
        <v>156</v>
      </c>
      <c r="J1186" t="s">
        <v>26</v>
      </c>
      <c r="K1186" t="s">
        <v>157</v>
      </c>
      <c r="L1186" t="s">
        <v>150</v>
      </c>
      <c r="M1186" t="s">
        <v>144</v>
      </c>
      <c r="N1186" t="s">
        <v>3404</v>
      </c>
      <c r="O1186">
        <v>1</v>
      </c>
      <c r="P1186" t="s">
        <v>160</v>
      </c>
      <c r="Q1186"/>
      <c r="R1186">
        <v>694</v>
      </c>
      <c r="S1186">
        <v>690.8</v>
      </c>
      <c r="T1186" t="s">
        <v>145</v>
      </c>
      <c r="U1186" t="s">
        <v>3292</v>
      </c>
      <c r="V1186" t="s">
        <v>27</v>
      </c>
      <c r="W1186" t="s">
        <v>66</v>
      </c>
      <c r="X1186" t="s">
        <v>67</v>
      </c>
      <c r="Y1186" t="s">
        <v>138</v>
      </c>
      <c r="Z1186"/>
      <c r="AA1186" t="s">
        <v>494</v>
      </c>
      <c r="AB1186"/>
      <c r="AC1186" t="s">
        <v>139</v>
      </c>
      <c r="AD1186" t="s">
        <v>3405</v>
      </c>
      <c r="AE1186"/>
      <c r="AF1186"/>
      <c r="AG1186" t="s">
        <v>156</v>
      </c>
      <c r="AH1186" t="s">
        <v>68</v>
      </c>
      <c r="AI1186" t="s">
        <v>493</v>
      </c>
      <c r="AJ1186"/>
      <c r="AK1186" t="s">
        <v>3406</v>
      </c>
    </row>
    <row r="1187" spans="1:37">
      <c r="A1187" t="s">
        <v>23</v>
      </c>
      <c r="B1187" t="s">
        <v>24</v>
      </c>
      <c r="C1187" t="s">
        <v>1618</v>
      </c>
      <c r="D1187" t="s">
        <v>135</v>
      </c>
      <c r="E1187" t="s">
        <v>3278</v>
      </c>
      <c r="F1187" t="s">
        <v>931</v>
      </c>
      <c r="G1187" t="s">
        <v>136</v>
      </c>
      <c r="H1187" t="s">
        <v>151</v>
      </c>
      <c r="I1187" t="s">
        <v>156</v>
      </c>
      <c r="J1187" t="s">
        <v>26</v>
      </c>
      <c r="K1187" t="s">
        <v>157</v>
      </c>
      <c r="L1187" t="s">
        <v>150</v>
      </c>
      <c r="M1187" t="s">
        <v>144</v>
      </c>
      <c r="N1187" t="s">
        <v>3407</v>
      </c>
      <c r="O1187">
        <v>1</v>
      </c>
      <c r="P1187" t="s">
        <v>160</v>
      </c>
      <c r="Q1187"/>
      <c r="R1187">
        <v>694</v>
      </c>
      <c r="S1187">
        <v>690.8</v>
      </c>
      <c r="T1187" t="s">
        <v>145</v>
      </c>
      <c r="U1187" t="s">
        <v>3292</v>
      </c>
      <c r="V1187" t="s">
        <v>27</v>
      </c>
      <c r="W1187" t="s">
        <v>66</v>
      </c>
      <c r="X1187" t="s">
        <v>67</v>
      </c>
      <c r="Y1187" t="s">
        <v>138</v>
      </c>
      <c r="Z1187"/>
      <c r="AA1187" t="s">
        <v>494</v>
      </c>
      <c r="AB1187"/>
      <c r="AC1187" t="s">
        <v>139</v>
      </c>
      <c r="AD1187" t="s">
        <v>3408</v>
      </c>
      <c r="AE1187"/>
      <c r="AF1187"/>
      <c r="AG1187" t="s">
        <v>156</v>
      </c>
      <c r="AH1187" t="s">
        <v>68</v>
      </c>
      <c r="AI1187" t="s">
        <v>493</v>
      </c>
      <c r="AJ1187"/>
      <c r="AK1187" t="s">
        <v>3409</v>
      </c>
    </row>
    <row r="1188" spans="1:37">
      <c r="A1188" t="s">
        <v>23</v>
      </c>
      <c r="B1188" t="s">
        <v>24</v>
      </c>
      <c r="C1188" t="s">
        <v>1618</v>
      </c>
      <c r="D1188" t="s">
        <v>135</v>
      </c>
      <c r="E1188" t="s">
        <v>3278</v>
      </c>
      <c r="F1188" t="s">
        <v>931</v>
      </c>
      <c r="G1188" t="s">
        <v>136</v>
      </c>
      <c r="H1188" t="s">
        <v>151</v>
      </c>
      <c r="I1188" t="s">
        <v>156</v>
      </c>
      <c r="J1188" t="s">
        <v>26</v>
      </c>
      <c r="K1188" t="s">
        <v>157</v>
      </c>
      <c r="L1188" t="s">
        <v>150</v>
      </c>
      <c r="M1188" t="s">
        <v>144</v>
      </c>
      <c r="N1188" t="s">
        <v>3410</v>
      </c>
      <c r="O1188">
        <v>1</v>
      </c>
      <c r="P1188" t="s">
        <v>160</v>
      </c>
      <c r="Q1188"/>
      <c r="R1188">
        <v>692</v>
      </c>
      <c r="S1188">
        <v>690.8</v>
      </c>
      <c r="T1188" t="s">
        <v>145</v>
      </c>
      <c r="U1188" t="s">
        <v>3292</v>
      </c>
      <c r="V1188" t="s">
        <v>27</v>
      </c>
      <c r="W1188" t="s">
        <v>66</v>
      </c>
      <c r="X1188" t="s">
        <v>67</v>
      </c>
      <c r="Y1188" t="s">
        <v>138</v>
      </c>
      <c r="Z1188"/>
      <c r="AA1188" t="s">
        <v>494</v>
      </c>
      <c r="AB1188"/>
      <c r="AC1188" t="s">
        <v>139</v>
      </c>
      <c r="AD1188" t="s">
        <v>3411</v>
      </c>
      <c r="AE1188"/>
      <c r="AF1188"/>
      <c r="AG1188" t="s">
        <v>156</v>
      </c>
      <c r="AH1188" t="s">
        <v>68</v>
      </c>
      <c r="AI1188" t="s">
        <v>493</v>
      </c>
      <c r="AJ1188"/>
      <c r="AK1188" t="s">
        <v>3412</v>
      </c>
    </row>
    <row r="1189" spans="1:37">
      <c r="A1189" t="s">
        <v>23</v>
      </c>
      <c r="B1189" t="s">
        <v>24</v>
      </c>
      <c r="C1189" t="s">
        <v>1618</v>
      </c>
      <c r="D1189" t="s">
        <v>135</v>
      </c>
      <c r="E1189" t="s">
        <v>3278</v>
      </c>
      <c r="F1189" t="s">
        <v>931</v>
      </c>
      <c r="G1189" t="s">
        <v>136</v>
      </c>
      <c r="H1189" t="s">
        <v>151</v>
      </c>
      <c r="I1189" t="s">
        <v>156</v>
      </c>
      <c r="J1189" t="s">
        <v>26</v>
      </c>
      <c r="K1189" t="s">
        <v>157</v>
      </c>
      <c r="L1189" t="s">
        <v>150</v>
      </c>
      <c r="M1189" t="s">
        <v>144</v>
      </c>
      <c r="N1189" t="s">
        <v>3413</v>
      </c>
      <c r="O1189">
        <v>1</v>
      </c>
      <c r="P1189" t="s">
        <v>160</v>
      </c>
      <c r="Q1189"/>
      <c r="R1189">
        <v>697</v>
      </c>
      <c r="S1189">
        <v>690.8</v>
      </c>
      <c r="T1189" t="s">
        <v>145</v>
      </c>
      <c r="U1189" t="s">
        <v>3292</v>
      </c>
      <c r="V1189" t="s">
        <v>27</v>
      </c>
      <c r="W1189" t="s">
        <v>66</v>
      </c>
      <c r="X1189" t="s">
        <v>67</v>
      </c>
      <c r="Y1189" t="s">
        <v>138</v>
      </c>
      <c r="Z1189"/>
      <c r="AA1189" t="s">
        <v>494</v>
      </c>
      <c r="AB1189"/>
      <c r="AC1189" t="s">
        <v>139</v>
      </c>
      <c r="AD1189" t="s">
        <v>3414</v>
      </c>
      <c r="AE1189"/>
      <c r="AF1189"/>
      <c r="AG1189" t="s">
        <v>156</v>
      </c>
      <c r="AH1189" t="s">
        <v>68</v>
      </c>
      <c r="AI1189" t="s">
        <v>493</v>
      </c>
      <c r="AJ1189"/>
      <c r="AK1189" t="s">
        <v>3415</v>
      </c>
    </row>
    <row r="1190" spans="1:37">
      <c r="A1190" t="s">
        <v>23</v>
      </c>
      <c r="B1190" t="s">
        <v>24</v>
      </c>
      <c r="C1190" t="s">
        <v>1618</v>
      </c>
      <c r="D1190" t="s">
        <v>135</v>
      </c>
      <c r="E1190" t="s">
        <v>3278</v>
      </c>
      <c r="F1190" t="s">
        <v>931</v>
      </c>
      <c r="G1190" t="s">
        <v>136</v>
      </c>
      <c r="H1190" t="s">
        <v>151</v>
      </c>
      <c r="I1190" t="s">
        <v>156</v>
      </c>
      <c r="J1190" t="s">
        <v>26</v>
      </c>
      <c r="K1190" t="s">
        <v>157</v>
      </c>
      <c r="L1190" t="s">
        <v>150</v>
      </c>
      <c r="M1190" t="s">
        <v>144</v>
      </c>
      <c r="N1190" t="s">
        <v>3416</v>
      </c>
      <c r="O1190">
        <v>1</v>
      </c>
      <c r="P1190" t="s">
        <v>160</v>
      </c>
      <c r="Q1190"/>
      <c r="R1190">
        <v>697</v>
      </c>
      <c r="S1190">
        <v>690.8</v>
      </c>
      <c r="T1190" t="s">
        <v>145</v>
      </c>
      <c r="U1190" t="s">
        <v>3292</v>
      </c>
      <c r="V1190" t="s">
        <v>27</v>
      </c>
      <c r="W1190" t="s">
        <v>66</v>
      </c>
      <c r="X1190" t="s">
        <v>67</v>
      </c>
      <c r="Y1190" t="s">
        <v>138</v>
      </c>
      <c r="Z1190"/>
      <c r="AA1190" t="s">
        <v>494</v>
      </c>
      <c r="AB1190"/>
      <c r="AC1190" t="s">
        <v>139</v>
      </c>
      <c r="AD1190" t="s">
        <v>3417</v>
      </c>
      <c r="AE1190"/>
      <c r="AF1190"/>
      <c r="AG1190" t="s">
        <v>156</v>
      </c>
      <c r="AH1190" t="s">
        <v>68</v>
      </c>
      <c r="AI1190" t="s">
        <v>493</v>
      </c>
      <c r="AJ1190"/>
      <c r="AK1190" t="s">
        <v>3418</v>
      </c>
    </row>
    <row r="1191" spans="1:37">
      <c r="A1191" t="s">
        <v>23</v>
      </c>
      <c r="B1191" t="s">
        <v>24</v>
      </c>
      <c r="C1191" t="s">
        <v>1618</v>
      </c>
      <c r="D1191" t="s">
        <v>135</v>
      </c>
      <c r="E1191" t="s">
        <v>3278</v>
      </c>
      <c r="F1191" t="s">
        <v>931</v>
      </c>
      <c r="G1191" t="s">
        <v>136</v>
      </c>
      <c r="H1191" t="s">
        <v>151</v>
      </c>
      <c r="I1191" t="s">
        <v>156</v>
      </c>
      <c r="J1191" t="s">
        <v>26</v>
      </c>
      <c r="K1191" t="s">
        <v>157</v>
      </c>
      <c r="L1191" t="s">
        <v>150</v>
      </c>
      <c r="M1191" t="s">
        <v>144</v>
      </c>
      <c r="N1191" t="s">
        <v>3419</v>
      </c>
      <c r="O1191">
        <v>1</v>
      </c>
      <c r="P1191" t="s">
        <v>160</v>
      </c>
      <c r="Q1191"/>
      <c r="R1191">
        <v>696</v>
      </c>
      <c r="S1191">
        <v>690.8</v>
      </c>
      <c r="T1191" t="s">
        <v>145</v>
      </c>
      <c r="U1191" t="s">
        <v>3292</v>
      </c>
      <c r="V1191" t="s">
        <v>27</v>
      </c>
      <c r="W1191" t="s">
        <v>66</v>
      </c>
      <c r="X1191" t="s">
        <v>67</v>
      </c>
      <c r="Y1191" t="s">
        <v>138</v>
      </c>
      <c r="Z1191"/>
      <c r="AA1191" t="s">
        <v>494</v>
      </c>
      <c r="AB1191"/>
      <c r="AC1191" t="s">
        <v>139</v>
      </c>
      <c r="AD1191" t="s">
        <v>3420</v>
      </c>
      <c r="AE1191"/>
      <c r="AF1191"/>
      <c r="AG1191" t="s">
        <v>156</v>
      </c>
      <c r="AH1191" t="s">
        <v>68</v>
      </c>
      <c r="AI1191" t="s">
        <v>493</v>
      </c>
      <c r="AJ1191"/>
      <c r="AK1191" t="s">
        <v>3421</v>
      </c>
    </row>
    <row r="1192" spans="1:37">
      <c r="A1192" t="s">
        <v>23</v>
      </c>
      <c r="B1192" t="s">
        <v>24</v>
      </c>
      <c r="C1192" t="s">
        <v>1618</v>
      </c>
      <c r="D1192" t="s">
        <v>135</v>
      </c>
      <c r="E1192" t="s">
        <v>3278</v>
      </c>
      <c r="F1192" t="s">
        <v>931</v>
      </c>
      <c r="G1192" t="s">
        <v>136</v>
      </c>
      <c r="H1192" t="s">
        <v>151</v>
      </c>
      <c r="I1192" t="s">
        <v>156</v>
      </c>
      <c r="J1192" t="s">
        <v>26</v>
      </c>
      <c r="K1192" t="s">
        <v>157</v>
      </c>
      <c r="L1192" t="s">
        <v>150</v>
      </c>
      <c r="M1192" t="s">
        <v>144</v>
      </c>
      <c r="N1192" t="s">
        <v>3422</v>
      </c>
      <c r="O1192">
        <v>1</v>
      </c>
      <c r="P1192" t="s">
        <v>160</v>
      </c>
      <c r="Q1192"/>
      <c r="R1192">
        <v>694</v>
      </c>
      <c r="S1192">
        <v>690.8</v>
      </c>
      <c r="T1192" t="s">
        <v>145</v>
      </c>
      <c r="U1192" t="s">
        <v>3292</v>
      </c>
      <c r="V1192" t="s">
        <v>27</v>
      </c>
      <c r="W1192" t="s">
        <v>66</v>
      </c>
      <c r="X1192" t="s">
        <v>67</v>
      </c>
      <c r="Y1192" t="s">
        <v>138</v>
      </c>
      <c r="Z1192"/>
      <c r="AA1192" t="s">
        <v>494</v>
      </c>
      <c r="AB1192"/>
      <c r="AC1192" t="s">
        <v>139</v>
      </c>
      <c r="AD1192" t="s">
        <v>3423</v>
      </c>
      <c r="AE1192"/>
      <c r="AF1192"/>
      <c r="AG1192" t="s">
        <v>156</v>
      </c>
      <c r="AH1192" t="s">
        <v>68</v>
      </c>
      <c r="AI1192" t="s">
        <v>493</v>
      </c>
      <c r="AJ1192"/>
      <c r="AK1192" t="s">
        <v>3424</v>
      </c>
    </row>
    <row r="1193" spans="1:37">
      <c r="A1193" t="s">
        <v>23</v>
      </c>
      <c r="B1193" t="s">
        <v>24</v>
      </c>
      <c r="C1193" t="s">
        <v>1618</v>
      </c>
      <c r="D1193" t="s">
        <v>135</v>
      </c>
      <c r="E1193" t="s">
        <v>3278</v>
      </c>
      <c r="F1193" t="s">
        <v>931</v>
      </c>
      <c r="G1193" t="s">
        <v>136</v>
      </c>
      <c r="H1193" t="s">
        <v>151</v>
      </c>
      <c r="I1193" t="s">
        <v>156</v>
      </c>
      <c r="J1193" t="s">
        <v>26</v>
      </c>
      <c r="K1193" t="s">
        <v>157</v>
      </c>
      <c r="L1193" t="s">
        <v>150</v>
      </c>
      <c r="M1193" t="s">
        <v>144</v>
      </c>
      <c r="N1193" t="s">
        <v>3425</v>
      </c>
      <c r="O1193">
        <v>1</v>
      </c>
      <c r="P1193" t="s">
        <v>160</v>
      </c>
      <c r="Q1193"/>
      <c r="R1193">
        <v>697</v>
      </c>
      <c r="S1193">
        <v>690.8</v>
      </c>
      <c r="T1193" t="s">
        <v>145</v>
      </c>
      <c r="U1193" t="s">
        <v>3292</v>
      </c>
      <c r="V1193" t="s">
        <v>27</v>
      </c>
      <c r="W1193" t="s">
        <v>66</v>
      </c>
      <c r="X1193" t="s">
        <v>67</v>
      </c>
      <c r="Y1193" t="s">
        <v>138</v>
      </c>
      <c r="Z1193"/>
      <c r="AA1193" t="s">
        <v>494</v>
      </c>
      <c r="AB1193"/>
      <c r="AC1193" t="s">
        <v>139</v>
      </c>
      <c r="AD1193" t="s">
        <v>3426</v>
      </c>
      <c r="AE1193"/>
      <c r="AF1193"/>
      <c r="AG1193" t="s">
        <v>156</v>
      </c>
      <c r="AH1193" t="s">
        <v>68</v>
      </c>
      <c r="AI1193" t="s">
        <v>493</v>
      </c>
      <c r="AJ1193"/>
      <c r="AK1193" t="s">
        <v>3427</v>
      </c>
    </row>
    <row r="1194" spans="1:37">
      <c r="A1194" t="s">
        <v>23</v>
      </c>
      <c r="B1194" t="s">
        <v>24</v>
      </c>
      <c r="C1194" t="s">
        <v>934</v>
      </c>
      <c r="D1194" t="s">
        <v>135</v>
      </c>
      <c r="E1194" t="s">
        <v>3428</v>
      </c>
      <c r="F1194" t="s">
        <v>1906</v>
      </c>
      <c r="G1194" t="s">
        <v>136</v>
      </c>
      <c r="H1194" t="s">
        <v>146</v>
      </c>
      <c r="I1194" t="s">
        <v>71</v>
      </c>
      <c r="J1194" t="s">
        <v>72</v>
      </c>
      <c r="K1194" t="s">
        <v>65</v>
      </c>
      <c r="L1194" t="s">
        <v>143</v>
      </c>
      <c r="M1194" t="s">
        <v>144</v>
      </c>
      <c r="N1194" t="s">
        <v>3429</v>
      </c>
      <c r="O1194">
        <v>1152</v>
      </c>
      <c r="P1194" t="s">
        <v>35</v>
      </c>
      <c r="Q1194"/>
      <c r="R1194">
        <v>1155</v>
      </c>
      <c r="S1194">
        <v>1152</v>
      </c>
      <c r="T1194" t="s">
        <v>493</v>
      </c>
      <c r="U1194" t="s">
        <v>493</v>
      </c>
      <c r="V1194" t="s">
        <v>27</v>
      </c>
      <c r="W1194" t="s">
        <v>1082</v>
      </c>
      <c r="X1194" t="s">
        <v>27</v>
      </c>
      <c r="Y1194" t="s">
        <v>138</v>
      </c>
      <c r="Z1194"/>
      <c r="AA1194" t="s">
        <v>494</v>
      </c>
      <c r="AB1194"/>
      <c r="AC1194" t="s">
        <v>139</v>
      </c>
      <c r="AD1194" t="s">
        <v>3430</v>
      </c>
      <c r="AE1194"/>
      <c r="AF1194"/>
      <c r="AG1194" t="s">
        <v>71</v>
      </c>
      <c r="AH1194" t="s">
        <v>68</v>
      </c>
      <c r="AI1194" t="s">
        <v>493</v>
      </c>
      <c r="AJ1194"/>
      <c r="AK1194"/>
    </row>
    <row r="1195" spans="1:37">
      <c r="A1195" t="s">
        <v>23</v>
      </c>
      <c r="B1195" t="s">
        <v>24</v>
      </c>
      <c r="C1195" t="s">
        <v>1618</v>
      </c>
      <c r="D1195" t="s">
        <v>135</v>
      </c>
      <c r="E1195" t="s">
        <v>3278</v>
      </c>
      <c r="F1195" t="s">
        <v>931</v>
      </c>
      <c r="G1195" t="s">
        <v>136</v>
      </c>
      <c r="H1195" t="s">
        <v>151</v>
      </c>
      <c r="I1195" t="s">
        <v>156</v>
      </c>
      <c r="J1195" t="s">
        <v>26</v>
      </c>
      <c r="K1195" t="s">
        <v>157</v>
      </c>
      <c r="L1195" t="s">
        <v>150</v>
      </c>
      <c r="M1195" t="s">
        <v>144</v>
      </c>
      <c r="N1195" t="s">
        <v>3431</v>
      </c>
      <c r="O1195">
        <v>1</v>
      </c>
      <c r="P1195" t="s">
        <v>160</v>
      </c>
      <c r="Q1195"/>
      <c r="R1195">
        <v>695</v>
      </c>
      <c r="S1195">
        <v>690.8</v>
      </c>
      <c r="T1195" t="s">
        <v>145</v>
      </c>
      <c r="U1195" t="s">
        <v>3292</v>
      </c>
      <c r="V1195" t="s">
        <v>27</v>
      </c>
      <c r="W1195" t="s">
        <v>66</v>
      </c>
      <c r="X1195" t="s">
        <v>67</v>
      </c>
      <c r="Y1195" t="s">
        <v>138</v>
      </c>
      <c r="Z1195"/>
      <c r="AA1195" t="s">
        <v>494</v>
      </c>
      <c r="AB1195"/>
      <c r="AC1195" t="s">
        <v>139</v>
      </c>
      <c r="AD1195" t="s">
        <v>3432</v>
      </c>
      <c r="AE1195"/>
      <c r="AF1195"/>
      <c r="AG1195" t="s">
        <v>156</v>
      </c>
      <c r="AH1195" t="s">
        <v>68</v>
      </c>
      <c r="AI1195" t="s">
        <v>493</v>
      </c>
      <c r="AJ1195"/>
      <c r="AK1195" t="s">
        <v>3433</v>
      </c>
    </row>
    <row r="1196" spans="1:37">
      <c r="A1196" t="s">
        <v>23</v>
      </c>
      <c r="B1196" t="s">
        <v>24</v>
      </c>
      <c r="C1196" t="s">
        <v>934</v>
      </c>
      <c r="D1196" t="s">
        <v>135</v>
      </c>
      <c r="E1196" t="s">
        <v>3428</v>
      </c>
      <c r="F1196" t="s">
        <v>1906</v>
      </c>
      <c r="G1196" t="s">
        <v>136</v>
      </c>
      <c r="H1196" t="s">
        <v>146</v>
      </c>
      <c r="I1196" t="s">
        <v>71</v>
      </c>
      <c r="J1196" t="s">
        <v>72</v>
      </c>
      <c r="K1196" t="s">
        <v>65</v>
      </c>
      <c r="L1196" t="s">
        <v>143</v>
      </c>
      <c r="M1196" t="s">
        <v>144</v>
      </c>
      <c r="N1196" t="s">
        <v>3434</v>
      </c>
      <c r="O1196">
        <v>1104</v>
      </c>
      <c r="P1196" t="s">
        <v>35</v>
      </c>
      <c r="Q1196"/>
      <c r="R1196">
        <v>1107</v>
      </c>
      <c r="S1196">
        <v>1104</v>
      </c>
      <c r="T1196" t="s">
        <v>493</v>
      </c>
      <c r="U1196" t="s">
        <v>493</v>
      </c>
      <c r="V1196" t="s">
        <v>27</v>
      </c>
      <c r="W1196" t="s">
        <v>1082</v>
      </c>
      <c r="X1196" t="s">
        <v>27</v>
      </c>
      <c r="Y1196" t="s">
        <v>138</v>
      </c>
      <c r="Z1196"/>
      <c r="AA1196" t="s">
        <v>494</v>
      </c>
      <c r="AB1196"/>
      <c r="AC1196" t="s">
        <v>139</v>
      </c>
      <c r="AD1196" t="s">
        <v>3435</v>
      </c>
      <c r="AE1196"/>
      <c r="AF1196"/>
      <c r="AG1196" t="s">
        <v>71</v>
      </c>
      <c r="AH1196" t="s">
        <v>68</v>
      </c>
      <c r="AI1196" t="s">
        <v>493</v>
      </c>
      <c r="AJ1196"/>
      <c r="AK1196"/>
    </row>
    <row r="1197" spans="1:37">
      <c r="A1197" t="s">
        <v>23</v>
      </c>
      <c r="B1197" t="s">
        <v>24</v>
      </c>
      <c r="C1197" t="s">
        <v>1618</v>
      </c>
      <c r="D1197" t="s">
        <v>135</v>
      </c>
      <c r="E1197" t="s">
        <v>3278</v>
      </c>
      <c r="F1197" t="s">
        <v>931</v>
      </c>
      <c r="G1197" t="s">
        <v>136</v>
      </c>
      <c r="H1197" t="s">
        <v>151</v>
      </c>
      <c r="I1197" t="s">
        <v>156</v>
      </c>
      <c r="J1197" t="s">
        <v>26</v>
      </c>
      <c r="K1197" t="s">
        <v>157</v>
      </c>
      <c r="L1197" t="s">
        <v>150</v>
      </c>
      <c r="M1197" t="s">
        <v>144</v>
      </c>
      <c r="N1197" t="s">
        <v>3436</v>
      </c>
      <c r="O1197">
        <v>1</v>
      </c>
      <c r="P1197" t="s">
        <v>160</v>
      </c>
      <c r="Q1197"/>
      <c r="R1197">
        <v>693</v>
      </c>
      <c r="S1197">
        <v>690.8</v>
      </c>
      <c r="T1197" t="s">
        <v>145</v>
      </c>
      <c r="U1197" t="s">
        <v>3292</v>
      </c>
      <c r="V1197" t="s">
        <v>27</v>
      </c>
      <c r="W1197" t="s">
        <v>66</v>
      </c>
      <c r="X1197" t="s">
        <v>67</v>
      </c>
      <c r="Y1197" t="s">
        <v>138</v>
      </c>
      <c r="Z1197"/>
      <c r="AA1197" t="s">
        <v>494</v>
      </c>
      <c r="AB1197"/>
      <c r="AC1197" t="s">
        <v>139</v>
      </c>
      <c r="AD1197" t="s">
        <v>3437</v>
      </c>
      <c r="AE1197"/>
      <c r="AF1197"/>
      <c r="AG1197" t="s">
        <v>156</v>
      </c>
      <c r="AH1197" t="s">
        <v>68</v>
      </c>
      <c r="AI1197" t="s">
        <v>493</v>
      </c>
      <c r="AJ1197"/>
      <c r="AK1197" t="s">
        <v>3438</v>
      </c>
    </row>
    <row r="1198" spans="1:37">
      <c r="A1198" t="s">
        <v>23</v>
      </c>
      <c r="B1198" t="s">
        <v>24</v>
      </c>
      <c r="C1198" t="s">
        <v>1618</v>
      </c>
      <c r="D1198" t="s">
        <v>135</v>
      </c>
      <c r="E1198" t="s">
        <v>3278</v>
      </c>
      <c r="F1198" t="s">
        <v>931</v>
      </c>
      <c r="G1198" t="s">
        <v>136</v>
      </c>
      <c r="H1198" t="s">
        <v>151</v>
      </c>
      <c r="I1198" t="s">
        <v>156</v>
      </c>
      <c r="J1198" t="s">
        <v>26</v>
      </c>
      <c r="K1198" t="s">
        <v>157</v>
      </c>
      <c r="L1198" t="s">
        <v>150</v>
      </c>
      <c r="M1198" t="s">
        <v>144</v>
      </c>
      <c r="N1198" t="s">
        <v>3439</v>
      </c>
      <c r="O1198">
        <v>1</v>
      </c>
      <c r="P1198" t="s">
        <v>160</v>
      </c>
      <c r="Q1198"/>
      <c r="R1198">
        <v>694</v>
      </c>
      <c r="S1198">
        <v>690.8</v>
      </c>
      <c r="T1198" t="s">
        <v>145</v>
      </c>
      <c r="U1198" t="s">
        <v>3292</v>
      </c>
      <c r="V1198" t="s">
        <v>27</v>
      </c>
      <c r="W1198" t="s">
        <v>66</v>
      </c>
      <c r="X1198" t="s">
        <v>67</v>
      </c>
      <c r="Y1198" t="s">
        <v>138</v>
      </c>
      <c r="Z1198"/>
      <c r="AA1198" t="s">
        <v>494</v>
      </c>
      <c r="AB1198"/>
      <c r="AC1198" t="s">
        <v>139</v>
      </c>
      <c r="AD1198" t="s">
        <v>3440</v>
      </c>
      <c r="AE1198"/>
      <c r="AF1198"/>
      <c r="AG1198" t="s">
        <v>156</v>
      </c>
      <c r="AH1198" t="s">
        <v>68</v>
      </c>
      <c r="AI1198" t="s">
        <v>493</v>
      </c>
      <c r="AJ1198"/>
      <c r="AK1198" t="s">
        <v>3441</v>
      </c>
    </row>
    <row r="1199" spans="1:37">
      <c r="A1199" t="s">
        <v>23</v>
      </c>
      <c r="B1199" t="s">
        <v>24</v>
      </c>
      <c r="C1199" t="s">
        <v>1618</v>
      </c>
      <c r="D1199" t="s">
        <v>135</v>
      </c>
      <c r="E1199" t="s">
        <v>3278</v>
      </c>
      <c r="F1199" t="s">
        <v>931</v>
      </c>
      <c r="G1199" t="s">
        <v>136</v>
      </c>
      <c r="H1199" t="s">
        <v>151</v>
      </c>
      <c r="I1199" t="s">
        <v>156</v>
      </c>
      <c r="J1199" t="s">
        <v>26</v>
      </c>
      <c r="K1199" t="s">
        <v>157</v>
      </c>
      <c r="L1199" t="s">
        <v>150</v>
      </c>
      <c r="M1199" t="s">
        <v>144</v>
      </c>
      <c r="N1199" t="s">
        <v>3442</v>
      </c>
      <c r="O1199">
        <v>1</v>
      </c>
      <c r="P1199" t="s">
        <v>160</v>
      </c>
      <c r="Q1199"/>
      <c r="R1199">
        <v>694</v>
      </c>
      <c r="S1199">
        <v>690.8</v>
      </c>
      <c r="T1199" t="s">
        <v>145</v>
      </c>
      <c r="U1199" t="s">
        <v>3292</v>
      </c>
      <c r="V1199" t="s">
        <v>27</v>
      </c>
      <c r="W1199" t="s">
        <v>66</v>
      </c>
      <c r="X1199" t="s">
        <v>67</v>
      </c>
      <c r="Y1199" t="s">
        <v>138</v>
      </c>
      <c r="Z1199"/>
      <c r="AA1199" t="s">
        <v>494</v>
      </c>
      <c r="AB1199"/>
      <c r="AC1199" t="s">
        <v>139</v>
      </c>
      <c r="AD1199" t="s">
        <v>3443</v>
      </c>
      <c r="AE1199"/>
      <c r="AF1199"/>
      <c r="AG1199" t="s">
        <v>156</v>
      </c>
      <c r="AH1199" t="s">
        <v>68</v>
      </c>
      <c r="AI1199" t="s">
        <v>493</v>
      </c>
      <c r="AJ1199"/>
      <c r="AK1199" t="s">
        <v>3444</v>
      </c>
    </row>
    <row r="1200" spans="1:37">
      <c r="A1200" t="s">
        <v>23</v>
      </c>
      <c r="B1200" t="s">
        <v>24</v>
      </c>
      <c r="C1200" t="s">
        <v>1618</v>
      </c>
      <c r="D1200" t="s">
        <v>135</v>
      </c>
      <c r="E1200" t="s">
        <v>3278</v>
      </c>
      <c r="F1200" t="s">
        <v>931</v>
      </c>
      <c r="G1200" t="s">
        <v>136</v>
      </c>
      <c r="H1200" t="s">
        <v>151</v>
      </c>
      <c r="I1200" t="s">
        <v>156</v>
      </c>
      <c r="J1200" t="s">
        <v>26</v>
      </c>
      <c r="K1200" t="s">
        <v>157</v>
      </c>
      <c r="L1200" t="s">
        <v>150</v>
      </c>
      <c r="M1200" t="s">
        <v>144</v>
      </c>
      <c r="N1200" t="s">
        <v>3445</v>
      </c>
      <c r="O1200">
        <v>1</v>
      </c>
      <c r="P1200" t="s">
        <v>160</v>
      </c>
      <c r="Q1200"/>
      <c r="R1200">
        <v>695</v>
      </c>
      <c r="S1200">
        <v>690.8</v>
      </c>
      <c r="T1200" t="s">
        <v>145</v>
      </c>
      <c r="U1200" t="s">
        <v>3292</v>
      </c>
      <c r="V1200" t="s">
        <v>27</v>
      </c>
      <c r="W1200" t="s">
        <v>66</v>
      </c>
      <c r="X1200" t="s">
        <v>67</v>
      </c>
      <c r="Y1200" t="s">
        <v>138</v>
      </c>
      <c r="Z1200"/>
      <c r="AA1200" t="s">
        <v>494</v>
      </c>
      <c r="AB1200"/>
      <c r="AC1200" t="s">
        <v>139</v>
      </c>
      <c r="AD1200" t="s">
        <v>3446</v>
      </c>
      <c r="AE1200"/>
      <c r="AF1200"/>
      <c r="AG1200" t="s">
        <v>156</v>
      </c>
      <c r="AH1200" t="s">
        <v>68</v>
      </c>
      <c r="AI1200" t="s">
        <v>493</v>
      </c>
      <c r="AJ1200"/>
      <c r="AK1200" t="s">
        <v>3447</v>
      </c>
    </row>
    <row r="1201" spans="1:37">
      <c r="A1201" t="s">
        <v>23</v>
      </c>
      <c r="B1201" t="s">
        <v>24</v>
      </c>
      <c r="C1201" t="s">
        <v>934</v>
      </c>
      <c r="D1201" t="s">
        <v>135</v>
      </c>
      <c r="E1201" t="s">
        <v>3428</v>
      </c>
      <c r="F1201" t="s">
        <v>1906</v>
      </c>
      <c r="G1201" t="s">
        <v>136</v>
      </c>
      <c r="H1201" t="s">
        <v>146</v>
      </c>
      <c r="I1201" t="s">
        <v>71</v>
      </c>
      <c r="J1201" t="s">
        <v>72</v>
      </c>
      <c r="K1201" t="s">
        <v>65</v>
      </c>
      <c r="L1201" t="s">
        <v>143</v>
      </c>
      <c r="M1201" t="s">
        <v>144</v>
      </c>
      <c r="N1201" t="s">
        <v>3448</v>
      </c>
      <c r="O1201">
        <v>1125</v>
      </c>
      <c r="P1201" t="s">
        <v>35</v>
      </c>
      <c r="Q1201"/>
      <c r="R1201">
        <v>1128</v>
      </c>
      <c r="S1201">
        <v>1125</v>
      </c>
      <c r="T1201" t="s">
        <v>493</v>
      </c>
      <c r="U1201" t="s">
        <v>493</v>
      </c>
      <c r="V1201" t="s">
        <v>27</v>
      </c>
      <c r="W1201" t="s">
        <v>1082</v>
      </c>
      <c r="X1201" t="s">
        <v>27</v>
      </c>
      <c r="Y1201" t="s">
        <v>138</v>
      </c>
      <c r="Z1201"/>
      <c r="AA1201" t="s">
        <v>494</v>
      </c>
      <c r="AB1201"/>
      <c r="AC1201" t="s">
        <v>139</v>
      </c>
      <c r="AD1201" t="s">
        <v>3449</v>
      </c>
      <c r="AE1201"/>
      <c r="AF1201"/>
      <c r="AG1201" t="s">
        <v>71</v>
      </c>
      <c r="AH1201" t="s">
        <v>68</v>
      </c>
      <c r="AI1201" t="s">
        <v>493</v>
      </c>
      <c r="AJ1201"/>
      <c r="AK1201"/>
    </row>
    <row r="1202" spans="1:37">
      <c r="A1202" t="s">
        <v>23</v>
      </c>
      <c r="B1202" t="s">
        <v>24</v>
      </c>
      <c r="C1202" t="s">
        <v>1618</v>
      </c>
      <c r="D1202" t="s">
        <v>135</v>
      </c>
      <c r="E1202" t="s">
        <v>3278</v>
      </c>
      <c r="F1202" t="s">
        <v>931</v>
      </c>
      <c r="G1202" t="s">
        <v>136</v>
      </c>
      <c r="H1202" t="s">
        <v>151</v>
      </c>
      <c r="I1202" t="s">
        <v>156</v>
      </c>
      <c r="J1202" t="s">
        <v>26</v>
      </c>
      <c r="K1202" t="s">
        <v>157</v>
      </c>
      <c r="L1202" t="s">
        <v>143</v>
      </c>
      <c r="M1202" t="s">
        <v>144</v>
      </c>
      <c r="N1202" t="s">
        <v>3450</v>
      </c>
      <c r="O1202">
        <v>1</v>
      </c>
      <c r="P1202" t="s">
        <v>160</v>
      </c>
      <c r="Q1202"/>
      <c r="R1202">
        <v>694</v>
      </c>
      <c r="S1202">
        <v>690.8</v>
      </c>
      <c r="T1202" t="s">
        <v>145</v>
      </c>
      <c r="U1202" t="s">
        <v>3292</v>
      </c>
      <c r="V1202" t="s">
        <v>27</v>
      </c>
      <c r="W1202" t="s">
        <v>66</v>
      </c>
      <c r="X1202" t="s">
        <v>67</v>
      </c>
      <c r="Y1202" t="s">
        <v>138</v>
      </c>
      <c r="Z1202"/>
      <c r="AA1202" t="s">
        <v>494</v>
      </c>
      <c r="AB1202"/>
      <c r="AC1202" t="s">
        <v>139</v>
      </c>
      <c r="AD1202" t="s">
        <v>3451</v>
      </c>
      <c r="AE1202"/>
      <c r="AF1202"/>
      <c r="AG1202" t="s">
        <v>156</v>
      </c>
      <c r="AH1202" t="s">
        <v>68</v>
      </c>
      <c r="AI1202" t="s">
        <v>493</v>
      </c>
      <c r="AJ1202"/>
      <c r="AK1202" t="s">
        <v>3452</v>
      </c>
    </row>
    <row r="1203" spans="1:37">
      <c r="A1203" t="s">
        <v>23</v>
      </c>
      <c r="B1203" t="s">
        <v>24</v>
      </c>
      <c r="C1203" t="s">
        <v>934</v>
      </c>
      <c r="D1203" t="s">
        <v>135</v>
      </c>
      <c r="E1203" t="s">
        <v>3428</v>
      </c>
      <c r="F1203" t="s">
        <v>1906</v>
      </c>
      <c r="G1203" t="s">
        <v>136</v>
      </c>
      <c r="H1203" t="s">
        <v>146</v>
      </c>
      <c r="I1203" t="s">
        <v>71</v>
      </c>
      <c r="J1203" t="s">
        <v>72</v>
      </c>
      <c r="K1203" t="s">
        <v>65</v>
      </c>
      <c r="L1203" t="s">
        <v>143</v>
      </c>
      <c r="M1203" t="s">
        <v>144</v>
      </c>
      <c r="N1203" t="s">
        <v>3453</v>
      </c>
      <c r="O1203">
        <v>1119</v>
      </c>
      <c r="P1203" t="s">
        <v>35</v>
      </c>
      <c r="Q1203"/>
      <c r="R1203">
        <v>1122</v>
      </c>
      <c r="S1203">
        <v>1119</v>
      </c>
      <c r="T1203" t="s">
        <v>493</v>
      </c>
      <c r="U1203" t="s">
        <v>493</v>
      </c>
      <c r="V1203" t="s">
        <v>27</v>
      </c>
      <c r="W1203" t="s">
        <v>1082</v>
      </c>
      <c r="X1203" t="s">
        <v>27</v>
      </c>
      <c r="Y1203" t="s">
        <v>138</v>
      </c>
      <c r="Z1203"/>
      <c r="AA1203" t="s">
        <v>494</v>
      </c>
      <c r="AB1203"/>
      <c r="AC1203" t="s">
        <v>139</v>
      </c>
      <c r="AD1203" t="s">
        <v>3454</v>
      </c>
      <c r="AE1203"/>
      <c r="AF1203"/>
      <c r="AG1203" t="s">
        <v>71</v>
      </c>
      <c r="AH1203" t="s">
        <v>68</v>
      </c>
      <c r="AI1203" t="s">
        <v>493</v>
      </c>
      <c r="AJ1203"/>
      <c r="AK1203"/>
    </row>
    <row r="1204" spans="1:37">
      <c r="A1204" t="s">
        <v>23</v>
      </c>
      <c r="B1204" t="s">
        <v>24</v>
      </c>
      <c r="C1204" t="s">
        <v>934</v>
      </c>
      <c r="D1204" t="s">
        <v>135</v>
      </c>
      <c r="E1204" t="s">
        <v>3428</v>
      </c>
      <c r="F1204" t="s">
        <v>1906</v>
      </c>
      <c r="G1204" t="s">
        <v>136</v>
      </c>
      <c r="H1204" t="s">
        <v>146</v>
      </c>
      <c r="I1204" t="s">
        <v>71</v>
      </c>
      <c r="J1204" t="s">
        <v>72</v>
      </c>
      <c r="K1204" t="s">
        <v>65</v>
      </c>
      <c r="L1204" t="s">
        <v>143</v>
      </c>
      <c r="M1204" t="s">
        <v>144</v>
      </c>
      <c r="N1204" t="s">
        <v>3455</v>
      </c>
      <c r="O1204">
        <v>1104</v>
      </c>
      <c r="P1204" t="s">
        <v>35</v>
      </c>
      <c r="Q1204"/>
      <c r="R1204">
        <v>1107</v>
      </c>
      <c r="S1204">
        <v>1104</v>
      </c>
      <c r="T1204" t="s">
        <v>493</v>
      </c>
      <c r="U1204" t="s">
        <v>493</v>
      </c>
      <c r="V1204" t="s">
        <v>27</v>
      </c>
      <c r="W1204" t="s">
        <v>1082</v>
      </c>
      <c r="X1204" t="s">
        <v>27</v>
      </c>
      <c r="Y1204" t="s">
        <v>138</v>
      </c>
      <c r="Z1204"/>
      <c r="AA1204" t="s">
        <v>494</v>
      </c>
      <c r="AB1204"/>
      <c r="AC1204" t="s">
        <v>139</v>
      </c>
      <c r="AD1204" t="s">
        <v>3456</v>
      </c>
      <c r="AE1204"/>
      <c r="AF1204"/>
      <c r="AG1204" t="s">
        <v>71</v>
      </c>
      <c r="AH1204" t="s">
        <v>68</v>
      </c>
      <c r="AI1204" t="s">
        <v>493</v>
      </c>
      <c r="AJ1204"/>
      <c r="AK1204"/>
    </row>
    <row r="1205" spans="1:37">
      <c r="A1205" t="s">
        <v>23</v>
      </c>
      <c r="B1205" t="s">
        <v>24</v>
      </c>
      <c r="C1205" t="s">
        <v>178</v>
      </c>
      <c r="D1205" t="s">
        <v>135</v>
      </c>
      <c r="E1205" t="s">
        <v>3290</v>
      </c>
      <c r="F1205" t="s">
        <v>931</v>
      </c>
      <c r="G1205" t="s">
        <v>136</v>
      </c>
      <c r="H1205" t="s">
        <v>151</v>
      </c>
      <c r="I1205" t="s">
        <v>156</v>
      </c>
      <c r="J1205" t="s">
        <v>25</v>
      </c>
      <c r="K1205" t="s">
        <v>157</v>
      </c>
      <c r="L1205" t="s">
        <v>150</v>
      </c>
      <c r="M1205" t="s">
        <v>144</v>
      </c>
      <c r="N1205" t="s">
        <v>3457</v>
      </c>
      <c r="O1205">
        <v>22</v>
      </c>
      <c r="P1205" t="s">
        <v>159</v>
      </c>
      <c r="Q1205"/>
      <c r="R1205">
        <v>410</v>
      </c>
      <c r="S1205">
        <v>379.94</v>
      </c>
      <c r="T1205" t="s">
        <v>145</v>
      </c>
      <c r="U1205" t="s">
        <v>185</v>
      </c>
      <c r="V1205" t="s">
        <v>27</v>
      </c>
      <c r="W1205" t="s">
        <v>66</v>
      </c>
      <c r="X1205" t="s">
        <v>67</v>
      </c>
      <c r="Y1205" t="s">
        <v>138</v>
      </c>
      <c r="Z1205"/>
      <c r="AA1205" t="s">
        <v>494</v>
      </c>
      <c r="AB1205"/>
      <c r="AC1205" t="s">
        <v>139</v>
      </c>
      <c r="AD1205" t="s">
        <v>3458</v>
      </c>
      <c r="AE1205"/>
      <c r="AF1205"/>
      <c r="AG1205" t="s">
        <v>156</v>
      </c>
      <c r="AH1205" t="s">
        <v>68</v>
      </c>
      <c r="AI1205" t="s">
        <v>493</v>
      </c>
      <c r="AJ1205"/>
      <c r="AK1205"/>
    </row>
    <row r="1206" spans="1:37">
      <c r="A1206" t="s">
        <v>23</v>
      </c>
      <c r="B1206" t="s">
        <v>24</v>
      </c>
      <c r="C1206" t="s">
        <v>934</v>
      </c>
      <c r="D1206" t="s">
        <v>135</v>
      </c>
      <c r="E1206" t="s">
        <v>3428</v>
      </c>
      <c r="F1206" t="s">
        <v>1906</v>
      </c>
      <c r="G1206" t="s">
        <v>136</v>
      </c>
      <c r="H1206" t="s">
        <v>146</v>
      </c>
      <c r="I1206" t="s">
        <v>71</v>
      </c>
      <c r="J1206" t="s">
        <v>72</v>
      </c>
      <c r="K1206" t="s">
        <v>65</v>
      </c>
      <c r="L1206" t="s">
        <v>143</v>
      </c>
      <c r="M1206" t="s">
        <v>144</v>
      </c>
      <c r="N1206" t="s">
        <v>3459</v>
      </c>
      <c r="O1206">
        <v>1107</v>
      </c>
      <c r="P1206" t="s">
        <v>35</v>
      </c>
      <c r="Q1206"/>
      <c r="R1206">
        <v>1110</v>
      </c>
      <c r="S1206">
        <v>1107</v>
      </c>
      <c r="T1206" t="s">
        <v>493</v>
      </c>
      <c r="U1206" t="s">
        <v>493</v>
      </c>
      <c r="V1206" t="s">
        <v>27</v>
      </c>
      <c r="W1206" t="s">
        <v>1082</v>
      </c>
      <c r="X1206" t="s">
        <v>27</v>
      </c>
      <c r="Y1206" t="s">
        <v>138</v>
      </c>
      <c r="Z1206"/>
      <c r="AA1206" t="s">
        <v>494</v>
      </c>
      <c r="AB1206"/>
      <c r="AC1206" t="s">
        <v>139</v>
      </c>
      <c r="AD1206" t="s">
        <v>3460</v>
      </c>
      <c r="AE1206"/>
      <c r="AF1206"/>
      <c r="AG1206" t="s">
        <v>71</v>
      </c>
      <c r="AH1206" t="s">
        <v>68</v>
      </c>
      <c r="AI1206" t="s">
        <v>493</v>
      </c>
      <c r="AJ1206"/>
      <c r="AK1206"/>
    </row>
    <row r="1207" spans="1:37">
      <c r="A1207" t="s">
        <v>23</v>
      </c>
      <c r="B1207" t="s">
        <v>24</v>
      </c>
      <c r="C1207" t="s">
        <v>929</v>
      </c>
      <c r="D1207" t="s">
        <v>135</v>
      </c>
      <c r="E1207" t="s">
        <v>1905</v>
      </c>
      <c r="F1207" t="s">
        <v>1906</v>
      </c>
      <c r="G1207" t="s">
        <v>136</v>
      </c>
      <c r="H1207" t="s">
        <v>493</v>
      </c>
      <c r="I1207" t="s">
        <v>932</v>
      </c>
      <c r="J1207" t="s">
        <v>933</v>
      </c>
      <c r="K1207" t="s">
        <v>65</v>
      </c>
      <c r="L1207" t="s">
        <v>2993</v>
      </c>
      <c r="M1207" t="s">
        <v>137</v>
      </c>
      <c r="N1207" t="s">
        <v>3461</v>
      </c>
      <c r="O1207">
        <v>520</v>
      </c>
      <c r="P1207" t="s">
        <v>35</v>
      </c>
      <c r="Q1207"/>
      <c r="R1207">
        <v>520</v>
      </c>
      <c r="S1207">
        <v>520</v>
      </c>
      <c r="T1207" t="s">
        <v>493</v>
      </c>
      <c r="U1207" t="s">
        <v>493</v>
      </c>
      <c r="V1207" t="s">
        <v>27</v>
      </c>
      <c r="W1207" t="s">
        <v>66</v>
      </c>
      <c r="X1207" t="s">
        <v>67</v>
      </c>
      <c r="Y1207" t="s">
        <v>69</v>
      </c>
      <c r="Z1207"/>
      <c r="AA1207" t="s">
        <v>494</v>
      </c>
      <c r="AB1207"/>
      <c r="AC1207" t="s">
        <v>139</v>
      </c>
      <c r="AD1207" t="s">
        <v>3462</v>
      </c>
      <c r="AE1207"/>
      <c r="AF1207" t="s">
        <v>70</v>
      </c>
      <c r="AG1207" t="s">
        <v>493</v>
      </c>
      <c r="AH1207" t="s">
        <v>68</v>
      </c>
      <c r="AI1207" t="s">
        <v>493</v>
      </c>
      <c r="AJ1207"/>
      <c r="AK1207"/>
    </row>
    <row r="1208" spans="1:37">
      <c r="A1208" t="s">
        <v>23</v>
      </c>
      <c r="B1208" t="s">
        <v>24</v>
      </c>
      <c r="C1208" t="s">
        <v>934</v>
      </c>
      <c r="D1208" t="s">
        <v>135</v>
      </c>
      <c r="E1208" t="s">
        <v>3428</v>
      </c>
      <c r="F1208" t="s">
        <v>1906</v>
      </c>
      <c r="G1208" t="s">
        <v>136</v>
      </c>
      <c r="H1208" t="s">
        <v>146</v>
      </c>
      <c r="I1208" t="s">
        <v>71</v>
      </c>
      <c r="J1208" t="s">
        <v>72</v>
      </c>
      <c r="K1208" t="s">
        <v>65</v>
      </c>
      <c r="L1208" t="s">
        <v>143</v>
      </c>
      <c r="M1208" t="s">
        <v>144</v>
      </c>
      <c r="N1208" t="s">
        <v>3463</v>
      </c>
      <c r="O1208">
        <v>1109</v>
      </c>
      <c r="P1208" t="s">
        <v>35</v>
      </c>
      <c r="Q1208"/>
      <c r="R1208">
        <v>1112</v>
      </c>
      <c r="S1208">
        <v>1109</v>
      </c>
      <c r="T1208" t="s">
        <v>493</v>
      </c>
      <c r="U1208" t="s">
        <v>493</v>
      </c>
      <c r="V1208" t="s">
        <v>27</v>
      </c>
      <c r="W1208" t="s">
        <v>1082</v>
      </c>
      <c r="X1208" t="s">
        <v>27</v>
      </c>
      <c r="Y1208" t="s">
        <v>138</v>
      </c>
      <c r="Z1208"/>
      <c r="AA1208" t="s">
        <v>494</v>
      </c>
      <c r="AB1208"/>
      <c r="AC1208" t="s">
        <v>139</v>
      </c>
      <c r="AD1208" t="s">
        <v>3464</v>
      </c>
      <c r="AE1208"/>
      <c r="AF1208"/>
      <c r="AG1208" t="s">
        <v>71</v>
      </c>
      <c r="AH1208" t="s">
        <v>68</v>
      </c>
      <c r="AI1208" t="s">
        <v>493</v>
      </c>
      <c r="AJ1208"/>
      <c r="AK1208"/>
    </row>
    <row r="1209" spans="1:37">
      <c r="A1209" t="s">
        <v>23</v>
      </c>
      <c r="B1209" t="s">
        <v>24</v>
      </c>
      <c r="C1209" t="s">
        <v>929</v>
      </c>
      <c r="D1209" t="s">
        <v>135</v>
      </c>
      <c r="E1209" t="s">
        <v>1905</v>
      </c>
      <c r="F1209" t="s">
        <v>1906</v>
      </c>
      <c r="G1209" t="s">
        <v>136</v>
      </c>
      <c r="H1209" t="s">
        <v>493</v>
      </c>
      <c r="I1209" t="s">
        <v>932</v>
      </c>
      <c r="J1209" t="s">
        <v>933</v>
      </c>
      <c r="K1209" t="s">
        <v>65</v>
      </c>
      <c r="L1209" t="s">
        <v>2993</v>
      </c>
      <c r="M1209" t="s">
        <v>137</v>
      </c>
      <c r="N1209" t="s">
        <v>3465</v>
      </c>
      <c r="O1209">
        <v>110</v>
      </c>
      <c r="P1209" t="s">
        <v>35</v>
      </c>
      <c r="Q1209"/>
      <c r="R1209">
        <v>110</v>
      </c>
      <c r="S1209">
        <v>110</v>
      </c>
      <c r="T1209" t="s">
        <v>493</v>
      </c>
      <c r="U1209" t="s">
        <v>493</v>
      </c>
      <c r="V1209" t="s">
        <v>27</v>
      </c>
      <c r="W1209" t="s">
        <v>66</v>
      </c>
      <c r="X1209" t="s">
        <v>67</v>
      </c>
      <c r="Y1209" t="s">
        <v>69</v>
      </c>
      <c r="Z1209"/>
      <c r="AA1209" t="s">
        <v>494</v>
      </c>
      <c r="AB1209"/>
      <c r="AC1209" t="s">
        <v>139</v>
      </c>
      <c r="AD1209" t="s">
        <v>3466</v>
      </c>
      <c r="AE1209"/>
      <c r="AF1209" t="s">
        <v>70</v>
      </c>
      <c r="AG1209" t="s">
        <v>493</v>
      </c>
      <c r="AH1209" t="s">
        <v>68</v>
      </c>
      <c r="AI1209" t="s">
        <v>493</v>
      </c>
      <c r="AJ1209"/>
      <c r="AK1209"/>
    </row>
    <row r="1210" spans="1:37">
      <c r="A1210" t="s">
        <v>23</v>
      </c>
      <c r="B1210" t="s">
        <v>24</v>
      </c>
      <c r="C1210" t="s">
        <v>1379</v>
      </c>
      <c r="D1210" t="s">
        <v>135</v>
      </c>
      <c r="E1210" t="s">
        <v>3467</v>
      </c>
      <c r="F1210" t="s">
        <v>931</v>
      </c>
      <c r="G1210" t="s">
        <v>136</v>
      </c>
      <c r="H1210" t="s">
        <v>152</v>
      </c>
      <c r="I1210" t="s">
        <v>156</v>
      </c>
      <c r="J1210" t="s">
        <v>26</v>
      </c>
      <c r="K1210" t="s">
        <v>157</v>
      </c>
      <c r="L1210" t="s">
        <v>1046</v>
      </c>
      <c r="M1210" t="s">
        <v>154</v>
      </c>
      <c r="N1210" t="s">
        <v>3468</v>
      </c>
      <c r="O1210">
        <v>1</v>
      </c>
      <c r="P1210" t="s">
        <v>160</v>
      </c>
      <c r="Q1210"/>
      <c r="R1210">
        <v>788</v>
      </c>
      <c r="S1210">
        <v>784.4</v>
      </c>
      <c r="T1210" t="s">
        <v>493</v>
      </c>
      <c r="U1210" t="s">
        <v>493</v>
      </c>
      <c r="V1210" t="s">
        <v>67</v>
      </c>
      <c r="W1210" t="s">
        <v>1082</v>
      </c>
      <c r="X1210" t="s">
        <v>27</v>
      </c>
      <c r="Y1210" t="s">
        <v>935</v>
      </c>
      <c r="Z1210"/>
      <c r="AA1210" t="s">
        <v>494</v>
      </c>
      <c r="AB1210"/>
      <c r="AC1210" t="s">
        <v>139</v>
      </c>
      <c r="AD1210" t="s">
        <v>3469</v>
      </c>
      <c r="AE1210"/>
      <c r="AF1210" t="s">
        <v>493</v>
      </c>
      <c r="AG1210" t="s">
        <v>156</v>
      </c>
      <c r="AH1210" t="s">
        <v>3470</v>
      </c>
      <c r="AI1210" t="s">
        <v>493</v>
      </c>
      <c r="AJ1210"/>
      <c r="AK1210" t="s">
        <v>3471</v>
      </c>
    </row>
    <row r="1211" spans="1:37">
      <c r="A1211" t="s">
        <v>23</v>
      </c>
      <c r="B1211" t="s">
        <v>24</v>
      </c>
      <c r="C1211" t="s">
        <v>934</v>
      </c>
      <c r="D1211" t="s">
        <v>135</v>
      </c>
      <c r="E1211" t="s">
        <v>3428</v>
      </c>
      <c r="F1211" t="s">
        <v>1906</v>
      </c>
      <c r="G1211" t="s">
        <v>136</v>
      </c>
      <c r="H1211" t="s">
        <v>146</v>
      </c>
      <c r="I1211" t="s">
        <v>71</v>
      </c>
      <c r="J1211" t="s">
        <v>72</v>
      </c>
      <c r="K1211" t="s">
        <v>65</v>
      </c>
      <c r="L1211" t="s">
        <v>143</v>
      </c>
      <c r="M1211" t="s">
        <v>144</v>
      </c>
      <c r="N1211" t="s">
        <v>3472</v>
      </c>
      <c r="O1211">
        <v>1114</v>
      </c>
      <c r="P1211" t="s">
        <v>35</v>
      </c>
      <c r="Q1211"/>
      <c r="R1211">
        <v>1117</v>
      </c>
      <c r="S1211">
        <v>1114</v>
      </c>
      <c r="T1211" t="s">
        <v>493</v>
      </c>
      <c r="U1211" t="s">
        <v>493</v>
      </c>
      <c r="V1211" t="s">
        <v>27</v>
      </c>
      <c r="W1211" t="s">
        <v>1082</v>
      </c>
      <c r="X1211" t="s">
        <v>27</v>
      </c>
      <c r="Y1211" t="s">
        <v>138</v>
      </c>
      <c r="Z1211"/>
      <c r="AA1211" t="s">
        <v>494</v>
      </c>
      <c r="AB1211"/>
      <c r="AC1211" t="s">
        <v>139</v>
      </c>
      <c r="AD1211" t="s">
        <v>3473</v>
      </c>
      <c r="AE1211"/>
      <c r="AF1211"/>
      <c r="AG1211" t="s">
        <v>71</v>
      </c>
      <c r="AH1211" t="s">
        <v>68</v>
      </c>
      <c r="AI1211" t="s">
        <v>493</v>
      </c>
      <c r="AJ1211"/>
      <c r="AK1211"/>
    </row>
    <row r="1212" spans="1:37">
      <c r="A1212" t="s">
        <v>23</v>
      </c>
      <c r="B1212" t="s">
        <v>24</v>
      </c>
      <c r="C1212" t="s">
        <v>929</v>
      </c>
      <c r="D1212" t="s">
        <v>135</v>
      </c>
      <c r="E1212" t="s">
        <v>1905</v>
      </c>
      <c r="F1212" t="s">
        <v>1906</v>
      </c>
      <c r="G1212" t="s">
        <v>136</v>
      </c>
      <c r="H1212" t="s">
        <v>493</v>
      </c>
      <c r="I1212" t="s">
        <v>932</v>
      </c>
      <c r="J1212" t="s">
        <v>933</v>
      </c>
      <c r="K1212" t="s">
        <v>65</v>
      </c>
      <c r="L1212" t="s">
        <v>2993</v>
      </c>
      <c r="M1212" t="s">
        <v>137</v>
      </c>
      <c r="N1212" t="s">
        <v>3474</v>
      </c>
      <c r="O1212">
        <v>103</v>
      </c>
      <c r="P1212" t="s">
        <v>35</v>
      </c>
      <c r="Q1212"/>
      <c r="R1212">
        <v>103</v>
      </c>
      <c r="S1212">
        <v>103</v>
      </c>
      <c r="T1212" t="s">
        <v>493</v>
      </c>
      <c r="U1212" t="s">
        <v>493</v>
      </c>
      <c r="V1212" t="s">
        <v>27</v>
      </c>
      <c r="W1212" t="s">
        <v>66</v>
      </c>
      <c r="X1212" t="s">
        <v>67</v>
      </c>
      <c r="Y1212" t="s">
        <v>69</v>
      </c>
      <c r="Z1212"/>
      <c r="AA1212" t="s">
        <v>494</v>
      </c>
      <c r="AB1212"/>
      <c r="AC1212" t="s">
        <v>139</v>
      </c>
      <c r="AD1212" t="s">
        <v>3475</v>
      </c>
      <c r="AE1212"/>
      <c r="AF1212" t="s">
        <v>70</v>
      </c>
      <c r="AG1212" t="s">
        <v>493</v>
      </c>
      <c r="AH1212" t="s">
        <v>68</v>
      </c>
      <c r="AI1212" t="s">
        <v>493</v>
      </c>
      <c r="AJ1212"/>
      <c r="AK1212"/>
    </row>
    <row r="1213" spans="1:37">
      <c r="A1213" t="s">
        <v>23</v>
      </c>
      <c r="B1213" t="s">
        <v>24</v>
      </c>
      <c r="C1213" t="s">
        <v>1379</v>
      </c>
      <c r="D1213" t="s">
        <v>135</v>
      </c>
      <c r="E1213" t="s">
        <v>3467</v>
      </c>
      <c r="F1213" t="s">
        <v>931</v>
      </c>
      <c r="G1213" t="s">
        <v>136</v>
      </c>
      <c r="H1213" t="s">
        <v>152</v>
      </c>
      <c r="I1213" t="s">
        <v>156</v>
      </c>
      <c r="J1213" t="s">
        <v>26</v>
      </c>
      <c r="K1213" t="s">
        <v>157</v>
      </c>
      <c r="L1213" t="s">
        <v>1046</v>
      </c>
      <c r="M1213" t="s">
        <v>154</v>
      </c>
      <c r="N1213" t="s">
        <v>3476</v>
      </c>
      <c r="O1213">
        <v>1</v>
      </c>
      <c r="P1213" t="s">
        <v>160</v>
      </c>
      <c r="Q1213"/>
      <c r="R1213">
        <v>785</v>
      </c>
      <c r="S1213">
        <v>784.4</v>
      </c>
      <c r="T1213" t="s">
        <v>493</v>
      </c>
      <c r="U1213" t="s">
        <v>493</v>
      </c>
      <c r="V1213" t="s">
        <v>67</v>
      </c>
      <c r="W1213" t="s">
        <v>1082</v>
      </c>
      <c r="X1213" t="s">
        <v>27</v>
      </c>
      <c r="Y1213" t="s">
        <v>935</v>
      </c>
      <c r="Z1213"/>
      <c r="AA1213" t="s">
        <v>494</v>
      </c>
      <c r="AB1213"/>
      <c r="AC1213" t="s">
        <v>139</v>
      </c>
      <c r="AD1213" t="s">
        <v>3477</v>
      </c>
      <c r="AE1213"/>
      <c r="AF1213" t="s">
        <v>493</v>
      </c>
      <c r="AG1213" t="s">
        <v>156</v>
      </c>
      <c r="AH1213" t="s">
        <v>3470</v>
      </c>
      <c r="AI1213" t="s">
        <v>493</v>
      </c>
      <c r="AJ1213"/>
      <c r="AK1213" t="s">
        <v>3478</v>
      </c>
    </row>
    <row r="1214" spans="1:37">
      <c r="A1214" t="s">
        <v>23</v>
      </c>
      <c r="B1214" t="s">
        <v>24</v>
      </c>
      <c r="C1214" t="s">
        <v>934</v>
      </c>
      <c r="D1214" t="s">
        <v>135</v>
      </c>
      <c r="E1214" t="s">
        <v>3428</v>
      </c>
      <c r="F1214" t="s">
        <v>1906</v>
      </c>
      <c r="G1214" t="s">
        <v>136</v>
      </c>
      <c r="H1214" t="s">
        <v>146</v>
      </c>
      <c r="I1214" t="s">
        <v>71</v>
      </c>
      <c r="J1214" t="s">
        <v>72</v>
      </c>
      <c r="K1214" t="s">
        <v>65</v>
      </c>
      <c r="L1214" t="s">
        <v>143</v>
      </c>
      <c r="M1214" t="s">
        <v>144</v>
      </c>
      <c r="N1214" t="s">
        <v>3479</v>
      </c>
      <c r="O1214">
        <v>1132</v>
      </c>
      <c r="P1214" t="s">
        <v>35</v>
      </c>
      <c r="Q1214"/>
      <c r="R1214">
        <v>1135</v>
      </c>
      <c r="S1214">
        <v>1132</v>
      </c>
      <c r="T1214" t="s">
        <v>493</v>
      </c>
      <c r="U1214" t="s">
        <v>493</v>
      </c>
      <c r="V1214" t="s">
        <v>27</v>
      </c>
      <c r="W1214" t="s">
        <v>1082</v>
      </c>
      <c r="X1214" t="s">
        <v>27</v>
      </c>
      <c r="Y1214" t="s">
        <v>138</v>
      </c>
      <c r="Z1214"/>
      <c r="AA1214" t="s">
        <v>494</v>
      </c>
      <c r="AB1214"/>
      <c r="AC1214" t="s">
        <v>139</v>
      </c>
      <c r="AD1214" t="s">
        <v>3480</v>
      </c>
      <c r="AE1214"/>
      <c r="AF1214"/>
      <c r="AG1214" t="s">
        <v>71</v>
      </c>
      <c r="AH1214" t="s">
        <v>68</v>
      </c>
      <c r="AI1214" t="s">
        <v>493</v>
      </c>
      <c r="AJ1214"/>
      <c r="AK1214"/>
    </row>
    <row r="1215" spans="1:37">
      <c r="A1215" t="s">
        <v>23</v>
      </c>
      <c r="B1215" t="s">
        <v>24</v>
      </c>
      <c r="C1215" t="s">
        <v>929</v>
      </c>
      <c r="D1215" t="s">
        <v>135</v>
      </c>
      <c r="E1215" t="s">
        <v>1905</v>
      </c>
      <c r="F1215" t="s">
        <v>1906</v>
      </c>
      <c r="G1215" t="s">
        <v>136</v>
      </c>
      <c r="H1215" t="s">
        <v>493</v>
      </c>
      <c r="I1215" t="s">
        <v>932</v>
      </c>
      <c r="J1215" t="s">
        <v>933</v>
      </c>
      <c r="K1215" t="s">
        <v>65</v>
      </c>
      <c r="L1215" t="s">
        <v>2993</v>
      </c>
      <c r="M1215" t="s">
        <v>137</v>
      </c>
      <c r="N1215" t="s">
        <v>3481</v>
      </c>
      <c r="O1215">
        <v>81</v>
      </c>
      <c r="P1215" t="s">
        <v>35</v>
      </c>
      <c r="Q1215"/>
      <c r="R1215">
        <v>81</v>
      </c>
      <c r="S1215">
        <v>81</v>
      </c>
      <c r="T1215" t="s">
        <v>493</v>
      </c>
      <c r="U1215" t="s">
        <v>493</v>
      </c>
      <c r="V1215" t="s">
        <v>27</v>
      </c>
      <c r="W1215" t="s">
        <v>66</v>
      </c>
      <c r="X1215" t="s">
        <v>67</v>
      </c>
      <c r="Y1215" t="s">
        <v>69</v>
      </c>
      <c r="Z1215"/>
      <c r="AA1215" t="s">
        <v>494</v>
      </c>
      <c r="AB1215"/>
      <c r="AC1215" t="s">
        <v>139</v>
      </c>
      <c r="AD1215" t="s">
        <v>3482</v>
      </c>
      <c r="AE1215"/>
      <c r="AF1215" t="s">
        <v>70</v>
      </c>
      <c r="AG1215" t="s">
        <v>493</v>
      </c>
      <c r="AH1215" t="s">
        <v>68</v>
      </c>
      <c r="AI1215" t="s">
        <v>493</v>
      </c>
      <c r="AJ1215"/>
      <c r="AK1215"/>
    </row>
    <row r="1216" spans="1:37">
      <c r="A1216" t="s">
        <v>23</v>
      </c>
      <c r="B1216" t="s">
        <v>24</v>
      </c>
      <c r="C1216" t="s">
        <v>1379</v>
      </c>
      <c r="D1216" t="s">
        <v>135</v>
      </c>
      <c r="E1216" t="s">
        <v>3467</v>
      </c>
      <c r="F1216" t="s">
        <v>931</v>
      </c>
      <c r="G1216" t="s">
        <v>136</v>
      </c>
      <c r="H1216" t="s">
        <v>152</v>
      </c>
      <c r="I1216" t="s">
        <v>156</v>
      </c>
      <c r="J1216" t="s">
        <v>26</v>
      </c>
      <c r="K1216" t="s">
        <v>157</v>
      </c>
      <c r="L1216" t="s">
        <v>1046</v>
      </c>
      <c r="M1216" t="s">
        <v>154</v>
      </c>
      <c r="N1216" t="s">
        <v>3483</v>
      </c>
      <c r="O1216">
        <v>1</v>
      </c>
      <c r="P1216" t="s">
        <v>160</v>
      </c>
      <c r="Q1216"/>
      <c r="R1216">
        <v>789</v>
      </c>
      <c r="S1216">
        <v>784.4</v>
      </c>
      <c r="T1216" t="s">
        <v>493</v>
      </c>
      <c r="U1216" t="s">
        <v>493</v>
      </c>
      <c r="V1216" t="s">
        <v>67</v>
      </c>
      <c r="W1216" t="s">
        <v>1082</v>
      </c>
      <c r="X1216" t="s">
        <v>27</v>
      </c>
      <c r="Y1216" t="s">
        <v>935</v>
      </c>
      <c r="Z1216"/>
      <c r="AA1216" t="s">
        <v>494</v>
      </c>
      <c r="AB1216"/>
      <c r="AC1216" t="s">
        <v>139</v>
      </c>
      <c r="AD1216" t="s">
        <v>3484</v>
      </c>
      <c r="AE1216"/>
      <c r="AF1216" t="s">
        <v>493</v>
      </c>
      <c r="AG1216" t="s">
        <v>156</v>
      </c>
      <c r="AH1216" t="s">
        <v>3470</v>
      </c>
      <c r="AI1216" t="s">
        <v>493</v>
      </c>
      <c r="AJ1216"/>
      <c r="AK1216" t="s">
        <v>3485</v>
      </c>
    </row>
    <row r="1217" spans="1:37">
      <c r="A1217" t="s">
        <v>23</v>
      </c>
      <c r="B1217" t="s">
        <v>24</v>
      </c>
      <c r="C1217" t="s">
        <v>934</v>
      </c>
      <c r="D1217" t="s">
        <v>135</v>
      </c>
      <c r="E1217" t="s">
        <v>3428</v>
      </c>
      <c r="F1217" t="s">
        <v>1906</v>
      </c>
      <c r="G1217" t="s">
        <v>136</v>
      </c>
      <c r="H1217" t="s">
        <v>146</v>
      </c>
      <c r="I1217" t="s">
        <v>71</v>
      </c>
      <c r="J1217" t="s">
        <v>72</v>
      </c>
      <c r="K1217" t="s">
        <v>65</v>
      </c>
      <c r="L1217" t="s">
        <v>143</v>
      </c>
      <c r="M1217" t="s">
        <v>144</v>
      </c>
      <c r="N1217" t="s">
        <v>3486</v>
      </c>
      <c r="O1217">
        <v>1160</v>
      </c>
      <c r="P1217" t="s">
        <v>35</v>
      </c>
      <c r="Q1217"/>
      <c r="R1217">
        <v>1163</v>
      </c>
      <c r="S1217">
        <v>1160</v>
      </c>
      <c r="T1217" t="s">
        <v>493</v>
      </c>
      <c r="U1217" t="s">
        <v>493</v>
      </c>
      <c r="V1217" t="s">
        <v>27</v>
      </c>
      <c r="W1217" t="s">
        <v>1082</v>
      </c>
      <c r="X1217" t="s">
        <v>27</v>
      </c>
      <c r="Y1217" t="s">
        <v>138</v>
      </c>
      <c r="Z1217"/>
      <c r="AA1217" t="s">
        <v>494</v>
      </c>
      <c r="AB1217"/>
      <c r="AC1217" t="s">
        <v>139</v>
      </c>
      <c r="AD1217" t="s">
        <v>3487</v>
      </c>
      <c r="AE1217"/>
      <c r="AF1217"/>
      <c r="AG1217" t="s">
        <v>71</v>
      </c>
      <c r="AH1217" t="s">
        <v>68</v>
      </c>
      <c r="AI1217" t="s">
        <v>493</v>
      </c>
      <c r="AJ1217"/>
      <c r="AK1217"/>
    </row>
    <row r="1218" spans="1:37">
      <c r="A1218" t="s">
        <v>23</v>
      </c>
      <c r="B1218" t="s">
        <v>24</v>
      </c>
      <c r="C1218" t="s">
        <v>929</v>
      </c>
      <c r="D1218" t="s">
        <v>135</v>
      </c>
      <c r="E1218" t="s">
        <v>1905</v>
      </c>
      <c r="F1218" t="s">
        <v>1906</v>
      </c>
      <c r="G1218" t="s">
        <v>136</v>
      </c>
      <c r="H1218" t="s">
        <v>493</v>
      </c>
      <c r="I1218" t="s">
        <v>932</v>
      </c>
      <c r="J1218" t="s">
        <v>933</v>
      </c>
      <c r="K1218" t="s">
        <v>65</v>
      </c>
      <c r="L1218" t="s">
        <v>2993</v>
      </c>
      <c r="M1218" t="s">
        <v>137</v>
      </c>
      <c r="N1218" t="s">
        <v>3488</v>
      </c>
      <c r="O1218">
        <v>39</v>
      </c>
      <c r="P1218" t="s">
        <v>35</v>
      </c>
      <c r="Q1218"/>
      <c r="R1218">
        <v>39</v>
      </c>
      <c r="S1218">
        <v>39</v>
      </c>
      <c r="T1218" t="s">
        <v>493</v>
      </c>
      <c r="U1218" t="s">
        <v>493</v>
      </c>
      <c r="V1218" t="s">
        <v>27</v>
      </c>
      <c r="W1218" t="s">
        <v>66</v>
      </c>
      <c r="X1218" t="s">
        <v>67</v>
      </c>
      <c r="Y1218" t="s">
        <v>69</v>
      </c>
      <c r="Z1218"/>
      <c r="AA1218" t="s">
        <v>494</v>
      </c>
      <c r="AB1218"/>
      <c r="AC1218" t="s">
        <v>139</v>
      </c>
      <c r="AD1218" t="s">
        <v>3489</v>
      </c>
      <c r="AE1218"/>
      <c r="AF1218" t="s">
        <v>70</v>
      </c>
      <c r="AG1218" t="s">
        <v>493</v>
      </c>
      <c r="AH1218" t="s">
        <v>68</v>
      </c>
      <c r="AI1218" t="s">
        <v>493</v>
      </c>
      <c r="AJ1218"/>
      <c r="AK1218"/>
    </row>
    <row r="1219" spans="1:37">
      <c r="A1219" t="s">
        <v>23</v>
      </c>
      <c r="B1219" t="s">
        <v>24</v>
      </c>
      <c r="C1219" t="s">
        <v>1379</v>
      </c>
      <c r="D1219" t="s">
        <v>135</v>
      </c>
      <c r="E1219" t="s">
        <v>3467</v>
      </c>
      <c r="F1219" t="s">
        <v>931</v>
      </c>
      <c r="G1219" t="s">
        <v>136</v>
      </c>
      <c r="H1219" t="s">
        <v>152</v>
      </c>
      <c r="I1219" t="s">
        <v>156</v>
      </c>
      <c r="J1219" t="s">
        <v>26</v>
      </c>
      <c r="K1219" t="s">
        <v>157</v>
      </c>
      <c r="L1219" t="s">
        <v>1046</v>
      </c>
      <c r="M1219" t="s">
        <v>154</v>
      </c>
      <c r="N1219" t="s">
        <v>3490</v>
      </c>
      <c r="O1219">
        <v>1</v>
      </c>
      <c r="P1219" t="s">
        <v>160</v>
      </c>
      <c r="Q1219"/>
      <c r="R1219">
        <v>786</v>
      </c>
      <c r="S1219">
        <v>784.4</v>
      </c>
      <c r="T1219" t="s">
        <v>493</v>
      </c>
      <c r="U1219" t="s">
        <v>493</v>
      </c>
      <c r="V1219" t="s">
        <v>67</v>
      </c>
      <c r="W1219" t="s">
        <v>1082</v>
      </c>
      <c r="X1219" t="s">
        <v>27</v>
      </c>
      <c r="Y1219" t="s">
        <v>935</v>
      </c>
      <c r="Z1219"/>
      <c r="AA1219" t="s">
        <v>494</v>
      </c>
      <c r="AB1219"/>
      <c r="AC1219" t="s">
        <v>139</v>
      </c>
      <c r="AD1219" t="s">
        <v>3491</v>
      </c>
      <c r="AE1219"/>
      <c r="AF1219" t="s">
        <v>493</v>
      </c>
      <c r="AG1219" t="s">
        <v>156</v>
      </c>
      <c r="AH1219" t="s">
        <v>3470</v>
      </c>
      <c r="AI1219" t="s">
        <v>493</v>
      </c>
      <c r="AJ1219"/>
      <c r="AK1219" t="s">
        <v>3492</v>
      </c>
    </row>
    <row r="1220" spans="1:37">
      <c r="A1220" t="s">
        <v>23</v>
      </c>
      <c r="B1220" t="s">
        <v>24</v>
      </c>
      <c r="C1220" t="s">
        <v>1379</v>
      </c>
      <c r="D1220" t="s">
        <v>135</v>
      </c>
      <c r="E1220" t="s">
        <v>3467</v>
      </c>
      <c r="F1220" t="s">
        <v>931</v>
      </c>
      <c r="G1220" t="s">
        <v>136</v>
      </c>
      <c r="H1220" t="s">
        <v>152</v>
      </c>
      <c r="I1220" t="s">
        <v>156</v>
      </c>
      <c r="J1220" t="s">
        <v>26</v>
      </c>
      <c r="K1220" t="s">
        <v>157</v>
      </c>
      <c r="L1220" t="s">
        <v>1046</v>
      </c>
      <c r="M1220" t="s">
        <v>154</v>
      </c>
      <c r="N1220" t="s">
        <v>3493</v>
      </c>
      <c r="O1220">
        <v>1</v>
      </c>
      <c r="P1220" t="s">
        <v>160</v>
      </c>
      <c r="Q1220"/>
      <c r="R1220">
        <v>789</v>
      </c>
      <c r="S1220">
        <v>784.4</v>
      </c>
      <c r="T1220" t="s">
        <v>493</v>
      </c>
      <c r="U1220" t="s">
        <v>493</v>
      </c>
      <c r="V1220" t="s">
        <v>67</v>
      </c>
      <c r="W1220" t="s">
        <v>1082</v>
      </c>
      <c r="X1220" t="s">
        <v>27</v>
      </c>
      <c r="Y1220" t="s">
        <v>935</v>
      </c>
      <c r="Z1220"/>
      <c r="AA1220" t="s">
        <v>494</v>
      </c>
      <c r="AB1220"/>
      <c r="AC1220" t="s">
        <v>139</v>
      </c>
      <c r="AD1220" t="s">
        <v>3494</v>
      </c>
      <c r="AE1220"/>
      <c r="AF1220" t="s">
        <v>493</v>
      </c>
      <c r="AG1220" t="s">
        <v>156</v>
      </c>
      <c r="AH1220" t="s">
        <v>3470</v>
      </c>
      <c r="AI1220" t="s">
        <v>493</v>
      </c>
      <c r="AJ1220"/>
      <c r="AK1220" t="s">
        <v>3495</v>
      </c>
    </row>
    <row r="1221" spans="1:37">
      <c r="A1221" t="s">
        <v>23</v>
      </c>
      <c r="B1221" t="s">
        <v>24</v>
      </c>
      <c r="C1221" t="s">
        <v>1379</v>
      </c>
      <c r="D1221" t="s">
        <v>135</v>
      </c>
      <c r="E1221" t="s">
        <v>3467</v>
      </c>
      <c r="F1221" t="s">
        <v>931</v>
      </c>
      <c r="G1221" t="s">
        <v>136</v>
      </c>
      <c r="H1221" t="s">
        <v>152</v>
      </c>
      <c r="I1221" t="s">
        <v>156</v>
      </c>
      <c r="J1221" t="s">
        <v>26</v>
      </c>
      <c r="K1221" t="s">
        <v>157</v>
      </c>
      <c r="L1221" t="s">
        <v>1046</v>
      </c>
      <c r="M1221" t="s">
        <v>154</v>
      </c>
      <c r="N1221" t="s">
        <v>3496</v>
      </c>
      <c r="O1221">
        <v>1</v>
      </c>
      <c r="P1221" t="s">
        <v>160</v>
      </c>
      <c r="Q1221"/>
      <c r="R1221">
        <v>790</v>
      </c>
      <c r="S1221">
        <v>784.4</v>
      </c>
      <c r="T1221" t="s">
        <v>493</v>
      </c>
      <c r="U1221" t="s">
        <v>493</v>
      </c>
      <c r="V1221" t="s">
        <v>67</v>
      </c>
      <c r="W1221" t="s">
        <v>1082</v>
      </c>
      <c r="X1221" t="s">
        <v>27</v>
      </c>
      <c r="Y1221" t="s">
        <v>935</v>
      </c>
      <c r="Z1221"/>
      <c r="AA1221" t="s">
        <v>494</v>
      </c>
      <c r="AB1221"/>
      <c r="AC1221" t="s">
        <v>139</v>
      </c>
      <c r="AD1221" t="s">
        <v>3497</v>
      </c>
      <c r="AE1221"/>
      <c r="AF1221" t="s">
        <v>493</v>
      </c>
      <c r="AG1221" t="s">
        <v>156</v>
      </c>
      <c r="AH1221" t="s">
        <v>3470</v>
      </c>
      <c r="AI1221" t="s">
        <v>493</v>
      </c>
      <c r="AJ1221"/>
      <c r="AK1221" t="s">
        <v>3498</v>
      </c>
    </row>
    <row r="1222" spans="1:37">
      <c r="A1222" t="s">
        <v>23</v>
      </c>
      <c r="B1222" t="s">
        <v>24</v>
      </c>
      <c r="C1222" t="s">
        <v>1379</v>
      </c>
      <c r="D1222" t="s">
        <v>135</v>
      </c>
      <c r="E1222" t="s">
        <v>3467</v>
      </c>
      <c r="F1222" t="s">
        <v>931</v>
      </c>
      <c r="G1222" t="s">
        <v>136</v>
      </c>
      <c r="H1222" t="s">
        <v>152</v>
      </c>
      <c r="I1222" t="s">
        <v>156</v>
      </c>
      <c r="J1222" t="s">
        <v>26</v>
      </c>
      <c r="K1222" t="s">
        <v>157</v>
      </c>
      <c r="L1222" t="s">
        <v>1046</v>
      </c>
      <c r="M1222" t="s">
        <v>154</v>
      </c>
      <c r="N1222" t="s">
        <v>3499</v>
      </c>
      <c r="O1222">
        <v>1</v>
      </c>
      <c r="P1222" t="s">
        <v>160</v>
      </c>
      <c r="Q1222"/>
      <c r="R1222">
        <v>791</v>
      </c>
      <c r="S1222">
        <v>784.4</v>
      </c>
      <c r="T1222" t="s">
        <v>493</v>
      </c>
      <c r="U1222" t="s">
        <v>493</v>
      </c>
      <c r="V1222" t="s">
        <v>67</v>
      </c>
      <c r="W1222" t="s">
        <v>1082</v>
      </c>
      <c r="X1222" t="s">
        <v>27</v>
      </c>
      <c r="Y1222" t="s">
        <v>935</v>
      </c>
      <c r="Z1222"/>
      <c r="AA1222" t="s">
        <v>494</v>
      </c>
      <c r="AB1222"/>
      <c r="AC1222" t="s">
        <v>139</v>
      </c>
      <c r="AD1222" t="s">
        <v>3500</v>
      </c>
      <c r="AE1222"/>
      <c r="AF1222" t="s">
        <v>493</v>
      </c>
      <c r="AG1222" t="s">
        <v>156</v>
      </c>
      <c r="AH1222" t="s">
        <v>3470</v>
      </c>
      <c r="AI1222" t="s">
        <v>493</v>
      </c>
      <c r="AJ1222"/>
      <c r="AK1222" t="s">
        <v>3501</v>
      </c>
    </row>
    <row r="1223" spans="1:37">
      <c r="A1223" t="s">
        <v>23</v>
      </c>
      <c r="B1223" t="s">
        <v>24</v>
      </c>
      <c r="C1223" t="s">
        <v>1379</v>
      </c>
      <c r="D1223" t="s">
        <v>135</v>
      </c>
      <c r="E1223" t="s">
        <v>3467</v>
      </c>
      <c r="F1223" t="s">
        <v>931</v>
      </c>
      <c r="G1223" t="s">
        <v>136</v>
      </c>
      <c r="H1223" t="s">
        <v>152</v>
      </c>
      <c r="I1223" t="s">
        <v>156</v>
      </c>
      <c r="J1223" t="s">
        <v>26</v>
      </c>
      <c r="K1223" t="s">
        <v>157</v>
      </c>
      <c r="L1223" t="s">
        <v>1046</v>
      </c>
      <c r="M1223" t="s">
        <v>154</v>
      </c>
      <c r="N1223" t="s">
        <v>3502</v>
      </c>
      <c r="O1223">
        <v>1</v>
      </c>
      <c r="P1223" t="s">
        <v>160</v>
      </c>
      <c r="Q1223"/>
      <c r="R1223">
        <v>790</v>
      </c>
      <c r="S1223">
        <v>784.4</v>
      </c>
      <c r="T1223" t="s">
        <v>493</v>
      </c>
      <c r="U1223" t="s">
        <v>493</v>
      </c>
      <c r="V1223" t="s">
        <v>67</v>
      </c>
      <c r="W1223" t="s">
        <v>1082</v>
      </c>
      <c r="X1223" t="s">
        <v>27</v>
      </c>
      <c r="Y1223" t="s">
        <v>935</v>
      </c>
      <c r="Z1223"/>
      <c r="AA1223" t="s">
        <v>494</v>
      </c>
      <c r="AB1223"/>
      <c r="AC1223" t="s">
        <v>139</v>
      </c>
      <c r="AD1223" t="s">
        <v>3503</v>
      </c>
      <c r="AE1223"/>
      <c r="AF1223" t="s">
        <v>493</v>
      </c>
      <c r="AG1223" t="s">
        <v>156</v>
      </c>
      <c r="AH1223" t="s">
        <v>3470</v>
      </c>
      <c r="AI1223" t="s">
        <v>493</v>
      </c>
      <c r="AJ1223"/>
      <c r="AK1223" t="s">
        <v>3504</v>
      </c>
    </row>
    <row r="1224" spans="1:37">
      <c r="A1224" t="s">
        <v>23</v>
      </c>
      <c r="B1224" t="s">
        <v>24</v>
      </c>
      <c r="C1224" t="s">
        <v>1379</v>
      </c>
      <c r="D1224" t="s">
        <v>135</v>
      </c>
      <c r="E1224" t="s">
        <v>3467</v>
      </c>
      <c r="F1224" t="s">
        <v>931</v>
      </c>
      <c r="G1224" t="s">
        <v>136</v>
      </c>
      <c r="H1224" t="s">
        <v>152</v>
      </c>
      <c r="I1224" t="s">
        <v>156</v>
      </c>
      <c r="J1224" t="s">
        <v>26</v>
      </c>
      <c r="K1224" t="s">
        <v>157</v>
      </c>
      <c r="L1224" t="s">
        <v>1046</v>
      </c>
      <c r="M1224" t="s">
        <v>154</v>
      </c>
      <c r="N1224" t="s">
        <v>3505</v>
      </c>
      <c r="O1224">
        <v>1</v>
      </c>
      <c r="P1224" t="s">
        <v>160</v>
      </c>
      <c r="Q1224"/>
      <c r="R1224">
        <v>790</v>
      </c>
      <c r="S1224">
        <v>784.4</v>
      </c>
      <c r="T1224" t="s">
        <v>493</v>
      </c>
      <c r="U1224" t="s">
        <v>493</v>
      </c>
      <c r="V1224" t="s">
        <v>67</v>
      </c>
      <c r="W1224" t="s">
        <v>1082</v>
      </c>
      <c r="X1224" t="s">
        <v>27</v>
      </c>
      <c r="Y1224" t="s">
        <v>935</v>
      </c>
      <c r="Z1224"/>
      <c r="AA1224" t="s">
        <v>494</v>
      </c>
      <c r="AB1224"/>
      <c r="AC1224" t="s">
        <v>139</v>
      </c>
      <c r="AD1224" t="s">
        <v>3506</v>
      </c>
      <c r="AE1224"/>
      <c r="AF1224" t="s">
        <v>493</v>
      </c>
      <c r="AG1224" t="s">
        <v>156</v>
      </c>
      <c r="AH1224" t="s">
        <v>3470</v>
      </c>
      <c r="AI1224" t="s">
        <v>493</v>
      </c>
      <c r="AJ1224"/>
      <c r="AK1224" t="s">
        <v>3507</v>
      </c>
    </row>
    <row r="1225" spans="1:37">
      <c r="A1225" t="s">
        <v>23</v>
      </c>
      <c r="B1225" t="s">
        <v>24</v>
      </c>
      <c r="C1225" t="s">
        <v>1379</v>
      </c>
      <c r="D1225" t="s">
        <v>135</v>
      </c>
      <c r="E1225" t="s">
        <v>3467</v>
      </c>
      <c r="F1225" t="s">
        <v>931</v>
      </c>
      <c r="G1225" t="s">
        <v>136</v>
      </c>
      <c r="H1225" t="s">
        <v>152</v>
      </c>
      <c r="I1225" t="s">
        <v>156</v>
      </c>
      <c r="J1225" t="s">
        <v>26</v>
      </c>
      <c r="K1225" t="s">
        <v>157</v>
      </c>
      <c r="L1225" t="s">
        <v>1046</v>
      </c>
      <c r="M1225" t="s">
        <v>154</v>
      </c>
      <c r="N1225" t="s">
        <v>3508</v>
      </c>
      <c r="O1225">
        <v>1</v>
      </c>
      <c r="P1225" t="s">
        <v>160</v>
      </c>
      <c r="Q1225"/>
      <c r="R1225">
        <v>790</v>
      </c>
      <c r="S1225">
        <v>784.4</v>
      </c>
      <c r="T1225" t="s">
        <v>493</v>
      </c>
      <c r="U1225" t="s">
        <v>493</v>
      </c>
      <c r="V1225" t="s">
        <v>67</v>
      </c>
      <c r="W1225" t="s">
        <v>1082</v>
      </c>
      <c r="X1225" t="s">
        <v>27</v>
      </c>
      <c r="Y1225" t="s">
        <v>935</v>
      </c>
      <c r="Z1225"/>
      <c r="AA1225" t="s">
        <v>494</v>
      </c>
      <c r="AB1225"/>
      <c r="AC1225" t="s">
        <v>139</v>
      </c>
      <c r="AD1225" t="s">
        <v>3509</v>
      </c>
      <c r="AE1225"/>
      <c r="AF1225" t="s">
        <v>493</v>
      </c>
      <c r="AG1225" t="s">
        <v>156</v>
      </c>
      <c r="AH1225" t="s">
        <v>3470</v>
      </c>
      <c r="AI1225" t="s">
        <v>493</v>
      </c>
      <c r="AJ1225"/>
      <c r="AK1225" t="s">
        <v>3510</v>
      </c>
    </row>
    <row r="1226" spans="1:37">
      <c r="A1226" t="s">
        <v>23</v>
      </c>
      <c r="B1226" t="s">
        <v>24</v>
      </c>
      <c r="C1226" t="s">
        <v>1379</v>
      </c>
      <c r="D1226" t="s">
        <v>135</v>
      </c>
      <c r="E1226" t="s">
        <v>3467</v>
      </c>
      <c r="F1226" t="s">
        <v>931</v>
      </c>
      <c r="G1226" t="s">
        <v>136</v>
      </c>
      <c r="H1226" t="s">
        <v>152</v>
      </c>
      <c r="I1226" t="s">
        <v>156</v>
      </c>
      <c r="J1226" t="s">
        <v>26</v>
      </c>
      <c r="K1226" t="s">
        <v>157</v>
      </c>
      <c r="L1226" t="s">
        <v>1046</v>
      </c>
      <c r="M1226" t="s">
        <v>154</v>
      </c>
      <c r="N1226" t="s">
        <v>3511</v>
      </c>
      <c r="O1226">
        <v>1</v>
      </c>
      <c r="P1226" t="s">
        <v>160</v>
      </c>
      <c r="Q1226"/>
      <c r="R1226">
        <v>789</v>
      </c>
      <c r="S1226">
        <v>784.4</v>
      </c>
      <c r="T1226" t="s">
        <v>493</v>
      </c>
      <c r="U1226" t="s">
        <v>493</v>
      </c>
      <c r="V1226" t="s">
        <v>67</v>
      </c>
      <c r="W1226" t="s">
        <v>1082</v>
      </c>
      <c r="X1226" t="s">
        <v>27</v>
      </c>
      <c r="Y1226" t="s">
        <v>935</v>
      </c>
      <c r="Z1226"/>
      <c r="AA1226" t="s">
        <v>494</v>
      </c>
      <c r="AB1226"/>
      <c r="AC1226" t="s">
        <v>139</v>
      </c>
      <c r="AD1226" t="s">
        <v>3512</v>
      </c>
      <c r="AE1226"/>
      <c r="AF1226" t="s">
        <v>493</v>
      </c>
      <c r="AG1226" t="s">
        <v>156</v>
      </c>
      <c r="AH1226" t="s">
        <v>3470</v>
      </c>
      <c r="AI1226" t="s">
        <v>493</v>
      </c>
      <c r="AJ1226"/>
      <c r="AK1226" t="s">
        <v>3513</v>
      </c>
    </row>
    <row r="1227" spans="1:37">
      <c r="A1227" t="s">
        <v>23</v>
      </c>
      <c r="B1227" t="s">
        <v>24</v>
      </c>
      <c r="C1227" t="s">
        <v>1379</v>
      </c>
      <c r="D1227" t="s">
        <v>135</v>
      </c>
      <c r="E1227" t="s">
        <v>3467</v>
      </c>
      <c r="F1227" t="s">
        <v>931</v>
      </c>
      <c r="G1227" t="s">
        <v>136</v>
      </c>
      <c r="H1227" t="s">
        <v>152</v>
      </c>
      <c r="I1227" t="s">
        <v>156</v>
      </c>
      <c r="J1227" t="s">
        <v>26</v>
      </c>
      <c r="K1227" t="s">
        <v>157</v>
      </c>
      <c r="L1227" t="s">
        <v>1046</v>
      </c>
      <c r="M1227" t="s">
        <v>154</v>
      </c>
      <c r="N1227" t="s">
        <v>3514</v>
      </c>
      <c r="O1227">
        <v>1</v>
      </c>
      <c r="P1227" t="s">
        <v>160</v>
      </c>
      <c r="Q1227"/>
      <c r="R1227">
        <v>790</v>
      </c>
      <c r="S1227">
        <v>784.4</v>
      </c>
      <c r="T1227" t="s">
        <v>493</v>
      </c>
      <c r="U1227" t="s">
        <v>493</v>
      </c>
      <c r="V1227" t="s">
        <v>67</v>
      </c>
      <c r="W1227" t="s">
        <v>1082</v>
      </c>
      <c r="X1227" t="s">
        <v>27</v>
      </c>
      <c r="Y1227" t="s">
        <v>935</v>
      </c>
      <c r="Z1227"/>
      <c r="AA1227" t="s">
        <v>494</v>
      </c>
      <c r="AB1227"/>
      <c r="AC1227" t="s">
        <v>139</v>
      </c>
      <c r="AD1227" t="s">
        <v>3515</v>
      </c>
      <c r="AE1227"/>
      <c r="AF1227" t="s">
        <v>493</v>
      </c>
      <c r="AG1227" t="s">
        <v>156</v>
      </c>
      <c r="AH1227" t="s">
        <v>3470</v>
      </c>
      <c r="AI1227" t="s">
        <v>493</v>
      </c>
      <c r="AJ1227"/>
      <c r="AK1227" t="s">
        <v>3516</v>
      </c>
    </row>
    <row r="1228" spans="1:37">
      <c r="A1228" t="s">
        <v>23</v>
      </c>
      <c r="B1228" t="s">
        <v>24</v>
      </c>
      <c r="C1228" t="s">
        <v>934</v>
      </c>
      <c r="D1228" t="s">
        <v>135</v>
      </c>
      <c r="E1228" t="s">
        <v>3428</v>
      </c>
      <c r="F1228" t="s">
        <v>1906</v>
      </c>
      <c r="G1228" t="s">
        <v>136</v>
      </c>
      <c r="H1228" t="s">
        <v>146</v>
      </c>
      <c r="I1228" t="s">
        <v>71</v>
      </c>
      <c r="J1228" t="s">
        <v>72</v>
      </c>
      <c r="K1228" t="s">
        <v>65</v>
      </c>
      <c r="L1228" t="s">
        <v>3517</v>
      </c>
      <c r="M1228" t="s">
        <v>137</v>
      </c>
      <c r="N1228" t="s">
        <v>3518</v>
      </c>
      <c r="O1228">
        <v>1152</v>
      </c>
      <c r="P1228" t="s">
        <v>35</v>
      </c>
      <c r="Q1228"/>
      <c r="R1228">
        <v>1155</v>
      </c>
      <c r="S1228">
        <v>1152</v>
      </c>
      <c r="T1228" t="s">
        <v>493</v>
      </c>
      <c r="U1228" t="s">
        <v>493</v>
      </c>
      <c r="V1228" t="s">
        <v>67</v>
      </c>
      <c r="W1228" t="s">
        <v>1082</v>
      </c>
      <c r="X1228" t="s">
        <v>27</v>
      </c>
      <c r="Y1228" t="s">
        <v>935</v>
      </c>
      <c r="Z1228"/>
      <c r="AA1228" t="s">
        <v>494</v>
      </c>
      <c r="AB1228"/>
      <c r="AC1228" t="s">
        <v>139</v>
      </c>
      <c r="AD1228" t="s">
        <v>3519</v>
      </c>
      <c r="AE1228"/>
      <c r="AF1228" t="s">
        <v>493</v>
      </c>
      <c r="AG1228" t="s">
        <v>71</v>
      </c>
      <c r="AH1228" t="s">
        <v>3520</v>
      </c>
      <c r="AI1228" t="s">
        <v>493</v>
      </c>
      <c r="AJ1228"/>
      <c r="AK1228"/>
    </row>
    <row r="1229" spans="1:37">
      <c r="A1229" t="s">
        <v>23</v>
      </c>
      <c r="B1229" t="s">
        <v>24</v>
      </c>
      <c r="C1229" t="s">
        <v>929</v>
      </c>
      <c r="D1229" t="s">
        <v>135</v>
      </c>
      <c r="E1229" t="s">
        <v>1905</v>
      </c>
      <c r="F1229" t="s">
        <v>1906</v>
      </c>
      <c r="G1229" t="s">
        <v>136</v>
      </c>
      <c r="H1229" t="s">
        <v>493</v>
      </c>
      <c r="I1229" t="s">
        <v>932</v>
      </c>
      <c r="J1229" t="s">
        <v>933</v>
      </c>
      <c r="K1229" t="s">
        <v>65</v>
      </c>
      <c r="L1229" t="s">
        <v>3517</v>
      </c>
      <c r="M1229" t="s">
        <v>137</v>
      </c>
      <c r="N1229" t="s">
        <v>3521</v>
      </c>
      <c r="O1229">
        <v>46</v>
      </c>
      <c r="P1229" t="s">
        <v>35</v>
      </c>
      <c r="Q1229"/>
      <c r="R1229">
        <v>46</v>
      </c>
      <c r="S1229">
        <v>46</v>
      </c>
      <c r="T1229" t="s">
        <v>493</v>
      </c>
      <c r="U1229" t="s">
        <v>493</v>
      </c>
      <c r="V1229" t="s">
        <v>27</v>
      </c>
      <c r="W1229" t="s">
        <v>66</v>
      </c>
      <c r="X1229" t="s">
        <v>67</v>
      </c>
      <c r="Y1229" t="s">
        <v>69</v>
      </c>
      <c r="Z1229"/>
      <c r="AA1229" t="s">
        <v>494</v>
      </c>
      <c r="AB1229"/>
      <c r="AC1229" t="s">
        <v>139</v>
      </c>
      <c r="AD1229" t="s">
        <v>3519</v>
      </c>
      <c r="AE1229"/>
      <c r="AF1229" t="s">
        <v>70</v>
      </c>
      <c r="AG1229" t="s">
        <v>493</v>
      </c>
      <c r="AH1229" t="s">
        <v>68</v>
      </c>
      <c r="AI1229" t="s">
        <v>493</v>
      </c>
      <c r="AJ1229"/>
      <c r="AK1229"/>
    </row>
    <row r="1230" spans="1:37">
      <c r="A1230" t="s">
        <v>23</v>
      </c>
      <c r="B1230" t="s">
        <v>24</v>
      </c>
      <c r="C1230" t="s">
        <v>934</v>
      </c>
      <c r="D1230" t="s">
        <v>135</v>
      </c>
      <c r="E1230" t="s">
        <v>3428</v>
      </c>
      <c r="F1230" t="s">
        <v>1906</v>
      </c>
      <c r="G1230" t="s">
        <v>136</v>
      </c>
      <c r="H1230" t="s">
        <v>146</v>
      </c>
      <c r="I1230" t="s">
        <v>71</v>
      </c>
      <c r="J1230" t="s">
        <v>72</v>
      </c>
      <c r="K1230" t="s">
        <v>65</v>
      </c>
      <c r="L1230" t="s">
        <v>3517</v>
      </c>
      <c r="M1230" t="s">
        <v>137</v>
      </c>
      <c r="N1230" t="s">
        <v>3522</v>
      </c>
      <c r="O1230">
        <v>1155</v>
      </c>
      <c r="P1230" t="s">
        <v>35</v>
      </c>
      <c r="Q1230"/>
      <c r="R1230">
        <v>1158</v>
      </c>
      <c r="S1230">
        <v>1155</v>
      </c>
      <c r="T1230" t="s">
        <v>493</v>
      </c>
      <c r="U1230" t="s">
        <v>493</v>
      </c>
      <c r="V1230" t="s">
        <v>67</v>
      </c>
      <c r="W1230" t="s">
        <v>1082</v>
      </c>
      <c r="X1230" t="s">
        <v>27</v>
      </c>
      <c r="Y1230" t="s">
        <v>935</v>
      </c>
      <c r="Z1230"/>
      <c r="AA1230" t="s">
        <v>494</v>
      </c>
      <c r="AB1230"/>
      <c r="AC1230" t="s">
        <v>139</v>
      </c>
      <c r="AD1230" t="s">
        <v>3523</v>
      </c>
      <c r="AE1230"/>
      <c r="AF1230" t="s">
        <v>493</v>
      </c>
      <c r="AG1230" t="s">
        <v>71</v>
      </c>
      <c r="AH1230" t="s">
        <v>3520</v>
      </c>
      <c r="AI1230" t="s">
        <v>493</v>
      </c>
      <c r="AJ1230"/>
      <c r="AK1230"/>
    </row>
    <row r="1231" spans="1:37">
      <c r="A1231" t="s">
        <v>23</v>
      </c>
      <c r="B1231" t="s">
        <v>24</v>
      </c>
      <c r="C1231" t="s">
        <v>929</v>
      </c>
      <c r="D1231" t="s">
        <v>135</v>
      </c>
      <c r="E1231" t="s">
        <v>1905</v>
      </c>
      <c r="F1231" t="s">
        <v>1906</v>
      </c>
      <c r="G1231" t="s">
        <v>136</v>
      </c>
      <c r="H1231" t="s">
        <v>493</v>
      </c>
      <c r="I1231" t="s">
        <v>932</v>
      </c>
      <c r="J1231" t="s">
        <v>933</v>
      </c>
      <c r="K1231" t="s">
        <v>65</v>
      </c>
      <c r="L1231" t="s">
        <v>3517</v>
      </c>
      <c r="M1231" t="s">
        <v>137</v>
      </c>
      <c r="N1231" t="s">
        <v>3524</v>
      </c>
      <c r="O1231">
        <v>43</v>
      </c>
      <c r="P1231" t="s">
        <v>35</v>
      </c>
      <c r="Q1231"/>
      <c r="R1231">
        <v>43</v>
      </c>
      <c r="S1231">
        <v>43</v>
      </c>
      <c r="T1231" t="s">
        <v>493</v>
      </c>
      <c r="U1231" t="s">
        <v>493</v>
      </c>
      <c r="V1231" t="s">
        <v>27</v>
      </c>
      <c r="W1231" t="s">
        <v>66</v>
      </c>
      <c r="X1231" t="s">
        <v>67</v>
      </c>
      <c r="Y1231" t="s">
        <v>69</v>
      </c>
      <c r="Z1231"/>
      <c r="AA1231" t="s">
        <v>494</v>
      </c>
      <c r="AB1231"/>
      <c r="AC1231" t="s">
        <v>139</v>
      </c>
      <c r="AD1231" t="s">
        <v>3523</v>
      </c>
      <c r="AE1231"/>
      <c r="AF1231" t="s">
        <v>70</v>
      </c>
      <c r="AG1231" t="s">
        <v>493</v>
      </c>
      <c r="AH1231" t="s">
        <v>68</v>
      </c>
      <c r="AI1231" t="s">
        <v>493</v>
      </c>
      <c r="AJ1231"/>
      <c r="AK1231"/>
    </row>
    <row r="1232" spans="1:37">
      <c r="A1232" t="s">
        <v>23</v>
      </c>
      <c r="B1232" t="s">
        <v>24</v>
      </c>
      <c r="C1232" t="s">
        <v>1379</v>
      </c>
      <c r="D1232" t="s">
        <v>135</v>
      </c>
      <c r="E1232" t="s">
        <v>3467</v>
      </c>
      <c r="F1232" t="s">
        <v>931</v>
      </c>
      <c r="G1232" t="s">
        <v>136</v>
      </c>
      <c r="H1232" t="s">
        <v>152</v>
      </c>
      <c r="I1232" t="s">
        <v>156</v>
      </c>
      <c r="J1232" t="s">
        <v>26</v>
      </c>
      <c r="K1232" t="s">
        <v>157</v>
      </c>
      <c r="L1232" t="s">
        <v>1046</v>
      </c>
      <c r="M1232" t="s">
        <v>154</v>
      </c>
      <c r="N1232" t="s">
        <v>3525</v>
      </c>
      <c r="O1232">
        <v>1</v>
      </c>
      <c r="P1232" t="s">
        <v>160</v>
      </c>
      <c r="Q1232"/>
      <c r="R1232">
        <v>792</v>
      </c>
      <c r="S1232">
        <v>784.4</v>
      </c>
      <c r="T1232" t="s">
        <v>493</v>
      </c>
      <c r="U1232" t="s">
        <v>493</v>
      </c>
      <c r="V1232" t="s">
        <v>67</v>
      </c>
      <c r="W1232" t="s">
        <v>1082</v>
      </c>
      <c r="X1232" t="s">
        <v>27</v>
      </c>
      <c r="Y1232" t="s">
        <v>935</v>
      </c>
      <c r="Z1232"/>
      <c r="AA1232" t="s">
        <v>494</v>
      </c>
      <c r="AB1232"/>
      <c r="AC1232" t="s">
        <v>139</v>
      </c>
      <c r="AD1232" t="s">
        <v>3526</v>
      </c>
      <c r="AE1232"/>
      <c r="AF1232" t="s">
        <v>493</v>
      </c>
      <c r="AG1232" t="s">
        <v>156</v>
      </c>
      <c r="AH1232" t="s">
        <v>3470</v>
      </c>
      <c r="AI1232" t="s">
        <v>493</v>
      </c>
      <c r="AJ1232"/>
      <c r="AK1232" t="s">
        <v>3527</v>
      </c>
    </row>
    <row r="1233" spans="1:37">
      <c r="A1233" t="s">
        <v>23</v>
      </c>
      <c r="B1233" t="s">
        <v>24</v>
      </c>
      <c r="C1233" t="s">
        <v>934</v>
      </c>
      <c r="D1233" t="s">
        <v>135</v>
      </c>
      <c r="E1233" t="s">
        <v>2518</v>
      </c>
      <c r="F1233" t="s">
        <v>931</v>
      </c>
      <c r="G1233" t="s">
        <v>136</v>
      </c>
      <c r="H1233" t="s">
        <v>152</v>
      </c>
      <c r="I1233" t="s">
        <v>71</v>
      </c>
      <c r="J1233" t="s">
        <v>72</v>
      </c>
      <c r="K1233" t="s">
        <v>65</v>
      </c>
      <c r="L1233" t="s">
        <v>1046</v>
      </c>
      <c r="M1233" t="s">
        <v>154</v>
      </c>
      <c r="N1233" t="s">
        <v>3528</v>
      </c>
      <c r="O1233">
        <v>126.2</v>
      </c>
      <c r="P1233" t="s">
        <v>35</v>
      </c>
      <c r="Q1233"/>
      <c r="R1233">
        <v>126.2</v>
      </c>
      <c r="S1233">
        <v>126.2</v>
      </c>
      <c r="T1233" t="s">
        <v>493</v>
      </c>
      <c r="U1233" t="s">
        <v>493</v>
      </c>
      <c r="V1233" t="s">
        <v>27</v>
      </c>
      <c r="W1233" t="s">
        <v>66</v>
      </c>
      <c r="X1233" t="s">
        <v>67</v>
      </c>
      <c r="Y1233" t="s">
        <v>69</v>
      </c>
      <c r="Z1233"/>
      <c r="AA1233" t="s">
        <v>494</v>
      </c>
      <c r="AB1233"/>
      <c r="AC1233" t="s">
        <v>139</v>
      </c>
      <c r="AD1233" t="s">
        <v>3526</v>
      </c>
      <c r="AE1233"/>
      <c r="AF1233" t="s">
        <v>70</v>
      </c>
      <c r="AG1233" t="s">
        <v>71</v>
      </c>
      <c r="AH1233" t="s">
        <v>68</v>
      </c>
      <c r="AI1233" t="s">
        <v>493</v>
      </c>
      <c r="AJ1233"/>
      <c r="AK1233"/>
    </row>
    <row r="1234" spans="1:37">
      <c r="A1234" t="s">
        <v>23</v>
      </c>
      <c r="B1234" t="s">
        <v>24</v>
      </c>
      <c r="C1234" t="s">
        <v>1379</v>
      </c>
      <c r="D1234" t="s">
        <v>135</v>
      </c>
      <c r="E1234" t="s">
        <v>3467</v>
      </c>
      <c r="F1234" t="s">
        <v>931</v>
      </c>
      <c r="G1234" t="s">
        <v>136</v>
      </c>
      <c r="H1234" t="s">
        <v>152</v>
      </c>
      <c r="I1234" t="s">
        <v>156</v>
      </c>
      <c r="J1234" t="s">
        <v>26</v>
      </c>
      <c r="K1234" t="s">
        <v>157</v>
      </c>
      <c r="L1234" t="s">
        <v>1046</v>
      </c>
      <c r="M1234" t="s">
        <v>154</v>
      </c>
      <c r="N1234" t="s">
        <v>3529</v>
      </c>
      <c r="O1234">
        <v>1</v>
      </c>
      <c r="P1234" t="s">
        <v>160</v>
      </c>
      <c r="Q1234"/>
      <c r="R1234">
        <v>792</v>
      </c>
      <c r="S1234">
        <v>784.4</v>
      </c>
      <c r="T1234" t="s">
        <v>493</v>
      </c>
      <c r="U1234" t="s">
        <v>493</v>
      </c>
      <c r="V1234" t="s">
        <v>67</v>
      </c>
      <c r="W1234" t="s">
        <v>1082</v>
      </c>
      <c r="X1234" t="s">
        <v>27</v>
      </c>
      <c r="Y1234" t="s">
        <v>935</v>
      </c>
      <c r="Z1234"/>
      <c r="AA1234" t="s">
        <v>494</v>
      </c>
      <c r="AB1234"/>
      <c r="AC1234" t="s">
        <v>139</v>
      </c>
      <c r="AD1234" t="s">
        <v>3530</v>
      </c>
      <c r="AE1234"/>
      <c r="AF1234" t="s">
        <v>493</v>
      </c>
      <c r="AG1234" t="s">
        <v>156</v>
      </c>
      <c r="AH1234" t="s">
        <v>3470</v>
      </c>
      <c r="AI1234" t="s">
        <v>493</v>
      </c>
      <c r="AJ1234"/>
      <c r="AK1234" t="s">
        <v>3531</v>
      </c>
    </row>
    <row r="1235" spans="1:37">
      <c r="A1235" t="s">
        <v>23</v>
      </c>
      <c r="B1235" t="s">
        <v>24</v>
      </c>
      <c r="C1235" t="s">
        <v>934</v>
      </c>
      <c r="D1235" t="s">
        <v>135</v>
      </c>
      <c r="E1235" t="s">
        <v>3428</v>
      </c>
      <c r="F1235" t="s">
        <v>1906</v>
      </c>
      <c r="G1235" t="s">
        <v>136</v>
      </c>
      <c r="H1235" t="s">
        <v>146</v>
      </c>
      <c r="I1235" t="s">
        <v>71</v>
      </c>
      <c r="J1235" t="s">
        <v>72</v>
      </c>
      <c r="K1235" t="s">
        <v>65</v>
      </c>
      <c r="L1235" t="s">
        <v>3517</v>
      </c>
      <c r="M1235" t="s">
        <v>137</v>
      </c>
      <c r="N1235" t="s">
        <v>3532</v>
      </c>
      <c r="O1235">
        <v>1150</v>
      </c>
      <c r="P1235" t="s">
        <v>35</v>
      </c>
      <c r="Q1235"/>
      <c r="R1235">
        <v>1153</v>
      </c>
      <c r="S1235">
        <v>1150</v>
      </c>
      <c r="T1235" t="s">
        <v>493</v>
      </c>
      <c r="U1235" t="s">
        <v>493</v>
      </c>
      <c r="V1235" t="s">
        <v>67</v>
      </c>
      <c r="W1235" t="s">
        <v>1082</v>
      </c>
      <c r="X1235" t="s">
        <v>27</v>
      </c>
      <c r="Y1235" t="s">
        <v>935</v>
      </c>
      <c r="Z1235"/>
      <c r="AA1235" t="s">
        <v>494</v>
      </c>
      <c r="AB1235"/>
      <c r="AC1235" t="s">
        <v>139</v>
      </c>
      <c r="AD1235" t="s">
        <v>3533</v>
      </c>
      <c r="AE1235"/>
      <c r="AF1235" t="s">
        <v>493</v>
      </c>
      <c r="AG1235" t="s">
        <v>71</v>
      </c>
      <c r="AH1235" t="s">
        <v>3520</v>
      </c>
      <c r="AI1235" t="s">
        <v>493</v>
      </c>
      <c r="AJ1235"/>
      <c r="AK1235"/>
    </row>
    <row r="1236" spans="1:37">
      <c r="A1236" t="s">
        <v>23</v>
      </c>
      <c r="B1236" t="s">
        <v>24</v>
      </c>
      <c r="C1236" t="s">
        <v>929</v>
      </c>
      <c r="D1236" t="s">
        <v>135</v>
      </c>
      <c r="E1236" t="s">
        <v>1905</v>
      </c>
      <c r="F1236" t="s">
        <v>1906</v>
      </c>
      <c r="G1236" t="s">
        <v>136</v>
      </c>
      <c r="H1236" t="s">
        <v>493</v>
      </c>
      <c r="I1236" t="s">
        <v>932</v>
      </c>
      <c r="J1236" t="s">
        <v>933</v>
      </c>
      <c r="K1236" t="s">
        <v>65</v>
      </c>
      <c r="L1236" t="s">
        <v>3517</v>
      </c>
      <c r="M1236" t="s">
        <v>137</v>
      </c>
      <c r="N1236" t="s">
        <v>3534</v>
      </c>
      <c r="O1236">
        <v>48</v>
      </c>
      <c r="P1236" t="s">
        <v>35</v>
      </c>
      <c r="Q1236"/>
      <c r="R1236">
        <v>48</v>
      </c>
      <c r="S1236">
        <v>48</v>
      </c>
      <c r="T1236" t="s">
        <v>493</v>
      </c>
      <c r="U1236" t="s">
        <v>493</v>
      </c>
      <c r="V1236" t="s">
        <v>27</v>
      </c>
      <c r="W1236" t="s">
        <v>66</v>
      </c>
      <c r="X1236" t="s">
        <v>67</v>
      </c>
      <c r="Y1236" t="s">
        <v>69</v>
      </c>
      <c r="Z1236"/>
      <c r="AA1236" t="s">
        <v>494</v>
      </c>
      <c r="AB1236"/>
      <c r="AC1236" t="s">
        <v>139</v>
      </c>
      <c r="AD1236" t="s">
        <v>3533</v>
      </c>
      <c r="AE1236"/>
      <c r="AF1236" t="s">
        <v>70</v>
      </c>
      <c r="AG1236" t="s">
        <v>493</v>
      </c>
      <c r="AH1236" t="s">
        <v>68</v>
      </c>
      <c r="AI1236" t="s">
        <v>493</v>
      </c>
      <c r="AJ1236"/>
      <c r="AK1236"/>
    </row>
    <row r="1237" spans="1:37">
      <c r="A1237" t="s">
        <v>23</v>
      </c>
      <c r="B1237" t="s">
        <v>24</v>
      </c>
      <c r="C1237" t="s">
        <v>1379</v>
      </c>
      <c r="D1237" t="s">
        <v>135</v>
      </c>
      <c r="E1237" t="s">
        <v>3467</v>
      </c>
      <c r="F1237" t="s">
        <v>931</v>
      </c>
      <c r="G1237" t="s">
        <v>136</v>
      </c>
      <c r="H1237" t="s">
        <v>152</v>
      </c>
      <c r="I1237" t="s">
        <v>156</v>
      </c>
      <c r="J1237" t="s">
        <v>26</v>
      </c>
      <c r="K1237" t="s">
        <v>157</v>
      </c>
      <c r="L1237" t="s">
        <v>1046</v>
      </c>
      <c r="M1237" t="s">
        <v>154</v>
      </c>
      <c r="N1237" t="s">
        <v>3535</v>
      </c>
      <c r="O1237">
        <v>1</v>
      </c>
      <c r="P1237" t="s">
        <v>160</v>
      </c>
      <c r="Q1237"/>
      <c r="R1237">
        <v>790</v>
      </c>
      <c r="S1237">
        <v>784.4</v>
      </c>
      <c r="T1237" t="s">
        <v>493</v>
      </c>
      <c r="U1237" t="s">
        <v>493</v>
      </c>
      <c r="V1237" t="s">
        <v>67</v>
      </c>
      <c r="W1237" t="s">
        <v>1082</v>
      </c>
      <c r="X1237" t="s">
        <v>27</v>
      </c>
      <c r="Y1237" t="s">
        <v>935</v>
      </c>
      <c r="Z1237"/>
      <c r="AA1237" t="s">
        <v>494</v>
      </c>
      <c r="AB1237"/>
      <c r="AC1237" t="s">
        <v>139</v>
      </c>
      <c r="AD1237" t="s">
        <v>3536</v>
      </c>
      <c r="AE1237"/>
      <c r="AF1237" t="s">
        <v>493</v>
      </c>
      <c r="AG1237" t="s">
        <v>156</v>
      </c>
      <c r="AH1237" t="s">
        <v>3470</v>
      </c>
      <c r="AI1237" t="s">
        <v>493</v>
      </c>
      <c r="AJ1237"/>
      <c r="AK1237" t="s">
        <v>3537</v>
      </c>
    </row>
    <row r="1238" spans="1:37">
      <c r="A1238" t="s">
        <v>23</v>
      </c>
      <c r="B1238" t="s">
        <v>24</v>
      </c>
      <c r="C1238" t="s">
        <v>1379</v>
      </c>
      <c r="D1238" t="s">
        <v>135</v>
      </c>
      <c r="E1238" t="s">
        <v>3467</v>
      </c>
      <c r="F1238" t="s">
        <v>931</v>
      </c>
      <c r="G1238" t="s">
        <v>136</v>
      </c>
      <c r="H1238" t="s">
        <v>152</v>
      </c>
      <c r="I1238" t="s">
        <v>156</v>
      </c>
      <c r="J1238" t="s">
        <v>26</v>
      </c>
      <c r="K1238" t="s">
        <v>157</v>
      </c>
      <c r="L1238" t="s">
        <v>1046</v>
      </c>
      <c r="M1238" t="s">
        <v>154</v>
      </c>
      <c r="N1238" t="s">
        <v>3538</v>
      </c>
      <c r="O1238">
        <v>1</v>
      </c>
      <c r="P1238" t="s">
        <v>160</v>
      </c>
      <c r="Q1238"/>
      <c r="R1238">
        <v>793</v>
      </c>
      <c r="S1238">
        <v>784.4</v>
      </c>
      <c r="T1238" t="s">
        <v>493</v>
      </c>
      <c r="U1238" t="s">
        <v>493</v>
      </c>
      <c r="V1238" t="s">
        <v>67</v>
      </c>
      <c r="W1238" t="s">
        <v>1082</v>
      </c>
      <c r="X1238" t="s">
        <v>27</v>
      </c>
      <c r="Y1238" t="s">
        <v>935</v>
      </c>
      <c r="Z1238"/>
      <c r="AA1238" t="s">
        <v>494</v>
      </c>
      <c r="AB1238"/>
      <c r="AC1238" t="s">
        <v>139</v>
      </c>
      <c r="AD1238" t="s">
        <v>3539</v>
      </c>
      <c r="AE1238"/>
      <c r="AF1238" t="s">
        <v>493</v>
      </c>
      <c r="AG1238" t="s">
        <v>156</v>
      </c>
      <c r="AH1238" t="s">
        <v>3470</v>
      </c>
      <c r="AI1238" t="s">
        <v>493</v>
      </c>
      <c r="AJ1238"/>
      <c r="AK1238" t="s">
        <v>3540</v>
      </c>
    </row>
    <row r="1239" spans="1:37">
      <c r="A1239" t="s">
        <v>23</v>
      </c>
      <c r="B1239" t="s">
        <v>24</v>
      </c>
      <c r="C1239" t="s">
        <v>934</v>
      </c>
      <c r="D1239" t="s">
        <v>135</v>
      </c>
      <c r="E1239" t="s">
        <v>2518</v>
      </c>
      <c r="F1239" t="s">
        <v>931</v>
      </c>
      <c r="G1239" t="s">
        <v>136</v>
      </c>
      <c r="H1239" t="s">
        <v>152</v>
      </c>
      <c r="I1239" t="s">
        <v>71</v>
      </c>
      <c r="J1239" t="s">
        <v>72</v>
      </c>
      <c r="K1239" t="s">
        <v>65</v>
      </c>
      <c r="L1239" t="s">
        <v>1046</v>
      </c>
      <c r="M1239" t="s">
        <v>154</v>
      </c>
      <c r="N1239" t="s">
        <v>3541</v>
      </c>
      <c r="O1239">
        <v>313.39999999999998</v>
      </c>
      <c r="P1239" t="s">
        <v>35</v>
      </c>
      <c r="Q1239"/>
      <c r="R1239">
        <v>313.39999999999998</v>
      </c>
      <c r="S1239">
        <v>313.39999999999998</v>
      </c>
      <c r="T1239" t="s">
        <v>493</v>
      </c>
      <c r="U1239" t="s">
        <v>493</v>
      </c>
      <c r="V1239" t="s">
        <v>27</v>
      </c>
      <c r="W1239" t="s">
        <v>66</v>
      </c>
      <c r="X1239" t="s">
        <v>67</v>
      </c>
      <c r="Y1239" t="s">
        <v>69</v>
      </c>
      <c r="Z1239"/>
      <c r="AA1239" t="s">
        <v>494</v>
      </c>
      <c r="AB1239"/>
      <c r="AC1239" t="s">
        <v>139</v>
      </c>
      <c r="AD1239" t="s">
        <v>3539</v>
      </c>
      <c r="AE1239"/>
      <c r="AF1239" t="s">
        <v>70</v>
      </c>
      <c r="AG1239" t="s">
        <v>71</v>
      </c>
      <c r="AH1239" t="s">
        <v>68</v>
      </c>
      <c r="AI1239" t="s">
        <v>493</v>
      </c>
      <c r="AJ1239"/>
      <c r="AK1239"/>
    </row>
    <row r="1240" spans="1:37">
      <c r="A1240" t="s">
        <v>23</v>
      </c>
      <c r="B1240" t="s">
        <v>24</v>
      </c>
      <c r="C1240" t="s">
        <v>934</v>
      </c>
      <c r="D1240" t="s">
        <v>135</v>
      </c>
      <c r="E1240" t="s">
        <v>3428</v>
      </c>
      <c r="F1240" t="s">
        <v>1906</v>
      </c>
      <c r="G1240" t="s">
        <v>136</v>
      </c>
      <c r="H1240" t="s">
        <v>146</v>
      </c>
      <c r="I1240" t="s">
        <v>71</v>
      </c>
      <c r="J1240" t="s">
        <v>72</v>
      </c>
      <c r="K1240" t="s">
        <v>65</v>
      </c>
      <c r="L1240" t="s">
        <v>3517</v>
      </c>
      <c r="M1240" t="s">
        <v>137</v>
      </c>
      <c r="N1240" t="s">
        <v>3542</v>
      </c>
      <c r="O1240">
        <v>1152</v>
      </c>
      <c r="P1240" t="s">
        <v>35</v>
      </c>
      <c r="Q1240"/>
      <c r="R1240">
        <v>1155</v>
      </c>
      <c r="S1240">
        <v>1152</v>
      </c>
      <c r="T1240" t="s">
        <v>493</v>
      </c>
      <c r="U1240" t="s">
        <v>493</v>
      </c>
      <c r="V1240" t="s">
        <v>67</v>
      </c>
      <c r="W1240" t="s">
        <v>1082</v>
      </c>
      <c r="X1240" t="s">
        <v>27</v>
      </c>
      <c r="Y1240" t="s">
        <v>935</v>
      </c>
      <c r="Z1240"/>
      <c r="AA1240" t="s">
        <v>494</v>
      </c>
      <c r="AB1240"/>
      <c r="AC1240" t="s">
        <v>139</v>
      </c>
      <c r="AD1240" t="s">
        <v>3543</v>
      </c>
      <c r="AE1240"/>
      <c r="AF1240" t="s">
        <v>493</v>
      </c>
      <c r="AG1240" t="s">
        <v>71</v>
      </c>
      <c r="AH1240" t="s">
        <v>3520</v>
      </c>
      <c r="AI1240" t="s">
        <v>493</v>
      </c>
      <c r="AJ1240"/>
      <c r="AK1240"/>
    </row>
    <row r="1241" spans="1:37">
      <c r="A1241" t="s">
        <v>23</v>
      </c>
      <c r="B1241" t="s">
        <v>24</v>
      </c>
      <c r="C1241" t="s">
        <v>929</v>
      </c>
      <c r="D1241" t="s">
        <v>135</v>
      </c>
      <c r="E1241" t="s">
        <v>1905</v>
      </c>
      <c r="F1241" t="s">
        <v>1906</v>
      </c>
      <c r="G1241" t="s">
        <v>136</v>
      </c>
      <c r="H1241" t="s">
        <v>493</v>
      </c>
      <c r="I1241" t="s">
        <v>932</v>
      </c>
      <c r="J1241" t="s">
        <v>933</v>
      </c>
      <c r="K1241" t="s">
        <v>65</v>
      </c>
      <c r="L1241" t="s">
        <v>3517</v>
      </c>
      <c r="M1241" t="s">
        <v>137</v>
      </c>
      <c r="N1241" t="s">
        <v>3544</v>
      </c>
      <c r="O1241">
        <v>46</v>
      </c>
      <c r="P1241" t="s">
        <v>35</v>
      </c>
      <c r="Q1241"/>
      <c r="R1241">
        <v>46</v>
      </c>
      <c r="S1241">
        <v>46</v>
      </c>
      <c r="T1241" t="s">
        <v>493</v>
      </c>
      <c r="U1241" t="s">
        <v>493</v>
      </c>
      <c r="V1241" t="s">
        <v>27</v>
      </c>
      <c r="W1241" t="s">
        <v>66</v>
      </c>
      <c r="X1241" t="s">
        <v>67</v>
      </c>
      <c r="Y1241" t="s">
        <v>69</v>
      </c>
      <c r="Z1241"/>
      <c r="AA1241" t="s">
        <v>494</v>
      </c>
      <c r="AB1241"/>
      <c r="AC1241" t="s">
        <v>139</v>
      </c>
      <c r="AD1241" t="s">
        <v>3543</v>
      </c>
      <c r="AE1241"/>
      <c r="AF1241" t="s">
        <v>70</v>
      </c>
      <c r="AG1241" t="s">
        <v>493</v>
      </c>
      <c r="AH1241" t="s">
        <v>68</v>
      </c>
      <c r="AI1241" t="s">
        <v>493</v>
      </c>
      <c r="AJ1241"/>
      <c r="AK1241"/>
    </row>
    <row r="1242" spans="1:37">
      <c r="A1242" t="s">
        <v>23</v>
      </c>
      <c r="B1242" t="s">
        <v>24</v>
      </c>
      <c r="C1242" t="s">
        <v>934</v>
      </c>
      <c r="D1242" t="s">
        <v>135</v>
      </c>
      <c r="E1242" t="s">
        <v>3428</v>
      </c>
      <c r="F1242" t="s">
        <v>1906</v>
      </c>
      <c r="G1242" t="s">
        <v>136</v>
      </c>
      <c r="H1242" t="s">
        <v>146</v>
      </c>
      <c r="I1242" t="s">
        <v>71</v>
      </c>
      <c r="J1242" t="s">
        <v>72</v>
      </c>
      <c r="K1242" t="s">
        <v>65</v>
      </c>
      <c r="L1242" t="s">
        <v>3517</v>
      </c>
      <c r="M1242" t="s">
        <v>137</v>
      </c>
      <c r="N1242" t="s">
        <v>3545</v>
      </c>
      <c r="O1242">
        <v>1141</v>
      </c>
      <c r="P1242" t="s">
        <v>35</v>
      </c>
      <c r="Q1242"/>
      <c r="R1242">
        <v>1144</v>
      </c>
      <c r="S1242">
        <v>1141</v>
      </c>
      <c r="T1242" t="s">
        <v>493</v>
      </c>
      <c r="U1242" t="s">
        <v>493</v>
      </c>
      <c r="V1242" t="s">
        <v>67</v>
      </c>
      <c r="W1242" t="s">
        <v>1082</v>
      </c>
      <c r="X1242" t="s">
        <v>27</v>
      </c>
      <c r="Y1242" t="s">
        <v>935</v>
      </c>
      <c r="Z1242"/>
      <c r="AA1242" t="s">
        <v>494</v>
      </c>
      <c r="AB1242"/>
      <c r="AC1242" t="s">
        <v>139</v>
      </c>
      <c r="AD1242" t="s">
        <v>3546</v>
      </c>
      <c r="AE1242"/>
      <c r="AF1242" t="s">
        <v>493</v>
      </c>
      <c r="AG1242" t="s">
        <v>71</v>
      </c>
      <c r="AH1242" t="s">
        <v>3520</v>
      </c>
      <c r="AI1242" t="s">
        <v>493</v>
      </c>
      <c r="AJ1242"/>
      <c r="AK1242"/>
    </row>
    <row r="1243" spans="1:37">
      <c r="A1243" t="s">
        <v>23</v>
      </c>
      <c r="B1243" t="s">
        <v>24</v>
      </c>
      <c r="C1243" t="s">
        <v>929</v>
      </c>
      <c r="D1243" t="s">
        <v>135</v>
      </c>
      <c r="E1243" t="s">
        <v>1905</v>
      </c>
      <c r="F1243" t="s">
        <v>1906</v>
      </c>
      <c r="G1243" t="s">
        <v>136</v>
      </c>
      <c r="H1243" t="s">
        <v>493</v>
      </c>
      <c r="I1243" t="s">
        <v>932</v>
      </c>
      <c r="J1243" t="s">
        <v>933</v>
      </c>
      <c r="K1243" t="s">
        <v>65</v>
      </c>
      <c r="L1243" t="s">
        <v>3517</v>
      </c>
      <c r="M1243" t="s">
        <v>137</v>
      </c>
      <c r="N1243" t="s">
        <v>3547</v>
      </c>
      <c r="O1243">
        <v>57</v>
      </c>
      <c r="P1243" t="s">
        <v>35</v>
      </c>
      <c r="Q1243"/>
      <c r="R1243">
        <v>57</v>
      </c>
      <c r="S1243">
        <v>57</v>
      </c>
      <c r="T1243" t="s">
        <v>493</v>
      </c>
      <c r="U1243" t="s">
        <v>493</v>
      </c>
      <c r="V1243" t="s">
        <v>27</v>
      </c>
      <c r="W1243" t="s">
        <v>66</v>
      </c>
      <c r="X1243" t="s">
        <v>67</v>
      </c>
      <c r="Y1243" t="s">
        <v>69</v>
      </c>
      <c r="Z1243"/>
      <c r="AA1243" t="s">
        <v>494</v>
      </c>
      <c r="AB1243"/>
      <c r="AC1243" t="s">
        <v>139</v>
      </c>
      <c r="AD1243" t="s">
        <v>3546</v>
      </c>
      <c r="AE1243"/>
      <c r="AF1243" t="s">
        <v>70</v>
      </c>
      <c r="AG1243" t="s">
        <v>493</v>
      </c>
      <c r="AH1243" t="s">
        <v>68</v>
      </c>
      <c r="AI1243" t="s">
        <v>493</v>
      </c>
      <c r="AJ1243"/>
      <c r="AK1243"/>
    </row>
    <row r="1244" spans="1:37">
      <c r="A1244" t="s">
        <v>23</v>
      </c>
      <c r="B1244" t="s">
        <v>24</v>
      </c>
      <c r="C1244" t="s">
        <v>934</v>
      </c>
      <c r="D1244" t="s">
        <v>135</v>
      </c>
      <c r="E1244" t="s">
        <v>3428</v>
      </c>
      <c r="F1244" t="s">
        <v>1906</v>
      </c>
      <c r="G1244" t="s">
        <v>136</v>
      </c>
      <c r="H1244" t="s">
        <v>146</v>
      </c>
      <c r="I1244" t="s">
        <v>71</v>
      </c>
      <c r="J1244" t="s">
        <v>72</v>
      </c>
      <c r="K1244" t="s">
        <v>65</v>
      </c>
      <c r="L1244" t="s">
        <v>3517</v>
      </c>
      <c r="M1244" t="s">
        <v>137</v>
      </c>
      <c r="N1244" t="s">
        <v>3548</v>
      </c>
      <c r="O1244">
        <v>1150</v>
      </c>
      <c r="P1244" t="s">
        <v>35</v>
      </c>
      <c r="Q1244"/>
      <c r="R1244">
        <v>1153</v>
      </c>
      <c r="S1244">
        <v>1150</v>
      </c>
      <c r="T1244" t="s">
        <v>493</v>
      </c>
      <c r="U1244" t="s">
        <v>493</v>
      </c>
      <c r="V1244" t="s">
        <v>67</v>
      </c>
      <c r="W1244" t="s">
        <v>1082</v>
      </c>
      <c r="X1244" t="s">
        <v>27</v>
      </c>
      <c r="Y1244" t="s">
        <v>935</v>
      </c>
      <c r="Z1244"/>
      <c r="AA1244" t="s">
        <v>494</v>
      </c>
      <c r="AB1244"/>
      <c r="AC1244" t="s">
        <v>139</v>
      </c>
      <c r="AD1244" t="s">
        <v>3549</v>
      </c>
      <c r="AE1244"/>
      <c r="AF1244" t="s">
        <v>493</v>
      </c>
      <c r="AG1244" t="s">
        <v>71</v>
      </c>
      <c r="AH1244" t="s">
        <v>3520</v>
      </c>
      <c r="AI1244" t="s">
        <v>493</v>
      </c>
      <c r="AJ1244"/>
      <c r="AK1244"/>
    </row>
    <row r="1245" spans="1:37">
      <c r="A1245" t="s">
        <v>23</v>
      </c>
      <c r="B1245" t="s">
        <v>24</v>
      </c>
      <c r="C1245" t="s">
        <v>929</v>
      </c>
      <c r="D1245" t="s">
        <v>135</v>
      </c>
      <c r="E1245" t="s">
        <v>1905</v>
      </c>
      <c r="F1245" t="s">
        <v>1906</v>
      </c>
      <c r="G1245" t="s">
        <v>136</v>
      </c>
      <c r="H1245" t="s">
        <v>493</v>
      </c>
      <c r="I1245" t="s">
        <v>932</v>
      </c>
      <c r="J1245" t="s">
        <v>933</v>
      </c>
      <c r="K1245" t="s">
        <v>65</v>
      </c>
      <c r="L1245" t="s">
        <v>3517</v>
      </c>
      <c r="M1245" t="s">
        <v>137</v>
      </c>
      <c r="N1245" t="s">
        <v>3550</v>
      </c>
      <c r="O1245">
        <v>48</v>
      </c>
      <c r="P1245" t="s">
        <v>35</v>
      </c>
      <c r="Q1245"/>
      <c r="R1245">
        <v>48</v>
      </c>
      <c r="S1245">
        <v>48</v>
      </c>
      <c r="T1245" t="s">
        <v>493</v>
      </c>
      <c r="U1245" t="s">
        <v>493</v>
      </c>
      <c r="V1245" t="s">
        <v>27</v>
      </c>
      <c r="W1245" t="s">
        <v>66</v>
      </c>
      <c r="X1245" t="s">
        <v>67</v>
      </c>
      <c r="Y1245" t="s">
        <v>69</v>
      </c>
      <c r="Z1245"/>
      <c r="AA1245" t="s">
        <v>494</v>
      </c>
      <c r="AB1245"/>
      <c r="AC1245" t="s">
        <v>139</v>
      </c>
      <c r="AD1245" t="s">
        <v>3549</v>
      </c>
      <c r="AE1245"/>
      <c r="AF1245" t="s">
        <v>70</v>
      </c>
      <c r="AG1245" t="s">
        <v>493</v>
      </c>
      <c r="AH1245" t="s">
        <v>68</v>
      </c>
      <c r="AI1245" t="s">
        <v>493</v>
      </c>
      <c r="AJ1245"/>
      <c r="AK1245"/>
    </row>
    <row r="1246" spans="1:37">
      <c r="A1246" t="s">
        <v>23</v>
      </c>
      <c r="B1246" t="s">
        <v>24</v>
      </c>
      <c r="C1246" t="s">
        <v>174</v>
      </c>
      <c r="D1246" t="s">
        <v>135</v>
      </c>
      <c r="E1246" t="s">
        <v>3551</v>
      </c>
      <c r="F1246" t="s">
        <v>931</v>
      </c>
      <c r="G1246" t="s">
        <v>136</v>
      </c>
      <c r="H1246" t="s">
        <v>152</v>
      </c>
      <c r="I1246" t="s">
        <v>156</v>
      </c>
      <c r="J1246" t="s">
        <v>25</v>
      </c>
      <c r="K1246" t="s">
        <v>157</v>
      </c>
      <c r="L1246" t="s">
        <v>1046</v>
      </c>
      <c r="M1246" t="s">
        <v>154</v>
      </c>
      <c r="N1246" t="s">
        <v>3552</v>
      </c>
      <c r="O1246">
        <v>37</v>
      </c>
      <c r="P1246" t="s">
        <v>159</v>
      </c>
      <c r="Q1246"/>
      <c r="R1246">
        <v>758</v>
      </c>
      <c r="S1246">
        <v>725.57</v>
      </c>
      <c r="T1246" t="s">
        <v>493</v>
      </c>
      <c r="U1246" t="s">
        <v>493</v>
      </c>
      <c r="V1246" t="s">
        <v>67</v>
      </c>
      <c r="W1246" t="s">
        <v>1082</v>
      </c>
      <c r="X1246" t="s">
        <v>27</v>
      </c>
      <c r="Y1246" t="s">
        <v>935</v>
      </c>
      <c r="Z1246"/>
      <c r="AA1246" t="s">
        <v>494</v>
      </c>
      <c r="AB1246"/>
      <c r="AC1246" t="s">
        <v>139</v>
      </c>
      <c r="AD1246" t="s">
        <v>3553</v>
      </c>
      <c r="AE1246"/>
      <c r="AF1246" t="s">
        <v>493</v>
      </c>
      <c r="AG1246" t="s">
        <v>156</v>
      </c>
      <c r="AH1246" t="s">
        <v>3470</v>
      </c>
      <c r="AI1246" t="s">
        <v>493</v>
      </c>
      <c r="AJ1246"/>
      <c r="AK1246"/>
    </row>
    <row r="1247" spans="1:37">
      <c r="A1247" t="s">
        <v>23</v>
      </c>
      <c r="B1247" t="s">
        <v>24</v>
      </c>
      <c r="C1247" t="s">
        <v>934</v>
      </c>
      <c r="D1247" t="s">
        <v>135</v>
      </c>
      <c r="E1247" t="s">
        <v>2518</v>
      </c>
      <c r="F1247" t="s">
        <v>931</v>
      </c>
      <c r="G1247" t="s">
        <v>136</v>
      </c>
      <c r="H1247" t="s">
        <v>152</v>
      </c>
      <c r="I1247" t="s">
        <v>71</v>
      </c>
      <c r="J1247" t="s">
        <v>72</v>
      </c>
      <c r="K1247" t="s">
        <v>65</v>
      </c>
      <c r="L1247" t="s">
        <v>1046</v>
      </c>
      <c r="M1247" t="s">
        <v>154</v>
      </c>
      <c r="N1247" t="s">
        <v>3554</v>
      </c>
      <c r="O1247">
        <v>277.83</v>
      </c>
      <c r="P1247" t="s">
        <v>35</v>
      </c>
      <c r="Q1247"/>
      <c r="R1247">
        <v>277.83</v>
      </c>
      <c r="S1247">
        <v>277.83</v>
      </c>
      <c r="T1247" t="s">
        <v>493</v>
      </c>
      <c r="U1247" t="s">
        <v>493</v>
      </c>
      <c r="V1247" t="s">
        <v>27</v>
      </c>
      <c r="W1247" t="s">
        <v>66</v>
      </c>
      <c r="X1247" t="s">
        <v>67</v>
      </c>
      <c r="Y1247" t="s">
        <v>69</v>
      </c>
      <c r="Z1247"/>
      <c r="AA1247" t="s">
        <v>494</v>
      </c>
      <c r="AB1247"/>
      <c r="AC1247" t="s">
        <v>139</v>
      </c>
      <c r="AD1247" t="s">
        <v>3553</v>
      </c>
      <c r="AE1247"/>
      <c r="AF1247" t="s">
        <v>70</v>
      </c>
      <c r="AG1247" t="s">
        <v>71</v>
      </c>
      <c r="AH1247" t="s">
        <v>68</v>
      </c>
      <c r="AI1247" t="s">
        <v>493</v>
      </c>
      <c r="AJ1247"/>
      <c r="AK1247"/>
    </row>
    <row r="1248" spans="1:37">
      <c r="A1248" t="s">
        <v>23</v>
      </c>
      <c r="B1248" t="s">
        <v>24</v>
      </c>
      <c r="C1248" t="s">
        <v>934</v>
      </c>
      <c r="D1248" t="s">
        <v>135</v>
      </c>
      <c r="E1248" t="s">
        <v>3428</v>
      </c>
      <c r="F1248" t="s">
        <v>1906</v>
      </c>
      <c r="G1248" t="s">
        <v>136</v>
      </c>
      <c r="H1248" t="s">
        <v>146</v>
      </c>
      <c r="I1248" t="s">
        <v>71</v>
      </c>
      <c r="J1248" t="s">
        <v>72</v>
      </c>
      <c r="K1248" t="s">
        <v>65</v>
      </c>
      <c r="L1248" t="s">
        <v>3517</v>
      </c>
      <c r="M1248" t="s">
        <v>137</v>
      </c>
      <c r="N1248" t="s">
        <v>3555</v>
      </c>
      <c r="O1248">
        <v>1151</v>
      </c>
      <c r="P1248" t="s">
        <v>35</v>
      </c>
      <c r="Q1248"/>
      <c r="R1248">
        <v>1154</v>
      </c>
      <c r="S1248">
        <v>1151</v>
      </c>
      <c r="T1248" t="s">
        <v>493</v>
      </c>
      <c r="U1248" t="s">
        <v>493</v>
      </c>
      <c r="V1248" t="s">
        <v>27</v>
      </c>
      <c r="W1248" t="s">
        <v>1082</v>
      </c>
      <c r="X1248" t="s">
        <v>27</v>
      </c>
      <c r="Y1248" t="s">
        <v>935</v>
      </c>
      <c r="Z1248"/>
      <c r="AA1248" t="s">
        <v>494</v>
      </c>
      <c r="AB1248"/>
      <c r="AC1248" t="s">
        <v>139</v>
      </c>
      <c r="AD1248" t="s">
        <v>3556</v>
      </c>
      <c r="AE1248"/>
      <c r="AF1248" t="s">
        <v>493</v>
      </c>
      <c r="AG1248" t="s">
        <v>71</v>
      </c>
      <c r="AH1248" t="s">
        <v>3520</v>
      </c>
      <c r="AI1248" t="s">
        <v>493</v>
      </c>
      <c r="AJ1248"/>
      <c r="AK1248"/>
    </row>
    <row r="1249" spans="1:35">
      <c r="A1249" t="s">
        <v>23</v>
      </c>
      <c r="B1249" t="s">
        <v>24</v>
      </c>
      <c r="C1249" t="s">
        <v>929</v>
      </c>
      <c r="D1249" t="s">
        <v>135</v>
      </c>
      <c r="E1249" t="s">
        <v>1905</v>
      </c>
      <c r="F1249" t="s">
        <v>1906</v>
      </c>
      <c r="G1249" t="s">
        <v>136</v>
      </c>
      <c r="H1249" t="s">
        <v>493</v>
      </c>
      <c r="I1249" t="s">
        <v>932</v>
      </c>
      <c r="J1249" t="s">
        <v>933</v>
      </c>
      <c r="K1249" t="s">
        <v>65</v>
      </c>
      <c r="L1249" t="s">
        <v>3517</v>
      </c>
      <c r="M1249" t="s">
        <v>137</v>
      </c>
      <c r="N1249" t="s">
        <v>3557</v>
      </c>
      <c r="O1249">
        <v>46</v>
      </c>
      <c r="P1249" t="s">
        <v>35</v>
      </c>
      <c r="Q1249"/>
      <c r="R1249">
        <v>46</v>
      </c>
      <c r="S1249">
        <v>46</v>
      </c>
      <c r="T1249" t="s">
        <v>493</v>
      </c>
      <c r="U1249" t="s">
        <v>493</v>
      </c>
      <c r="V1249" t="s">
        <v>27</v>
      </c>
      <c r="W1249" t="s">
        <v>66</v>
      </c>
      <c r="X1249" t="s">
        <v>67</v>
      </c>
      <c r="Y1249" t="s">
        <v>69</v>
      </c>
      <c r="Z1249"/>
      <c r="AA1249" t="s">
        <v>494</v>
      </c>
      <c r="AB1249"/>
      <c r="AC1249" t="s">
        <v>139</v>
      </c>
      <c r="AD1249" t="s">
        <v>3556</v>
      </c>
      <c r="AE1249"/>
      <c r="AF1249" t="s">
        <v>70</v>
      </c>
      <c r="AG1249" t="s">
        <v>493</v>
      </c>
      <c r="AH1249" t="s">
        <v>68</v>
      </c>
      <c r="AI1249" t="s">
        <v>493</v>
      </c>
    </row>
    <row r="1250" spans="1:35">
      <c r="A1250" t="s">
        <v>23</v>
      </c>
      <c r="B1250" t="s">
        <v>24</v>
      </c>
      <c r="C1250" t="s">
        <v>934</v>
      </c>
      <c r="D1250" t="s">
        <v>135</v>
      </c>
      <c r="E1250" t="s">
        <v>3428</v>
      </c>
      <c r="F1250" t="s">
        <v>1906</v>
      </c>
      <c r="G1250" t="s">
        <v>136</v>
      </c>
      <c r="H1250" t="s">
        <v>146</v>
      </c>
      <c r="I1250" t="s">
        <v>71</v>
      </c>
      <c r="J1250" t="s">
        <v>72</v>
      </c>
      <c r="K1250" t="s">
        <v>65</v>
      </c>
      <c r="L1250" t="s">
        <v>3517</v>
      </c>
      <c r="M1250" t="s">
        <v>137</v>
      </c>
      <c r="N1250" t="s">
        <v>3558</v>
      </c>
      <c r="O1250">
        <v>1152</v>
      </c>
      <c r="P1250" t="s">
        <v>35</v>
      </c>
      <c r="Q1250"/>
      <c r="R1250">
        <v>1155</v>
      </c>
      <c r="S1250">
        <v>1152</v>
      </c>
      <c r="T1250" t="s">
        <v>493</v>
      </c>
      <c r="U1250" t="s">
        <v>493</v>
      </c>
      <c r="V1250" t="s">
        <v>27</v>
      </c>
      <c r="W1250" t="s">
        <v>1082</v>
      </c>
      <c r="X1250" t="s">
        <v>27</v>
      </c>
      <c r="Y1250" t="s">
        <v>935</v>
      </c>
      <c r="Z1250"/>
      <c r="AA1250" t="s">
        <v>494</v>
      </c>
      <c r="AB1250"/>
      <c r="AC1250" t="s">
        <v>139</v>
      </c>
      <c r="AD1250" t="s">
        <v>3559</v>
      </c>
      <c r="AE1250"/>
      <c r="AF1250" t="s">
        <v>493</v>
      </c>
      <c r="AG1250" t="s">
        <v>71</v>
      </c>
      <c r="AH1250" t="s">
        <v>3520</v>
      </c>
      <c r="AI1250" t="s">
        <v>493</v>
      </c>
    </row>
    <row r="1251" spans="1:35">
      <c r="A1251" t="s">
        <v>23</v>
      </c>
      <c r="B1251" t="s">
        <v>24</v>
      </c>
      <c r="C1251" t="s">
        <v>929</v>
      </c>
      <c r="D1251" t="s">
        <v>135</v>
      </c>
      <c r="E1251" t="s">
        <v>1905</v>
      </c>
      <c r="F1251" t="s">
        <v>1906</v>
      </c>
      <c r="G1251" t="s">
        <v>136</v>
      </c>
      <c r="H1251" t="s">
        <v>493</v>
      </c>
      <c r="I1251" t="s">
        <v>932</v>
      </c>
      <c r="J1251" t="s">
        <v>933</v>
      </c>
      <c r="K1251" t="s">
        <v>65</v>
      </c>
      <c r="L1251" t="s">
        <v>3517</v>
      </c>
      <c r="M1251" t="s">
        <v>137</v>
      </c>
      <c r="N1251" t="s">
        <v>3560</v>
      </c>
      <c r="O1251">
        <v>45</v>
      </c>
      <c r="P1251" t="s">
        <v>35</v>
      </c>
      <c r="Q1251"/>
      <c r="R1251">
        <v>45</v>
      </c>
      <c r="S1251">
        <v>45</v>
      </c>
      <c r="T1251" t="s">
        <v>493</v>
      </c>
      <c r="U1251" t="s">
        <v>493</v>
      </c>
      <c r="V1251" t="s">
        <v>27</v>
      </c>
      <c r="W1251" t="s">
        <v>66</v>
      </c>
      <c r="X1251" t="s">
        <v>67</v>
      </c>
      <c r="Y1251" t="s">
        <v>69</v>
      </c>
      <c r="Z1251"/>
      <c r="AA1251" t="s">
        <v>494</v>
      </c>
      <c r="AB1251"/>
      <c r="AC1251" t="s">
        <v>139</v>
      </c>
      <c r="AD1251" t="s">
        <v>3559</v>
      </c>
      <c r="AE1251"/>
      <c r="AF1251" t="s">
        <v>70</v>
      </c>
      <c r="AG1251" t="s">
        <v>493</v>
      </c>
      <c r="AH1251" t="s">
        <v>68</v>
      </c>
      <c r="AI1251" t="s">
        <v>493</v>
      </c>
    </row>
  </sheetData>
  <autoFilter ref="A1:AK1169" xr:uid="{00000000-0001-0000-0000-000000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3A43-9B93-496D-B2F4-A85FE953295C}">
  <dimension ref="A2:G100"/>
  <sheetViews>
    <sheetView topLeftCell="A82" zoomScale="80" zoomScaleNormal="80" workbookViewId="0">
      <selection activeCell="B91" sqref="B91"/>
    </sheetView>
  </sheetViews>
  <sheetFormatPr defaultRowHeight="15.75"/>
  <cols>
    <col min="1" max="1" width="29.75" bestFit="1" customWidth="1"/>
    <col min="2" max="2" width="19.25" bestFit="1" customWidth="1"/>
    <col min="3" max="3" width="7.75" bestFit="1" customWidth="1"/>
    <col min="4" max="4" width="13.25" bestFit="1" customWidth="1"/>
    <col min="5" max="5" width="22.625" bestFit="1" customWidth="1"/>
    <col min="6" max="6" width="42.375" bestFit="1" customWidth="1"/>
    <col min="7" max="7" width="28.25" bestFit="1" customWidth="1"/>
  </cols>
  <sheetData>
    <row r="2" spans="1:7">
      <c r="A2" s="1" t="s">
        <v>49</v>
      </c>
      <c r="B2" t="s">
        <v>149</v>
      </c>
    </row>
    <row r="3" spans="1:7">
      <c r="A3" s="1" t="s">
        <v>48</v>
      </c>
      <c r="B3" t="s">
        <v>149</v>
      </c>
      <c r="F3" s="1" t="s">
        <v>73</v>
      </c>
      <c r="G3" t="s">
        <v>74</v>
      </c>
    </row>
    <row r="4" spans="1:7">
      <c r="F4" s="2" t="s">
        <v>80</v>
      </c>
    </row>
    <row r="5" spans="1:7">
      <c r="A5" s="1" t="s">
        <v>75</v>
      </c>
      <c r="B5" t="s">
        <v>76</v>
      </c>
      <c r="C5" t="s">
        <v>77</v>
      </c>
      <c r="D5" t="s">
        <v>78</v>
      </c>
      <c r="F5" s="3" t="s">
        <v>80</v>
      </c>
    </row>
    <row r="6" spans="1:7">
      <c r="A6" s="2" t="s">
        <v>135</v>
      </c>
      <c r="B6">
        <v>474968.95</v>
      </c>
      <c r="C6">
        <v>1008</v>
      </c>
      <c r="D6">
        <v>900890.20000000496</v>
      </c>
      <c r="F6" s="2" t="s">
        <v>24</v>
      </c>
      <c r="G6">
        <v>281312</v>
      </c>
    </row>
    <row r="7" spans="1:7">
      <c r="A7" s="3" t="s">
        <v>24</v>
      </c>
      <c r="B7">
        <v>474968.95</v>
      </c>
      <c r="C7">
        <v>1008</v>
      </c>
      <c r="D7">
        <v>900890.20000000496</v>
      </c>
      <c r="F7" s="3" t="s">
        <v>25</v>
      </c>
      <c r="G7">
        <v>2844</v>
      </c>
    </row>
    <row r="8" spans="1:7">
      <c r="A8" s="122" t="s">
        <v>72</v>
      </c>
      <c r="B8">
        <v>195633.95</v>
      </c>
      <c r="C8">
        <v>185</v>
      </c>
      <c r="D8">
        <v>195633.95</v>
      </c>
      <c r="F8" s="3" t="s">
        <v>26</v>
      </c>
      <c r="G8">
        <v>191</v>
      </c>
    </row>
    <row r="9" spans="1:7">
      <c r="A9" s="122" t="s">
        <v>25</v>
      </c>
      <c r="B9">
        <v>513</v>
      </c>
      <c r="C9">
        <v>25</v>
      </c>
      <c r="D9">
        <v>9694.85</v>
      </c>
      <c r="F9" s="3" t="s">
        <v>933</v>
      </c>
      <c r="G9">
        <v>278277</v>
      </c>
    </row>
    <row r="10" spans="1:7">
      <c r="A10" s="122" t="s">
        <v>26</v>
      </c>
      <c r="B10">
        <v>545</v>
      </c>
      <c r="C10">
        <v>545</v>
      </c>
      <c r="D10">
        <v>417284.40000000189</v>
      </c>
      <c r="F10" s="2" t="s">
        <v>79</v>
      </c>
      <c r="G10">
        <v>281312</v>
      </c>
    </row>
    <row r="11" spans="1:7">
      <c r="A11" s="122" t="s">
        <v>933</v>
      </c>
      <c r="B11">
        <v>278277</v>
      </c>
      <c r="C11">
        <v>253</v>
      </c>
      <c r="D11">
        <v>278277</v>
      </c>
    </row>
    <row r="12" spans="1:7">
      <c r="A12" s="2" t="s">
        <v>140</v>
      </c>
      <c r="B12">
        <v>3259.4</v>
      </c>
      <c r="C12">
        <v>242</v>
      </c>
      <c r="D12">
        <v>175823.26</v>
      </c>
      <c r="F12" s="1" t="s">
        <v>10</v>
      </c>
      <c r="G12" t="s">
        <v>67</v>
      </c>
    </row>
    <row r="13" spans="1:7">
      <c r="A13" s="3" t="s">
        <v>24</v>
      </c>
      <c r="B13">
        <v>3259.4</v>
      </c>
      <c r="C13">
        <v>242</v>
      </c>
      <c r="D13">
        <v>175823.26</v>
      </c>
    </row>
    <row r="14" spans="1:7">
      <c r="A14" s="122" t="s">
        <v>72</v>
      </c>
      <c r="B14">
        <v>224.4</v>
      </c>
      <c r="C14">
        <v>2</v>
      </c>
      <c r="D14">
        <v>224.4</v>
      </c>
      <c r="F14" s="1" t="s">
        <v>73</v>
      </c>
      <c r="G14" t="s">
        <v>81</v>
      </c>
    </row>
    <row r="15" spans="1:7">
      <c r="A15" s="122" t="s">
        <v>25</v>
      </c>
      <c r="B15">
        <v>2844</v>
      </c>
      <c r="C15">
        <v>49</v>
      </c>
      <c r="D15">
        <v>35744.360000000008</v>
      </c>
      <c r="F15" s="2" t="s">
        <v>24</v>
      </c>
      <c r="G15">
        <v>685</v>
      </c>
    </row>
    <row r="16" spans="1:7">
      <c r="A16" s="122" t="s">
        <v>26</v>
      </c>
      <c r="B16">
        <v>191</v>
      </c>
      <c r="C16">
        <v>191</v>
      </c>
      <c r="D16">
        <v>139854.5</v>
      </c>
      <c r="F16" s="3" t="s">
        <v>25</v>
      </c>
      <c r="G16">
        <v>367</v>
      </c>
    </row>
    <row r="17" spans="1:7">
      <c r="A17" s="2" t="s">
        <v>80</v>
      </c>
      <c r="F17" s="3" t="s">
        <v>26</v>
      </c>
      <c r="G17">
        <v>318</v>
      </c>
    </row>
    <row r="18" spans="1:7">
      <c r="A18" s="3" t="s">
        <v>80</v>
      </c>
      <c r="F18" s="2" t="s">
        <v>79</v>
      </c>
      <c r="G18">
        <v>685</v>
      </c>
    </row>
    <row r="19" spans="1:7">
      <c r="A19" s="122" t="s">
        <v>80</v>
      </c>
    </row>
    <row r="20" spans="1:7">
      <c r="A20" s="2" t="s">
        <v>79</v>
      </c>
      <c r="B20">
        <v>478228.35000000003</v>
      </c>
      <c r="C20">
        <v>1250</v>
      </c>
      <c r="D20">
        <v>1076713.4600000051</v>
      </c>
    </row>
    <row r="22" spans="1:7">
      <c r="F22" s="1" t="s">
        <v>10</v>
      </c>
      <c r="G22" t="s">
        <v>149</v>
      </c>
    </row>
    <row r="24" spans="1:7">
      <c r="F24" s="1" t="s">
        <v>73</v>
      </c>
      <c r="G24" t="s">
        <v>81</v>
      </c>
    </row>
    <row r="25" spans="1:7">
      <c r="F25" s="2" t="s">
        <v>80</v>
      </c>
    </row>
    <row r="26" spans="1:7">
      <c r="F26" s="3" t="s">
        <v>80</v>
      </c>
    </row>
    <row r="27" spans="1:7">
      <c r="F27" s="2" t="s">
        <v>24</v>
      </c>
      <c r="G27">
        <v>979</v>
      </c>
    </row>
    <row r="28" spans="1:7">
      <c r="F28" s="3" t="s">
        <v>25</v>
      </c>
      <c r="G28">
        <v>450</v>
      </c>
    </row>
    <row r="29" spans="1:7">
      <c r="F29" s="3" t="s">
        <v>26</v>
      </c>
      <c r="G29">
        <v>529</v>
      </c>
    </row>
    <row r="30" spans="1:7">
      <c r="F30" s="2" t="s">
        <v>79</v>
      </c>
      <c r="G30">
        <v>979</v>
      </c>
    </row>
    <row r="41" spans="1:4">
      <c r="A41" s="1" t="s">
        <v>49</v>
      </c>
      <c r="B41" t="s">
        <v>82</v>
      </c>
    </row>
    <row r="42" spans="1:4">
      <c r="A42" s="1" t="s">
        <v>48</v>
      </c>
      <c r="B42" t="s">
        <v>82</v>
      </c>
    </row>
    <row r="44" spans="1:4">
      <c r="A44" s="1" t="s">
        <v>75</v>
      </c>
      <c r="B44" t="s">
        <v>76</v>
      </c>
      <c r="C44" t="s">
        <v>77</v>
      </c>
      <c r="D44" t="s">
        <v>78</v>
      </c>
    </row>
    <row r="45" spans="1:4">
      <c r="A45" s="2" t="s">
        <v>24</v>
      </c>
      <c r="B45">
        <v>104742</v>
      </c>
      <c r="C45">
        <v>842</v>
      </c>
      <c r="D45">
        <v>655079.5400000012</v>
      </c>
    </row>
    <row r="46" spans="1:4">
      <c r="A46" s="3" t="s">
        <v>135</v>
      </c>
      <c r="B46">
        <v>101707</v>
      </c>
      <c r="C46">
        <v>602</v>
      </c>
      <c r="D46">
        <v>479480.68000000116</v>
      </c>
    </row>
    <row r="47" spans="1:4">
      <c r="A47" s="122" t="s">
        <v>72</v>
      </c>
      <c r="B47">
        <v>100745</v>
      </c>
      <c r="C47">
        <v>92</v>
      </c>
      <c r="D47">
        <v>100745</v>
      </c>
    </row>
    <row r="48" spans="1:4">
      <c r="A48" s="122" t="s">
        <v>25</v>
      </c>
      <c r="B48">
        <v>476</v>
      </c>
      <c r="C48">
        <v>24</v>
      </c>
      <c r="D48">
        <v>8969.2799999999988</v>
      </c>
    </row>
    <row r="49" spans="1:4">
      <c r="A49" s="122" t="s">
        <v>26</v>
      </c>
      <c r="B49">
        <v>486</v>
      </c>
      <c r="C49">
        <v>486</v>
      </c>
      <c r="D49">
        <v>369766.39999999892</v>
      </c>
    </row>
    <row r="50" spans="1:4">
      <c r="A50" s="3" t="s">
        <v>140</v>
      </c>
      <c r="B50">
        <v>3035</v>
      </c>
      <c r="C50">
        <v>240</v>
      </c>
      <c r="D50">
        <v>175598.86000000002</v>
      </c>
    </row>
    <row r="51" spans="1:4">
      <c r="A51" s="122" t="s">
        <v>25</v>
      </c>
      <c r="B51">
        <v>2844</v>
      </c>
      <c r="C51">
        <v>49</v>
      </c>
      <c r="D51">
        <v>35744.360000000008</v>
      </c>
    </row>
    <row r="52" spans="1:4">
      <c r="A52" s="122" t="s">
        <v>26</v>
      </c>
      <c r="B52">
        <v>191</v>
      </c>
      <c r="C52">
        <v>191</v>
      </c>
      <c r="D52">
        <v>139854.5</v>
      </c>
    </row>
    <row r="53" spans="1:4">
      <c r="A53" s="2" t="s">
        <v>79</v>
      </c>
      <c r="B53">
        <v>104742</v>
      </c>
      <c r="C53">
        <v>842</v>
      </c>
      <c r="D53">
        <v>655079.5400000012</v>
      </c>
    </row>
    <row r="58" spans="1:4">
      <c r="A58" s="2"/>
    </row>
    <row r="59" spans="1:4">
      <c r="A59" s="1" t="s">
        <v>49</v>
      </c>
      <c r="B59" t="s">
        <v>82</v>
      </c>
    </row>
    <row r="60" spans="1:4">
      <c r="A60" s="1" t="s">
        <v>48</v>
      </c>
      <c r="B60" t="s">
        <v>145</v>
      </c>
    </row>
    <row r="62" spans="1:4">
      <c r="A62" s="1" t="s">
        <v>75</v>
      </c>
      <c r="B62" t="s">
        <v>76</v>
      </c>
      <c r="C62" t="s">
        <v>77</v>
      </c>
      <c r="D62" t="s">
        <v>78</v>
      </c>
    </row>
    <row r="63" spans="1:4">
      <c r="A63" s="2" t="s">
        <v>24</v>
      </c>
      <c r="B63">
        <v>962</v>
      </c>
      <c r="C63">
        <v>510</v>
      </c>
      <c r="D63">
        <v>378735.68000000087</v>
      </c>
    </row>
    <row r="64" spans="1:4">
      <c r="A64" s="3" t="s">
        <v>135</v>
      </c>
      <c r="B64">
        <v>962</v>
      </c>
      <c r="C64">
        <v>510</v>
      </c>
      <c r="D64">
        <v>378735.68000000087</v>
      </c>
    </row>
    <row r="65" spans="1:4">
      <c r="A65" s="122" t="s">
        <v>25</v>
      </c>
      <c r="B65">
        <v>476</v>
      </c>
      <c r="C65">
        <v>24</v>
      </c>
      <c r="D65">
        <v>8969.2799999999988</v>
      </c>
    </row>
    <row r="66" spans="1:4">
      <c r="A66" s="122" t="s">
        <v>26</v>
      </c>
      <c r="B66">
        <v>486</v>
      </c>
      <c r="C66">
        <v>486</v>
      </c>
      <c r="D66">
        <v>369766.40000000078</v>
      </c>
    </row>
    <row r="67" spans="1:4">
      <c r="A67" s="2" t="s">
        <v>79</v>
      </c>
      <c r="B67">
        <v>962</v>
      </c>
      <c r="C67">
        <v>510</v>
      </c>
      <c r="D67">
        <v>378735.68000000087</v>
      </c>
    </row>
    <row r="75" spans="1:4">
      <c r="A75" s="1" t="s">
        <v>1</v>
      </c>
      <c r="B75" t="s">
        <v>24</v>
      </c>
    </row>
    <row r="76" spans="1:4">
      <c r="A76" s="1" t="s">
        <v>49</v>
      </c>
      <c r="B76" t="s">
        <v>82</v>
      </c>
    </row>
    <row r="77" spans="1:4">
      <c r="A77" s="1" t="s">
        <v>31</v>
      </c>
      <c r="B77" t="s">
        <v>137</v>
      </c>
    </row>
    <row r="78" spans="1:4">
      <c r="A78" s="1" t="s">
        <v>50</v>
      </c>
      <c r="B78" t="s">
        <v>67</v>
      </c>
    </row>
    <row r="80" spans="1:4">
      <c r="A80" s="1" t="s">
        <v>75</v>
      </c>
      <c r="B80" t="s">
        <v>171</v>
      </c>
    </row>
    <row r="81" spans="1:4">
      <c r="A81" s="2" t="s">
        <v>72</v>
      </c>
      <c r="B81">
        <v>18000</v>
      </c>
    </row>
    <row r="82" spans="1:4">
      <c r="A82" s="3" t="s">
        <v>135</v>
      </c>
      <c r="B82">
        <v>18000</v>
      </c>
    </row>
    <row r="83" spans="1:4">
      <c r="A83" s="2" t="s">
        <v>79</v>
      </c>
      <c r="B83">
        <v>18000</v>
      </c>
    </row>
    <row r="92" spans="1:4">
      <c r="A92" s="1" t="s">
        <v>49</v>
      </c>
      <c r="B92" t="s">
        <v>82</v>
      </c>
    </row>
    <row r="93" spans="1:4">
      <c r="A93" s="1" t="s">
        <v>48</v>
      </c>
      <c r="B93" t="s">
        <v>172</v>
      </c>
    </row>
    <row r="95" spans="1:4">
      <c r="A95" s="1" t="s">
        <v>75</v>
      </c>
      <c r="B95" t="s">
        <v>76</v>
      </c>
      <c r="C95" t="s">
        <v>77</v>
      </c>
      <c r="D95" t="s">
        <v>78</v>
      </c>
    </row>
    <row r="96" spans="1:4">
      <c r="A96" s="2" t="s">
        <v>24</v>
      </c>
      <c r="B96">
        <v>3035</v>
      </c>
      <c r="C96">
        <v>240</v>
      </c>
      <c r="D96">
        <v>175598.86000000002</v>
      </c>
    </row>
    <row r="97" spans="1:4">
      <c r="A97" s="3" t="s">
        <v>140</v>
      </c>
      <c r="B97">
        <v>3035</v>
      </c>
      <c r="C97">
        <v>240</v>
      </c>
      <c r="D97">
        <v>175598.86000000002</v>
      </c>
    </row>
    <row r="98" spans="1:4">
      <c r="A98" s="122" t="s">
        <v>25</v>
      </c>
      <c r="B98">
        <v>2844</v>
      </c>
      <c r="C98">
        <v>49</v>
      </c>
      <c r="D98">
        <v>35744.360000000008</v>
      </c>
    </row>
    <row r="99" spans="1:4">
      <c r="A99" s="122" t="s">
        <v>26</v>
      </c>
      <c r="B99">
        <v>191</v>
      </c>
      <c r="C99">
        <v>191</v>
      </c>
      <c r="D99">
        <v>139854.5</v>
      </c>
    </row>
    <row r="100" spans="1:4">
      <c r="A100" s="2" t="s">
        <v>79</v>
      </c>
      <c r="B100">
        <v>3035</v>
      </c>
      <c r="C100">
        <v>240</v>
      </c>
      <c r="D100">
        <v>175598.86000000002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2E8C-FC06-4F10-B974-4A95FB4CD967}">
  <dimension ref="B1:T30"/>
  <sheetViews>
    <sheetView showGridLines="0" zoomScale="90" zoomScaleNormal="90" workbookViewId="0">
      <selection activeCell="G11" sqref="G11"/>
    </sheetView>
  </sheetViews>
  <sheetFormatPr defaultRowHeight="15.75"/>
  <cols>
    <col min="1" max="1" width="2.75" customWidth="1"/>
    <col min="2" max="2" width="38.25" bestFit="1" customWidth="1"/>
    <col min="3" max="3" width="11" bestFit="1" customWidth="1"/>
    <col min="4" max="4" width="10.25" bestFit="1" customWidth="1"/>
    <col min="5" max="5" width="11.375" bestFit="1" customWidth="1"/>
    <col min="6" max="6" width="14.625" bestFit="1" customWidth="1"/>
    <col min="7" max="7" width="11" bestFit="1" customWidth="1"/>
    <col min="8" max="8" width="18.75" customWidth="1"/>
    <col min="9" max="9" width="9.375" customWidth="1"/>
    <col min="10" max="10" width="12.625" bestFit="1" customWidth="1"/>
    <col min="11" max="11" width="12.5" bestFit="1" customWidth="1"/>
    <col min="12" max="12" width="12.5" customWidth="1"/>
    <col min="13" max="13" width="16" customWidth="1"/>
    <col min="14" max="14" width="15.5" bestFit="1" customWidth="1"/>
    <col min="15" max="16" width="8.875" bestFit="1" customWidth="1"/>
    <col min="17" max="17" width="6.75" bestFit="1" customWidth="1"/>
  </cols>
  <sheetData>
    <row r="1" spans="2:20" ht="16.5" thickBot="1">
      <c r="B1" s="95" t="s">
        <v>83</v>
      </c>
      <c r="C1" s="96" t="s">
        <v>43</v>
      </c>
      <c r="D1" s="96" t="s">
        <v>84</v>
      </c>
      <c r="E1" s="97" t="s">
        <v>85</v>
      </c>
      <c r="F1" s="96" t="s">
        <v>86</v>
      </c>
      <c r="G1" s="96" t="s">
        <v>87</v>
      </c>
      <c r="H1" s="96" t="s">
        <v>169</v>
      </c>
      <c r="I1" s="96" t="s">
        <v>88</v>
      </c>
      <c r="J1" s="96" t="s">
        <v>167</v>
      </c>
      <c r="K1" s="98" t="s">
        <v>188</v>
      </c>
      <c r="L1" s="98" t="s">
        <v>187</v>
      </c>
      <c r="M1" s="98" t="s">
        <v>168</v>
      </c>
      <c r="N1" s="33" t="s">
        <v>89</v>
      </c>
      <c r="O1" s="79" t="s">
        <v>163</v>
      </c>
      <c r="P1" s="80" t="s">
        <v>166</v>
      </c>
    </row>
    <row r="2" spans="2:20">
      <c r="B2" s="22" t="s">
        <v>90</v>
      </c>
      <c r="C2" s="24"/>
      <c r="D2" s="28"/>
      <c r="E2" s="24"/>
      <c r="F2" s="11"/>
      <c r="G2" s="13"/>
      <c r="H2" s="15"/>
      <c r="I2" s="15"/>
      <c r="J2" s="81"/>
      <c r="K2" s="15"/>
      <c r="L2" s="15"/>
      <c r="M2" s="15"/>
      <c r="N2" s="113"/>
      <c r="O2" s="114"/>
      <c r="P2" s="115"/>
    </row>
    <row r="3" spans="2:20">
      <c r="B3" s="94" t="s">
        <v>25</v>
      </c>
      <c r="C3" s="66">
        <f>GETPIVOTDATA("QUANTID.",DINÂMICA!$A$5,"Cliente","CORTEVA","Nome Comercial","P3845VYHR","Tipo de Produto","PAS - Produto Acabado em Sacos")+GETPIVOTDATA("QUANTID.",DINÂMICA!$A$5,"Cliente","CORTEVA","Nome Comercial","P3889R","Tipo de Produto","PAS - Produto Acabado em Sacos")</f>
        <v>3357</v>
      </c>
      <c r="D3" s="29" t="s">
        <v>91</v>
      </c>
      <c r="E3" s="25">
        <f>GETPIVOTDATA("PESO LÍQUIDO",DINÂMICA!$A$5,"Cliente","CORTEVA","Nome Comercial","P3845VYHR","Tipo de Produto","PAS - Produto Acabado em Sacos")+GETPIVOTDATA("PESO LÍQUIDO",DINÂMICA!$A$5,"Cliente","CORTEVA","Nome Comercial","P3889R","Tipo de Produto","PAS - Produto Acabado em Sacos")</f>
        <v>45439.210000000006</v>
      </c>
      <c r="F3" s="12">
        <f>GETPIVOTDATA("PALETES",DINÂMICA!$A$5,"Cliente","CORTEVA","Nome Comercial","P3845VYHR","Tipo de Produto","PAS - Produto Acabado em Sacos")+GETPIVOTDATA("PALETES",DINÂMICA!$A$5,"Cliente","CORTEVA","Nome Comercial","P3889R","Tipo de Produto","PAS - Produto Acabado em Sacos")</f>
        <v>74</v>
      </c>
      <c r="G3" s="14">
        <f>IFERROR(GETPIVOTDATA("QUANTID.",DINÂMICA!$A$44,"Cliente","CORTEVA","Nome Comercial","P3845VYHR","Tipo de Produto","PAS - Produto Acabado em Sacos")+GETPIVOTDATA("QUANTID.",DINÂMICA!$A$44,"Cliente","CORTEVA","Nome Comercial","P3889R","Tipo de Produto","PAS - Produto Acabado em Sacos"),0)</f>
        <v>3320</v>
      </c>
      <c r="H3" s="16">
        <f>C3-G3</f>
        <v>37</v>
      </c>
      <c r="I3" s="16">
        <f>GETPIVOTDATA("Quantidade em Estoque",DINÂMICA!$F$3,"Cliente","CORTEVA","Tipo de Produto","PAS - Produto Acabado em Sacos")</f>
        <v>2844</v>
      </c>
      <c r="J3" s="78">
        <v>2801</v>
      </c>
      <c r="K3" s="102">
        <f>IFERROR(GETPIVOTDATA("Quantidade Apontada",DINÂMICA!$F$14,"Cliente","CORTEVA","Tipo Produto","PAS - Produto Acabado em Sacos"),0)</f>
        <v>367</v>
      </c>
      <c r="L3" s="93">
        <f>IFERROR(GETPIVOTDATA("Quantidade Apontada",DINÂMICA!$F$24,"Cliente","CORTEVA","Tipo Produto","PAS - Produto Acabado em Sacos"),0)</f>
        <v>450</v>
      </c>
      <c r="M3" s="19">
        <f>C3-I3</f>
        <v>513</v>
      </c>
      <c r="N3" s="116">
        <f>C3</f>
        <v>3357</v>
      </c>
      <c r="O3" s="27">
        <f>GETPIVOTDATA("QUANTID.",DINÂMICA!$A$62,"Cliente","CORTEVA","Nome Comercial","P3845VYHR","Tipo de Produto","PAS - Produto Acabado em Sacos")</f>
        <v>476</v>
      </c>
      <c r="P3" s="117">
        <f>GETPIVOTDATA("QUANTID.",DINÂMICA!$A$95,"Cliente","CORTEVA","Tipo de Produto","PAS - Produto Acabado em Sacos")</f>
        <v>2844</v>
      </c>
      <c r="Q3" s="72">
        <f>(O3*O11)/O9</f>
        <v>5.9500000000000004E-3</v>
      </c>
      <c r="R3" s="9"/>
    </row>
    <row r="4" spans="2:20">
      <c r="B4" s="23" t="s">
        <v>92</v>
      </c>
      <c r="C4" s="25">
        <f>GETPIVOTDATA("QUANTID.",DINÂMICA!$A$5,"Cliente","CORTEVA","Nome Comercial","P3845VYHR","Tipo de Produto","PDB - Produto Debulhado em bag")</f>
        <v>278277</v>
      </c>
      <c r="D4" s="29" t="s">
        <v>35</v>
      </c>
      <c r="E4" s="25">
        <f>GETPIVOTDATA("PESO LÍQUIDO",DINÂMICA!$A$5,"Cliente","CORTEVA","Nome Comercial","P3845VYHR","Tipo de Produto","PDB - Produto Debulhado em bag")</f>
        <v>278277</v>
      </c>
      <c r="F4" s="12">
        <f>GETPIVOTDATA("PALETES",DINÂMICA!$A$5,"Cliente","CORTEVA","Nome Comercial","P3845VYHR","Tipo de Produto","PDB - Produto Debulhado em bag")</f>
        <v>253</v>
      </c>
      <c r="G4" s="14">
        <v>0</v>
      </c>
      <c r="H4" s="16">
        <v>0</v>
      </c>
      <c r="I4" s="16">
        <v>0</v>
      </c>
      <c r="J4" s="77"/>
      <c r="K4" s="16"/>
      <c r="L4" s="16"/>
      <c r="M4" s="17"/>
      <c r="N4" s="116">
        <f>F4*50</f>
        <v>12650</v>
      </c>
      <c r="O4" s="27"/>
      <c r="P4" s="117"/>
      <c r="Q4" s="72"/>
    </row>
    <row r="5" spans="2:20">
      <c r="B5" s="94" t="s">
        <v>26</v>
      </c>
      <c r="C5" s="25">
        <f>GETPIVOTDATA("QUANTID.",DINÂMICA!$A$5,"Cliente","CORTEVA","Nome Comercial","P3845VYHR","Tipo de Produto","PBT - Produto Acabado em Big Bag Tratado")+GETPIVOTDATA("QUANTID.",DINÂMICA!$A$5,"Cliente","CORTEVA","Nome Comercial","P3889R","Tipo de Produto","PBT - Produto Acabado em Big Bag Tratado")</f>
        <v>736</v>
      </c>
      <c r="D5" s="29" t="s">
        <v>93</v>
      </c>
      <c r="E5" s="25">
        <f>GETPIVOTDATA("PESO LÍQUIDO",DINÂMICA!$A$5,"Cliente","CORTEVA","Nome Comercial","P3845VYHR","Tipo de Produto","PBT - Produto Acabado em Big Bag Tratado")+GETPIVOTDATA("PESO LÍQUIDO",DINÂMICA!$A$5,"Cliente","CORTEVA","Nome Comercial","P3889R","Tipo de Produto","PBT - Produto Acabado em Big Bag Tratado")</f>
        <v>557138.90000000189</v>
      </c>
      <c r="F5" s="12">
        <f>GETPIVOTDATA("PALETES",DINÂMICA!$A$5,"Cliente","CORTEVA","Nome Comercial","P3845VYHR","Tipo de Produto","PBT - Produto Acabado em Big Bag Tratado")+GETPIVOTDATA("PALETES",DINÂMICA!$A$5,"Cliente","CORTEVA","Nome Comercial","P3889R","Tipo de Produto","PBT - Produto Acabado em Big Bag Tratado")</f>
        <v>736</v>
      </c>
      <c r="G5" s="14">
        <f>GETPIVOTDATA("PALETES",DINÂMICA!$A$44,"Cliente","CORTEVA","Nome Comercial","P3845VYHR","Tipo de Produto","PBT - Produto Acabado em Big Bag Tratado")+GETPIVOTDATA("PALETES",DINÂMICA!$A$44,"Cliente","CORTEVA","Nome Comercial","P3889R","Tipo de Produto","PBT - Produto Acabado em Big Bag Tratado")</f>
        <v>677</v>
      </c>
      <c r="H5" s="16">
        <f>C5-G5</f>
        <v>59</v>
      </c>
      <c r="I5" s="16">
        <f>GETPIVOTDATA("Quantidade em Estoque",DINÂMICA!$F$3,"Cliente","CORTEVA","Tipo de Produto","PBT - Produto Acabado em Big Bag Tratado")</f>
        <v>191</v>
      </c>
      <c r="J5" s="77">
        <v>191</v>
      </c>
      <c r="K5" s="103">
        <f>IFERROR(GETPIVOTDATA("Quantidade Apontada",DINÂMICA!$F$14,"Cliente","CORTEVA","Tipo Produto","PBT - Produto Acabado em Big Bag Tratado"),0)</f>
        <v>318</v>
      </c>
      <c r="L5" s="16">
        <f>IFERROR(GETPIVOTDATA("Quantidade Apontada",DINÂMICA!$F$24,"Cliente","CORTEVA","Tipo Produto","PBT - Produto Acabado em Big Bag Tratado"),0)</f>
        <v>529</v>
      </c>
      <c r="M5" s="16">
        <f>C5-I5</f>
        <v>545</v>
      </c>
      <c r="N5" s="116">
        <f>F5*40</f>
        <v>29440</v>
      </c>
      <c r="O5" s="27">
        <f>GETPIVOTDATA("QUANTID.",DINÂMICA!$A$62,"Cliente","CORTEVA","Nome Comercial","P3845VYHR","Tipo de Produto","PBT - Produto Acabado em Big Bag Tratado")*40</f>
        <v>19440</v>
      </c>
      <c r="P5" s="117">
        <f>GETPIVOTDATA("QUANTID.",DINÂMICA!$A$95,"Cliente","CORTEVA","Nome Comercial","P3889R","Tipo de Produto","PBT - Produto Acabado em Big Bag Tratado")*50</f>
        <v>9550</v>
      </c>
      <c r="Q5" s="72">
        <f>(O5*O11)/O9</f>
        <v>0.24299999999999999</v>
      </c>
      <c r="R5" s="9">
        <f>I5*40</f>
        <v>7640</v>
      </c>
      <c r="S5" s="9"/>
    </row>
    <row r="6" spans="2:20">
      <c r="B6" s="23" t="s">
        <v>94</v>
      </c>
      <c r="C6" s="27">
        <f>GETPIVOTDATA("QUANTID.",DINÂMICA!$A$5,"Cliente","CORTEVA","Nome Comercial","P3845VYHR","Tipo de Produto","PAB - Produto acabado em Bag")+GETPIVOTDATA("QUANTID.",DINÂMICA!$A$5,"Cliente","CORTEVA","Nome Comercial","P3889R","Tipo de Produto","PAB - Produto acabado em Bag")</f>
        <v>195858.35</v>
      </c>
      <c r="D6" s="29" t="s">
        <v>35</v>
      </c>
      <c r="E6" s="27">
        <f>GETPIVOTDATA("PESO LÍQUIDO",DINÂMICA!$A$5,"Cliente","CORTEVA","Nome Comercial","P3845VYHR","Tipo de Produto","PAB - Produto acabado em Bag")+GETPIVOTDATA("PESO LÍQUIDO",DINÂMICA!$A$5,"Cliente","CORTEVA","Nome Comercial","P3889R","Tipo de Produto","PAB - Produto acabado em Bag")</f>
        <v>195858.35</v>
      </c>
      <c r="F6" s="12">
        <f>IFERROR(GETPIVOTDATA("PALETES",DINÂMICA!$A$44,"Cliente","CORTEVA","Nome Comercial","P3845VYHR","Tipo de Produto","PAB - Produto acabado em Bag"),0)</f>
        <v>92</v>
      </c>
      <c r="G6" s="14">
        <f>IFERROR(GETPIVOTDATA("QUANTID.",DINÂMICA!$A$44,"Cliente","CORTEVA","Tipo de Produto","PAB - Produto acabado em Bag"),0)</f>
        <v>100745</v>
      </c>
      <c r="H6" s="16">
        <f>IFERROR(GETPIVOTDATA("Quantidade",DINÂMICA!$A$80,"Tipo de Produto","PAB - Produto acabado em Bag"),0)</f>
        <v>18000</v>
      </c>
      <c r="I6" s="16">
        <v>0</v>
      </c>
      <c r="J6" s="77"/>
      <c r="K6" s="16"/>
      <c r="L6" s="16"/>
      <c r="M6" s="17"/>
      <c r="N6" s="116">
        <f>E6/17.5</f>
        <v>11191.905714285715</v>
      </c>
      <c r="O6" s="27"/>
      <c r="P6" s="117">
        <f>IFERROR(ROUNDUP(GETPIVOTDATA("QUANTID.",DINÂMICA!$A$95,"Cliente","CORTEVA","Tipo de Produto","PAB - Produto acabado em Bag")/17.5,0),0)</f>
        <v>0</v>
      </c>
      <c r="Q6" s="72"/>
      <c r="R6" s="7"/>
      <c r="T6" s="9"/>
    </row>
    <row r="7" spans="2:20" ht="16.5" thickBot="1">
      <c r="B7" s="91" t="s">
        <v>95</v>
      </c>
      <c r="C7" s="92"/>
      <c r="D7" s="30"/>
      <c r="E7" s="26"/>
      <c r="F7" s="4">
        <f>SUM(F2:F6)</f>
        <v>1155</v>
      </c>
      <c r="G7" s="4"/>
      <c r="H7" s="5"/>
      <c r="I7" s="6"/>
      <c r="J7" s="82"/>
      <c r="K7" s="5"/>
      <c r="L7" s="6"/>
      <c r="M7" s="6"/>
      <c r="N7" s="118"/>
      <c r="O7" s="119"/>
      <c r="P7" s="120"/>
    </row>
    <row r="8" spans="2:20" ht="16.5" thickBot="1">
      <c r="H8" s="123" t="s">
        <v>97</v>
      </c>
      <c r="I8" s="90">
        <f>I3-J3</f>
        <v>43</v>
      </c>
      <c r="J8" t="s">
        <v>133</v>
      </c>
    </row>
    <row r="9" spans="2:20" ht="16.5" thickBot="1">
      <c r="B9" s="73" t="s">
        <v>96</v>
      </c>
      <c r="C9" s="85"/>
      <c r="D9" s="74">
        <f>N9</f>
        <v>32310</v>
      </c>
      <c r="H9" s="124"/>
      <c r="I9" s="20">
        <f>I5-J5</f>
        <v>0</v>
      </c>
      <c r="J9" t="s">
        <v>134</v>
      </c>
      <c r="K9" s="9">
        <f>I9*40</f>
        <v>0</v>
      </c>
      <c r="N9" s="9">
        <f>SUM(O3:O7:P3:P7)</f>
        <v>32310</v>
      </c>
      <c r="O9">
        <f>SUM(O3:O6)</f>
        <v>19916</v>
      </c>
      <c r="P9">
        <f>SUM(P3:P6)</f>
        <v>12394</v>
      </c>
      <c r="T9" s="7"/>
    </row>
    <row r="10" spans="2:20">
      <c r="B10" s="75" t="s">
        <v>170</v>
      </c>
      <c r="C10" s="87">
        <v>160000</v>
      </c>
      <c r="D10" s="88">
        <v>1</v>
      </c>
      <c r="J10" s="83"/>
      <c r="K10" s="84"/>
      <c r="L10" s="84"/>
      <c r="O10" s="9"/>
    </row>
    <row r="11" spans="2:20">
      <c r="B11" s="75" t="s">
        <v>164</v>
      </c>
      <c r="C11" s="87">
        <v>80000</v>
      </c>
      <c r="D11" s="88">
        <f>O11</f>
        <v>0.24895</v>
      </c>
      <c r="J11" s="83"/>
      <c r="K11" s="84"/>
      <c r="L11" s="84"/>
      <c r="N11" s="10">
        <f>N9/N12</f>
        <v>0.20193749999999999</v>
      </c>
      <c r="O11" s="72">
        <f>O9/O12</f>
        <v>0.24895</v>
      </c>
      <c r="P11" s="72">
        <f>P9/O12</f>
        <v>0.15492500000000001</v>
      </c>
    </row>
    <row r="12" spans="2:20">
      <c r="B12" s="18" t="s">
        <v>165</v>
      </c>
      <c r="C12" s="89">
        <v>80000</v>
      </c>
      <c r="D12" s="76">
        <f>P11</f>
        <v>0.15492500000000001</v>
      </c>
      <c r="M12" s="9"/>
      <c r="N12" s="7">
        <v>160000</v>
      </c>
      <c r="O12" s="7">
        <v>80000</v>
      </c>
    </row>
    <row r="13" spans="2:20" ht="16.5" thickBot="1">
      <c r="B13" s="8" t="s">
        <v>98</v>
      </c>
      <c r="C13" s="86"/>
      <c r="D13" s="21">
        <f>D9/C10</f>
        <v>0.20193749999999999</v>
      </c>
      <c r="H13" s="9"/>
      <c r="J13" s="7"/>
    </row>
    <row r="15" spans="2:20">
      <c r="B15" s="31" t="s">
        <v>99</v>
      </c>
      <c r="C15" s="31"/>
      <c r="D15" s="36" t="s">
        <v>100</v>
      </c>
      <c r="I15" s="9"/>
      <c r="K15" s="7"/>
      <c r="L15" s="7"/>
    </row>
    <row r="16" spans="2:20">
      <c r="B16" t="s">
        <v>94</v>
      </c>
      <c r="D16" s="99">
        <f>(SUM(G6)/17.5)</f>
        <v>5756.8571428571431</v>
      </c>
    </row>
    <row r="17" spans="2:13">
      <c r="B17" t="s">
        <v>26</v>
      </c>
      <c r="D17" s="100">
        <f>GETPIVOTDATA("QUANTID.",DINÂMICA!$A$5,"Cliente","CORTEVA","Nome Comercial","P3845VYHR","Tipo de Produto","PBT - Produto Acabado em Big Bag Tratado")*40+GETPIVOTDATA("QUANTID.",DINÂMICA!$A$5,"Cliente","CORTEVA","Nome Comercial","P3889R","Tipo de Produto","PBT - Produto Acabado em Big Bag Tratado")*50</f>
        <v>31350</v>
      </c>
    </row>
    <row r="18" spans="2:13">
      <c r="B18" s="34" t="s">
        <v>25</v>
      </c>
      <c r="C18" s="34"/>
      <c r="D18" s="101">
        <f>C3</f>
        <v>3357</v>
      </c>
      <c r="M18" s="39"/>
    </row>
    <row r="19" spans="2:13">
      <c r="B19" s="35"/>
      <c r="C19" s="35"/>
      <c r="D19" s="47">
        <f>SUM(D16:D18)</f>
        <v>40463.857142857145</v>
      </c>
      <c r="M19" s="39"/>
    </row>
    <row r="20" spans="2:13">
      <c r="D20" s="7"/>
      <c r="K20" s="7"/>
      <c r="L20" s="7"/>
      <c r="M20" s="39"/>
    </row>
    <row r="21" spans="2:13">
      <c r="B21" s="125" t="s">
        <v>189</v>
      </c>
      <c r="C21" s="125"/>
      <c r="D21" s="125"/>
      <c r="E21" s="125"/>
      <c r="F21" s="125"/>
      <c r="K21" s="7"/>
      <c r="L21" s="7"/>
    </row>
    <row r="22" spans="2:13">
      <c r="J22" s="7"/>
    </row>
    <row r="23" spans="2:13">
      <c r="B23" s="31" t="s">
        <v>101</v>
      </c>
      <c r="C23" s="31"/>
      <c r="D23" s="45" t="s">
        <v>102</v>
      </c>
      <c r="E23" s="45" t="s">
        <v>103</v>
      </c>
      <c r="F23" s="45" t="s">
        <v>104</v>
      </c>
      <c r="H23" s="7"/>
      <c r="J23" s="39"/>
      <c r="K23" s="32"/>
      <c r="L23" s="32"/>
    </row>
    <row r="24" spans="2:13">
      <c r="B24" t="s">
        <v>105</v>
      </c>
      <c r="D24" s="41">
        <v>1187</v>
      </c>
      <c r="E24" s="46">
        <f>SUM(I8,M3)</f>
        <v>556</v>
      </c>
      <c r="F24" s="43">
        <f>ROUNDUP((E24)/D24,0)</f>
        <v>1</v>
      </c>
      <c r="H24" s="32"/>
      <c r="J24" s="39"/>
    </row>
    <row r="25" spans="2:13">
      <c r="B25" s="34" t="s">
        <v>106</v>
      </c>
      <c r="C25" s="34"/>
      <c r="D25" s="44">
        <v>21</v>
      </c>
      <c r="E25" s="51">
        <f>SUM(I9,M5)</f>
        <v>545</v>
      </c>
      <c r="F25" s="48">
        <f>ROUNDUP((E25)/D25,0)</f>
        <v>26</v>
      </c>
    </row>
    <row r="26" spans="2:13">
      <c r="F26" s="121">
        <f>SUM(F24:F25)</f>
        <v>27</v>
      </c>
    </row>
    <row r="27" spans="2:13">
      <c r="F27" s="42"/>
    </row>
    <row r="28" spans="2:13">
      <c r="B28" s="34" t="s">
        <v>107</v>
      </c>
      <c r="C28" s="34"/>
      <c r="D28" s="34"/>
      <c r="E28" s="34"/>
      <c r="F28" s="49">
        <v>4</v>
      </c>
    </row>
    <row r="29" spans="2:13">
      <c r="B29" t="s">
        <v>108</v>
      </c>
      <c r="F29" s="50">
        <f>ROUNDUP(F26/F28,0)</f>
        <v>7</v>
      </c>
    </row>
    <row r="30" spans="2:13">
      <c r="E30" s="47"/>
    </row>
  </sheetData>
  <mergeCells count="2">
    <mergeCell ref="H8:H9"/>
    <mergeCell ref="B21:F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AFC8-ECB1-4C7D-ADC1-424DCCBF0E76}">
  <sheetPr>
    <tabColor rgb="FFC00000"/>
  </sheetPr>
  <dimension ref="A1:P67"/>
  <sheetViews>
    <sheetView showGridLines="0" workbookViewId="0">
      <selection activeCell="F4" sqref="F4"/>
    </sheetView>
  </sheetViews>
  <sheetFormatPr defaultRowHeight="15.75"/>
  <cols>
    <col min="1" max="1" width="29" style="54" customWidth="1"/>
    <col min="2" max="2" width="15.5" style="54" bestFit="1" customWidth="1"/>
    <col min="3" max="3" width="19.375" style="54" bestFit="1" customWidth="1"/>
    <col min="4" max="4" width="24.25" style="54" bestFit="1" customWidth="1"/>
    <col min="5" max="5" width="7.75" customWidth="1"/>
    <col min="6" max="6" width="24" customWidth="1"/>
    <col min="7" max="7" width="16" customWidth="1"/>
    <col min="8" max="8" width="11.875" customWidth="1"/>
    <col min="9" max="9" width="17.5" style="54" bestFit="1" customWidth="1"/>
    <col min="10" max="10" width="13.375" style="54" bestFit="1" customWidth="1"/>
    <col min="11" max="11" width="12.25" style="54" customWidth="1"/>
    <col min="12" max="12" width="16.125" style="54" bestFit="1" customWidth="1"/>
    <col min="13" max="13" width="15.75" style="54" customWidth="1"/>
    <col min="14" max="14" width="9.875" style="54" bestFit="1" customWidth="1"/>
    <col min="15" max="15" width="11.125" style="54" bestFit="1" customWidth="1"/>
    <col min="16" max="16" width="11.625" style="54" bestFit="1" customWidth="1"/>
    <col min="17" max="16384" width="9" style="54"/>
  </cols>
  <sheetData>
    <row r="1" spans="1:16" ht="23.25">
      <c r="A1" s="52" t="s">
        <v>1748</v>
      </c>
      <c r="B1" s="53"/>
      <c r="C1" s="53"/>
      <c r="D1" s="53"/>
    </row>
    <row r="2" spans="1:16">
      <c r="A2" s="53"/>
      <c r="B2" s="53"/>
      <c r="C2" s="53"/>
      <c r="D2" s="53"/>
    </row>
    <row r="3" spans="1:16" s="56" customFormat="1">
      <c r="A3" s="62" t="s">
        <v>109</v>
      </c>
      <c r="B3" s="62" t="s">
        <v>110</v>
      </c>
      <c r="C3" s="62" t="s">
        <v>111</v>
      </c>
      <c r="D3" s="62" t="s">
        <v>112</v>
      </c>
      <c r="E3"/>
      <c r="F3"/>
      <c r="G3"/>
      <c r="H3"/>
    </row>
    <row r="4" spans="1:16" s="56" customFormat="1">
      <c r="A4" s="68" t="s">
        <v>113</v>
      </c>
      <c r="B4" s="69">
        <v>46260</v>
      </c>
      <c r="C4" s="58">
        <f>ROUNDUP(B5/B6,0)</f>
        <v>48</v>
      </c>
      <c r="D4" s="59">
        <f>INDEX(F13:F67,MATCH(0,K13:K67,0))</f>
        <v>46336</v>
      </c>
      <c r="E4"/>
      <c r="F4"/>
      <c r="G4"/>
      <c r="H4"/>
    </row>
    <row r="5" spans="1:16" s="56" customFormat="1">
      <c r="A5" s="68" t="s">
        <v>114</v>
      </c>
      <c r="B5" s="70">
        <f>108+83</f>
        <v>191</v>
      </c>
      <c r="E5"/>
      <c r="F5"/>
      <c r="G5"/>
      <c r="H5"/>
    </row>
    <row r="6" spans="1:16" s="56" customFormat="1" ht="21">
      <c r="A6" s="68" t="s">
        <v>115</v>
      </c>
      <c r="B6" s="70">
        <v>4</v>
      </c>
      <c r="C6" s="60"/>
      <c r="D6" s="60"/>
      <c r="E6"/>
      <c r="F6"/>
      <c r="G6"/>
      <c r="H6"/>
      <c r="I6" s="126"/>
      <c r="J6" s="127"/>
      <c r="K6" s="127"/>
      <c r="L6" s="127"/>
      <c r="M6" s="127"/>
      <c r="N6" s="127"/>
      <c r="O6" s="127"/>
      <c r="P6" s="127"/>
    </row>
    <row r="7" spans="1:16" s="56" customFormat="1">
      <c r="A7" s="68" t="s">
        <v>116</v>
      </c>
      <c r="B7" s="71" t="s">
        <v>117</v>
      </c>
      <c r="C7" s="60"/>
      <c r="D7" s="63"/>
      <c r="E7"/>
      <c r="F7"/>
      <c r="G7"/>
      <c r="H7"/>
      <c r="I7" s="55"/>
      <c r="J7" s="55"/>
      <c r="K7" s="55"/>
      <c r="L7" s="55"/>
      <c r="M7" s="55"/>
      <c r="N7" s="55"/>
      <c r="O7" s="55"/>
      <c r="P7" s="55"/>
    </row>
    <row r="8" spans="1:16" s="56" customFormat="1">
      <c r="A8" s="68" t="s">
        <v>118</v>
      </c>
      <c r="B8" s="71" t="s">
        <v>119</v>
      </c>
      <c r="C8" s="60"/>
      <c r="D8" s="63"/>
      <c r="E8"/>
      <c r="F8" s="57" t="s">
        <v>113</v>
      </c>
      <c r="G8" s="69">
        <f>CARGAS!B4</f>
        <v>46260</v>
      </c>
      <c r="H8" s="55"/>
      <c r="I8" s="55"/>
      <c r="J8" s="55"/>
      <c r="K8" s="55"/>
      <c r="L8" s="55"/>
      <c r="M8" s="55"/>
    </row>
    <row r="9" spans="1:16" s="56" customFormat="1">
      <c r="A9" s="55"/>
      <c r="B9" s="55"/>
      <c r="C9" s="55"/>
      <c r="D9" s="61"/>
      <c r="E9"/>
      <c r="F9" s="57" t="s">
        <v>120</v>
      </c>
      <c r="G9" s="70">
        <f>CARGAS!B5</f>
        <v>191</v>
      </c>
      <c r="H9" s="55"/>
      <c r="I9" s="55"/>
      <c r="J9" s="55"/>
      <c r="K9" s="55"/>
      <c r="L9" s="55"/>
      <c r="M9" s="55"/>
    </row>
    <row r="10" spans="1:16" s="56" customFormat="1">
      <c r="A10" s="57" t="s">
        <v>121</v>
      </c>
      <c r="B10" s="55"/>
      <c r="C10" s="55"/>
      <c r="D10" s="55"/>
      <c r="E10"/>
      <c r="F10" s="57" t="s">
        <v>122</v>
      </c>
      <c r="G10" s="70">
        <f>CARGAS!B6</f>
        <v>4</v>
      </c>
      <c r="H10" s="55"/>
      <c r="I10" s="55"/>
      <c r="J10" s="55"/>
      <c r="K10" s="55"/>
      <c r="L10" s="55"/>
      <c r="M10" s="55"/>
    </row>
    <row r="11" spans="1:16" s="56" customFormat="1">
      <c r="A11" s="55"/>
      <c r="B11" s="55"/>
      <c r="C11" s="55"/>
      <c r="D11" s="55"/>
      <c r="E11"/>
      <c r="F11" s="57" t="s">
        <v>123</v>
      </c>
      <c r="G11" s="70">
        <f>ROUNDUP(G9/G10,0)</f>
        <v>48</v>
      </c>
      <c r="H11" s="55"/>
      <c r="I11" s="55"/>
      <c r="J11" s="55"/>
      <c r="K11" s="55"/>
      <c r="L11" s="55"/>
      <c r="M11" s="55"/>
    </row>
    <row r="12" spans="1:16" s="56" customFormat="1">
      <c r="A12" s="64" t="s">
        <v>124</v>
      </c>
      <c r="B12" s="64" t="s">
        <v>125</v>
      </c>
      <c r="C12" s="65" t="s">
        <v>126</v>
      </c>
      <c r="D12" s="64" t="s">
        <v>127</v>
      </c>
      <c r="E12"/>
      <c r="F12" s="64" t="s">
        <v>125</v>
      </c>
      <c r="G12" s="64" t="s">
        <v>128</v>
      </c>
      <c r="H12" s="64" t="s">
        <v>129</v>
      </c>
      <c r="I12" s="64" t="s">
        <v>130</v>
      </c>
      <c r="J12" s="64" t="s">
        <v>131</v>
      </c>
      <c r="K12" s="64" t="s">
        <v>127</v>
      </c>
      <c r="L12" s="64" t="s">
        <v>9</v>
      </c>
      <c r="M12" s="64" t="s">
        <v>132</v>
      </c>
    </row>
    <row r="13" spans="1:16" s="56" customFormat="1">
      <c r="A13" s="104">
        <f>CARGAS!H13</f>
        <v>1</v>
      </c>
      <c r="B13" s="105">
        <f>CARGAS!F13</f>
        <v>46260</v>
      </c>
      <c r="C13" s="104">
        <f>CARGAS!I13</f>
        <v>3</v>
      </c>
      <c r="D13" s="104">
        <f>CARGAS!K13</f>
        <v>188</v>
      </c>
      <c r="E13" s="67"/>
      <c r="F13" s="105">
        <f>IF(CARGAS!$B$5&lt;=0,"",CARGAS!$B$4)</f>
        <v>46260</v>
      </c>
      <c r="G13" s="106" t="str">
        <f t="shared" ref="G13:G33" si="0">IF(F13="","",TEXT(F13,"dddd"))</f>
        <v>quarta-feira</v>
      </c>
      <c r="H13" s="104">
        <f>IF(F13="","",NETWORKDAYS(CARGAS!$B$4,F13))</f>
        <v>1</v>
      </c>
      <c r="I13" s="104">
        <v>3</v>
      </c>
      <c r="J13" s="104">
        <f>IF(F13="","",CARGAS!$B$5-SUM($I$12:I12))</f>
        <v>191</v>
      </c>
      <c r="K13" s="104">
        <f t="shared" ref="K13:K33" si="1">IF(F13="","",MAX(0,J13-I13))</f>
        <v>188</v>
      </c>
      <c r="L13" s="106"/>
      <c r="M13" s="106"/>
    </row>
    <row r="14" spans="1:16" s="56" customFormat="1">
      <c r="A14" s="104">
        <f>CARGAS!H14</f>
        <v>2</v>
      </c>
      <c r="B14" s="105">
        <f>CARGAS!F14</f>
        <v>46261</v>
      </c>
      <c r="C14" s="104">
        <f>CARGAS!I14</f>
        <v>3</v>
      </c>
      <c r="D14" s="104">
        <f>CARGAS!K14</f>
        <v>185</v>
      </c>
      <c r="E14" s="67"/>
      <c r="F14" s="105">
        <f t="shared" ref="F14:F33" si="2">IFERROR(IF(K13&gt;0,WORKDAY(F13,1),""),"")</f>
        <v>46261</v>
      </c>
      <c r="G14" s="106" t="str">
        <f t="shared" si="0"/>
        <v>quinta-feira</v>
      </c>
      <c r="H14" s="104">
        <f>IF(F14="","",NETWORKDAYS(CARGAS!$B$4,F14))</f>
        <v>2</v>
      </c>
      <c r="I14" s="104">
        <v>3</v>
      </c>
      <c r="J14" s="104">
        <f>IF(F14="","",CARGAS!$B$5-SUM($I$12:I13))</f>
        <v>188</v>
      </c>
      <c r="K14" s="104">
        <f t="shared" si="1"/>
        <v>185</v>
      </c>
      <c r="L14" s="106"/>
      <c r="M14" s="106"/>
    </row>
    <row r="15" spans="1:16" s="56" customFormat="1">
      <c r="A15" s="104">
        <f>CARGAS!H15</f>
        <v>3</v>
      </c>
      <c r="B15" s="105">
        <f>CARGAS!F15</f>
        <v>46262</v>
      </c>
      <c r="C15" s="104">
        <f>CARGAS!I15</f>
        <v>3</v>
      </c>
      <c r="D15" s="104">
        <f>CARGAS!K15</f>
        <v>182</v>
      </c>
      <c r="E15" s="67"/>
      <c r="F15" s="105">
        <f t="shared" si="2"/>
        <v>46262</v>
      </c>
      <c r="G15" s="106" t="str">
        <f t="shared" si="0"/>
        <v>sexta-feira</v>
      </c>
      <c r="H15" s="104">
        <f>IF(F15="","",NETWORKDAYS(CARGAS!$B$4,F15))</f>
        <v>3</v>
      </c>
      <c r="I15" s="104">
        <v>3</v>
      </c>
      <c r="J15" s="104">
        <f>IF(F15="","",CARGAS!$B$5-SUM($I$12:I14))</f>
        <v>185</v>
      </c>
      <c r="K15" s="104">
        <f t="shared" si="1"/>
        <v>182</v>
      </c>
      <c r="L15" s="106"/>
      <c r="M15" s="106"/>
    </row>
    <row r="16" spans="1:16" s="56" customFormat="1">
      <c r="A16" s="104">
        <f>CARGAS!H16</f>
        <v>4</v>
      </c>
      <c r="B16" s="105">
        <f>CARGAS!F16</f>
        <v>46265</v>
      </c>
      <c r="C16" s="104">
        <f>CARGAS!I16</f>
        <v>4</v>
      </c>
      <c r="D16" s="104">
        <f>CARGAS!K16</f>
        <v>178</v>
      </c>
      <c r="E16" s="67"/>
      <c r="F16" s="105">
        <f t="shared" si="2"/>
        <v>46265</v>
      </c>
      <c r="G16" s="106" t="str">
        <f t="shared" si="0"/>
        <v>segunda-feira</v>
      </c>
      <c r="H16" s="104">
        <f>IF(F16="","",NETWORKDAYS(CARGAS!$B$4,F16))</f>
        <v>4</v>
      </c>
      <c r="I16" s="104">
        <v>4</v>
      </c>
      <c r="J16" s="104">
        <f>IF(F16="","",CARGAS!$B$5-SUM($I$12:I15))</f>
        <v>182</v>
      </c>
      <c r="K16" s="104">
        <f t="shared" si="1"/>
        <v>178</v>
      </c>
      <c r="L16" s="106"/>
      <c r="M16" s="106"/>
    </row>
    <row r="17" spans="1:13" s="56" customFormat="1">
      <c r="A17" s="104">
        <f>CARGAS!H17</f>
        <v>5</v>
      </c>
      <c r="B17" s="105">
        <f>CARGAS!F17</f>
        <v>46266</v>
      </c>
      <c r="C17" s="104">
        <f>CARGAS!I17</f>
        <v>5</v>
      </c>
      <c r="D17" s="104">
        <f>CARGAS!K17</f>
        <v>173</v>
      </c>
      <c r="E17" s="67"/>
      <c r="F17" s="105">
        <f t="shared" si="2"/>
        <v>46266</v>
      </c>
      <c r="G17" s="106" t="str">
        <f t="shared" si="0"/>
        <v>terça-feira</v>
      </c>
      <c r="H17" s="104">
        <f>IF(F17="","",NETWORKDAYS(CARGAS!$B$4,F17))</f>
        <v>5</v>
      </c>
      <c r="I17" s="104">
        <v>5</v>
      </c>
      <c r="J17" s="104">
        <f>IF(F17="","",CARGAS!$B$5-SUM($I$12:I16))</f>
        <v>178</v>
      </c>
      <c r="K17" s="104">
        <f t="shared" si="1"/>
        <v>173</v>
      </c>
      <c r="L17" s="106"/>
      <c r="M17" s="106"/>
    </row>
    <row r="18" spans="1:13" s="56" customFormat="1">
      <c r="A18" s="104">
        <f>CARGAS!H18</f>
        <v>6</v>
      </c>
      <c r="B18" s="105">
        <f>CARGAS!F18</f>
        <v>46267</v>
      </c>
      <c r="C18" s="104">
        <f>CARGAS!I18</f>
        <v>3</v>
      </c>
      <c r="D18" s="104">
        <f>CARGAS!K18</f>
        <v>170</v>
      </c>
      <c r="E18" s="67"/>
      <c r="F18" s="105">
        <f t="shared" si="2"/>
        <v>46267</v>
      </c>
      <c r="G18" s="106" t="str">
        <f t="shared" si="0"/>
        <v>quarta-feira</v>
      </c>
      <c r="H18" s="104">
        <f>IF(F18="","",NETWORKDAYS(CARGAS!$B$4,F18))</f>
        <v>6</v>
      </c>
      <c r="I18" s="104">
        <v>3</v>
      </c>
      <c r="J18" s="104">
        <f>IF(F18="","",CARGAS!$B$5-SUM($I$12:I17))</f>
        <v>173</v>
      </c>
      <c r="K18" s="104">
        <f t="shared" si="1"/>
        <v>170</v>
      </c>
      <c r="L18" s="106"/>
      <c r="M18" s="106"/>
    </row>
    <row r="19" spans="1:13" s="56" customFormat="1">
      <c r="A19" s="104">
        <f>CARGAS!H19</f>
        <v>7</v>
      </c>
      <c r="B19" s="105">
        <f>CARGAS!F19</f>
        <v>46268</v>
      </c>
      <c r="C19" s="104">
        <f>CARGAS!I19</f>
        <v>4</v>
      </c>
      <c r="D19" s="104">
        <f>CARGAS!K19</f>
        <v>166</v>
      </c>
      <c r="E19" s="67"/>
      <c r="F19" s="105">
        <f t="shared" si="2"/>
        <v>46268</v>
      </c>
      <c r="G19" s="106" t="str">
        <f t="shared" si="0"/>
        <v>quinta-feira</v>
      </c>
      <c r="H19" s="104">
        <f>IF(F19="","",NETWORKDAYS(CARGAS!$B$4,F19))</f>
        <v>7</v>
      </c>
      <c r="I19" s="104">
        <v>4</v>
      </c>
      <c r="J19" s="104">
        <f>IF(F19="","",CARGAS!$B$5-SUM($I$12:I18))</f>
        <v>170</v>
      </c>
      <c r="K19" s="104">
        <f t="shared" si="1"/>
        <v>166</v>
      </c>
      <c r="L19" s="106"/>
      <c r="M19" s="106"/>
    </row>
    <row r="20" spans="1:13" s="56" customFormat="1">
      <c r="A20" s="110">
        <f>CARGAS!H20</f>
        <v>8</v>
      </c>
      <c r="B20" s="111">
        <f>CARGAS!F20</f>
        <v>46269</v>
      </c>
      <c r="C20" s="110">
        <f>CARGAS!I20</f>
        <v>0</v>
      </c>
      <c r="D20" s="110">
        <f>CARGAS!K20</f>
        <v>166</v>
      </c>
      <c r="E20" s="67"/>
      <c r="F20" s="111">
        <f t="shared" si="2"/>
        <v>46269</v>
      </c>
      <c r="G20" s="112" t="str">
        <f t="shared" si="0"/>
        <v>sexta-feira</v>
      </c>
      <c r="H20" s="110">
        <f>IF(F20="","",NETWORKDAYS(CARGAS!$B$4,F20))</f>
        <v>8</v>
      </c>
      <c r="I20" s="110">
        <v>0</v>
      </c>
      <c r="J20" s="110">
        <f>IF(F20="","",CARGAS!$B$5-SUM($I$12:I19))</f>
        <v>166</v>
      </c>
      <c r="K20" s="110">
        <f t="shared" si="1"/>
        <v>166</v>
      </c>
      <c r="L20" s="112"/>
      <c r="M20" s="112"/>
    </row>
    <row r="21" spans="1:13" s="56" customFormat="1">
      <c r="A21" s="110">
        <f>CARGAS!H21</f>
        <v>9</v>
      </c>
      <c r="B21" s="111">
        <f>CARGAS!F21</f>
        <v>46272</v>
      </c>
      <c r="C21" s="110">
        <f>CARGAS!I21</f>
        <v>0</v>
      </c>
      <c r="D21" s="110">
        <f>CARGAS!K21</f>
        <v>166</v>
      </c>
      <c r="E21" s="67"/>
      <c r="F21" s="111">
        <f t="shared" si="2"/>
        <v>46272</v>
      </c>
      <c r="G21" s="112" t="str">
        <f t="shared" si="0"/>
        <v>segunda-feira</v>
      </c>
      <c r="H21" s="110">
        <f>IF(F21="","",NETWORKDAYS(CARGAS!$B$4,F21))</f>
        <v>9</v>
      </c>
      <c r="I21" s="110">
        <v>0</v>
      </c>
      <c r="J21" s="110">
        <f>IF(F21="","",CARGAS!$B$5-SUM($I$12:I20))</f>
        <v>166</v>
      </c>
      <c r="K21" s="110">
        <f t="shared" si="1"/>
        <v>166</v>
      </c>
      <c r="L21" s="112"/>
      <c r="M21" s="112"/>
    </row>
    <row r="22" spans="1:13" s="56" customFormat="1">
      <c r="A22" s="104">
        <f>CARGAS!H22</f>
        <v>10</v>
      </c>
      <c r="B22" s="105">
        <f>CARGAS!F22</f>
        <v>46273</v>
      </c>
      <c r="C22" s="104">
        <f>CARGAS!I22</f>
        <v>5</v>
      </c>
      <c r="D22" s="104">
        <f>CARGAS!K22</f>
        <v>161</v>
      </c>
      <c r="E22" s="67"/>
      <c r="F22" s="105">
        <f t="shared" si="2"/>
        <v>46273</v>
      </c>
      <c r="G22" s="106" t="str">
        <f t="shared" si="0"/>
        <v>terça-feira</v>
      </c>
      <c r="H22" s="104">
        <f>IF(F22="","",NETWORKDAYS(CARGAS!$B$4,F22))</f>
        <v>10</v>
      </c>
      <c r="I22" s="104">
        <v>5</v>
      </c>
      <c r="J22" s="104">
        <f>IF(F22="","",CARGAS!$B$5-SUM($I$12:I21))</f>
        <v>166</v>
      </c>
      <c r="K22" s="104">
        <f t="shared" si="1"/>
        <v>161</v>
      </c>
      <c r="L22" s="106"/>
      <c r="M22" s="106"/>
    </row>
    <row r="23" spans="1:13" s="56" customFormat="1">
      <c r="A23" s="104">
        <f>CARGAS!H23</f>
        <v>11</v>
      </c>
      <c r="B23" s="105">
        <f>CARGAS!F23</f>
        <v>46274</v>
      </c>
      <c r="C23" s="104">
        <f>CARGAS!I23</f>
        <v>3</v>
      </c>
      <c r="D23" s="104">
        <f>CARGAS!K23</f>
        <v>158</v>
      </c>
      <c r="E23" s="67"/>
      <c r="F23" s="105">
        <f t="shared" si="2"/>
        <v>46274</v>
      </c>
      <c r="G23" s="106" t="str">
        <f t="shared" si="0"/>
        <v>quarta-feira</v>
      </c>
      <c r="H23" s="104">
        <f>IF(F23="","",NETWORKDAYS(CARGAS!$B$4,F23))</f>
        <v>11</v>
      </c>
      <c r="I23" s="104">
        <v>3</v>
      </c>
      <c r="J23" s="104">
        <f>IF(F23="","",CARGAS!$B$5-SUM($I$12:I22))</f>
        <v>161</v>
      </c>
      <c r="K23" s="104">
        <f t="shared" si="1"/>
        <v>158</v>
      </c>
      <c r="L23" s="106"/>
      <c r="M23" s="106"/>
    </row>
    <row r="24" spans="1:13" s="56" customFormat="1">
      <c r="A24" s="104">
        <f>CARGAS!H24</f>
        <v>12</v>
      </c>
      <c r="B24" s="105">
        <f>CARGAS!F24</f>
        <v>46275</v>
      </c>
      <c r="C24" s="104">
        <f>CARGAS!I24</f>
        <v>4</v>
      </c>
      <c r="D24" s="104">
        <f>CARGAS!K24</f>
        <v>154</v>
      </c>
      <c r="E24" s="67"/>
      <c r="F24" s="105">
        <f t="shared" si="2"/>
        <v>46275</v>
      </c>
      <c r="G24" s="106" t="str">
        <f t="shared" si="0"/>
        <v>quinta-feira</v>
      </c>
      <c r="H24" s="104">
        <f>IF(F24="","",NETWORKDAYS(CARGAS!$B$4,F24))</f>
        <v>12</v>
      </c>
      <c r="I24" s="104">
        <f>IF(F24="","",MIN(CARGAS!$B$6,J24))</f>
        <v>4</v>
      </c>
      <c r="J24" s="104">
        <f>IF(F24="","",CARGAS!$B$5-SUM($I$12:I23))</f>
        <v>158</v>
      </c>
      <c r="K24" s="104">
        <f t="shared" si="1"/>
        <v>154</v>
      </c>
      <c r="L24" s="106"/>
      <c r="M24" s="106"/>
    </row>
    <row r="25" spans="1:13" s="56" customFormat="1">
      <c r="A25" s="104">
        <f>CARGAS!H25</f>
        <v>13</v>
      </c>
      <c r="B25" s="105">
        <f>CARGAS!F25</f>
        <v>46276</v>
      </c>
      <c r="C25" s="104">
        <f>CARGAS!I25</f>
        <v>4</v>
      </c>
      <c r="D25" s="104">
        <f>CARGAS!K25</f>
        <v>150</v>
      </c>
      <c r="E25" s="67"/>
      <c r="F25" s="105">
        <f t="shared" si="2"/>
        <v>46276</v>
      </c>
      <c r="G25" s="106" t="str">
        <f t="shared" si="0"/>
        <v>sexta-feira</v>
      </c>
      <c r="H25" s="104">
        <f>IF(F25="","",NETWORKDAYS(CARGAS!$B$4,F25))</f>
        <v>13</v>
      </c>
      <c r="I25" s="104">
        <f>IF(F25="","",MIN(CARGAS!$B$6,J25))</f>
        <v>4</v>
      </c>
      <c r="J25" s="104">
        <f>IF(F25="","",CARGAS!$B$5-SUM($I$12:I24))</f>
        <v>154</v>
      </c>
      <c r="K25" s="104">
        <f t="shared" si="1"/>
        <v>150</v>
      </c>
      <c r="L25" s="106"/>
      <c r="M25" s="106"/>
    </row>
    <row r="26" spans="1:13">
      <c r="A26" s="104">
        <f>CARGAS!H26</f>
        <v>14</v>
      </c>
      <c r="B26" s="105">
        <f>CARGAS!F26</f>
        <v>46279</v>
      </c>
      <c r="C26" s="104">
        <f>CARGAS!I26</f>
        <v>4</v>
      </c>
      <c r="D26" s="104">
        <f>CARGAS!K26</f>
        <v>146</v>
      </c>
      <c r="E26" s="67"/>
      <c r="F26" s="105">
        <f t="shared" si="2"/>
        <v>46279</v>
      </c>
      <c r="G26" s="106" t="str">
        <f t="shared" si="0"/>
        <v>segunda-feira</v>
      </c>
      <c r="H26" s="104">
        <f>IF(F26="","",NETWORKDAYS(CARGAS!$B$4,F26))</f>
        <v>14</v>
      </c>
      <c r="I26" s="104">
        <f>IF(F26="","",MIN(CARGAS!$B$6,J26))</f>
        <v>4</v>
      </c>
      <c r="J26" s="104">
        <f>IF(F26="","",CARGAS!$B$5-SUM($I$12:I25))</f>
        <v>150</v>
      </c>
      <c r="K26" s="104">
        <f t="shared" si="1"/>
        <v>146</v>
      </c>
      <c r="L26" s="106"/>
      <c r="M26" s="106"/>
    </row>
    <row r="27" spans="1:13">
      <c r="A27" s="104">
        <f>CARGAS!H27</f>
        <v>15</v>
      </c>
      <c r="B27" s="105">
        <f>CARGAS!F27</f>
        <v>46280</v>
      </c>
      <c r="C27" s="104">
        <f>CARGAS!I27</f>
        <v>4</v>
      </c>
      <c r="D27" s="104">
        <f>CARGAS!K27</f>
        <v>142</v>
      </c>
      <c r="E27" s="67"/>
      <c r="F27" s="105">
        <f t="shared" si="2"/>
        <v>46280</v>
      </c>
      <c r="G27" s="106" t="str">
        <f t="shared" si="0"/>
        <v>terça-feira</v>
      </c>
      <c r="H27" s="104">
        <f>IF(F27="","",NETWORKDAYS(CARGAS!$B$4,F27))</f>
        <v>15</v>
      </c>
      <c r="I27" s="104">
        <f>IF(F27="","",MIN(CARGAS!$B$6,J27))</f>
        <v>4</v>
      </c>
      <c r="J27" s="104">
        <f>IF(F27="","",CARGAS!$B$5-SUM($I$12:I26))</f>
        <v>146</v>
      </c>
      <c r="K27" s="104">
        <f t="shared" si="1"/>
        <v>142</v>
      </c>
      <c r="L27" s="106"/>
      <c r="M27" s="106"/>
    </row>
    <row r="28" spans="1:13">
      <c r="A28" s="104">
        <f>CARGAS!H28</f>
        <v>16</v>
      </c>
      <c r="B28" s="105">
        <f>CARGAS!F28</f>
        <v>46281</v>
      </c>
      <c r="C28" s="104">
        <f>CARGAS!I28</f>
        <v>4</v>
      </c>
      <c r="D28" s="104">
        <f>CARGAS!K28</f>
        <v>138</v>
      </c>
      <c r="E28" s="67"/>
      <c r="F28" s="105">
        <f t="shared" si="2"/>
        <v>46281</v>
      </c>
      <c r="G28" s="106" t="str">
        <f t="shared" si="0"/>
        <v>quarta-feira</v>
      </c>
      <c r="H28" s="104">
        <f>IF(F28="","",NETWORKDAYS(CARGAS!$B$4,F28))</f>
        <v>16</v>
      </c>
      <c r="I28" s="104">
        <f>IF(F28="","",MIN(CARGAS!$B$6,J28))</f>
        <v>4</v>
      </c>
      <c r="J28" s="104">
        <f>IF(F28="","",CARGAS!$B$5-SUM($I$12:I27))</f>
        <v>142</v>
      </c>
      <c r="K28" s="104">
        <f t="shared" si="1"/>
        <v>138</v>
      </c>
      <c r="L28" s="106"/>
      <c r="M28" s="106"/>
    </row>
    <row r="29" spans="1:13">
      <c r="A29" s="104">
        <f>CARGAS!H29</f>
        <v>17</v>
      </c>
      <c r="B29" s="105">
        <f>CARGAS!F29</f>
        <v>46282</v>
      </c>
      <c r="C29" s="104">
        <f>CARGAS!I29</f>
        <v>4</v>
      </c>
      <c r="D29" s="104">
        <f>CARGAS!K29</f>
        <v>134</v>
      </c>
      <c r="E29" s="67"/>
      <c r="F29" s="105">
        <f t="shared" si="2"/>
        <v>46282</v>
      </c>
      <c r="G29" s="106" t="str">
        <f t="shared" si="0"/>
        <v>quinta-feira</v>
      </c>
      <c r="H29" s="104">
        <f>IF(F29="","",NETWORKDAYS(CARGAS!$B$4,F29))</f>
        <v>17</v>
      </c>
      <c r="I29" s="104">
        <f>IF(F29="","",MIN(CARGAS!$B$6,J29))</f>
        <v>4</v>
      </c>
      <c r="J29" s="104">
        <f>IF(F29="","",CARGAS!$B$5-SUM($I$12:I28))</f>
        <v>138</v>
      </c>
      <c r="K29" s="104">
        <f t="shared" si="1"/>
        <v>134</v>
      </c>
      <c r="L29" s="106"/>
      <c r="M29" s="106"/>
    </row>
    <row r="30" spans="1:13">
      <c r="A30" s="104">
        <f>CARGAS!H30</f>
        <v>18</v>
      </c>
      <c r="B30" s="105">
        <f>CARGAS!F30</f>
        <v>46283</v>
      </c>
      <c r="C30" s="104">
        <f>CARGAS!I30</f>
        <v>5</v>
      </c>
      <c r="D30" s="104">
        <f>CARGAS!K30</f>
        <v>129</v>
      </c>
      <c r="E30" s="67"/>
      <c r="F30" s="105">
        <f t="shared" si="2"/>
        <v>46283</v>
      </c>
      <c r="G30" s="106" t="str">
        <f t="shared" si="0"/>
        <v>sexta-feira</v>
      </c>
      <c r="H30" s="104">
        <f>IF(F30="","",NETWORKDAYS(CARGAS!$B$4,F30))</f>
        <v>18</v>
      </c>
      <c r="I30" s="104">
        <v>5</v>
      </c>
      <c r="J30" s="104">
        <f>IF(F30="","",CARGAS!$B$5-SUM($I$12:I29))</f>
        <v>134</v>
      </c>
      <c r="K30" s="104">
        <f t="shared" si="1"/>
        <v>129</v>
      </c>
      <c r="L30" s="106"/>
      <c r="M30" s="106"/>
    </row>
    <row r="31" spans="1:13">
      <c r="A31" s="104">
        <f>CARGAS!H31</f>
        <v>19</v>
      </c>
      <c r="B31" s="105">
        <f>CARGAS!F31</f>
        <v>46286</v>
      </c>
      <c r="C31" s="104">
        <f>CARGAS!I31</f>
        <v>4</v>
      </c>
      <c r="D31" s="104">
        <f>CARGAS!K31</f>
        <v>125</v>
      </c>
      <c r="E31" s="67"/>
      <c r="F31" s="105">
        <f t="shared" si="2"/>
        <v>46286</v>
      </c>
      <c r="G31" s="106" t="str">
        <f t="shared" si="0"/>
        <v>segunda-feira</v>
      </c>
      <c r="H31" s="104">
        <f>IF(F31="","",NETWORKDAYS(CARGAS!$B$4,F31))</f>
        <v>19</v>
      </c>
      <c r="I31" s="104">
        <f>IF(F31="","",MIN(CARGAS!$B$6,J31))</f>
        <v>4</v>
      </c>
      <c r="J31" s="104">
        <f>IF(F31="","",CARGAS!$B$5-SUM($I$12:I30))</f>
        <v>129</v>
      </c>
      <c r="K31" s="104">
        <f t="shared" si="1"/>
        <v>125</v>
      </c>
      <c r="L31" s="106"/>
      <c r="M31" s="106"/>
    </row>
    <row r="32" spans="1:13">
      <c r="A32" s="104">
        <f>CARGAS!H32</f>
        <v>20</v>
      </c>
      <c r="B32" s="105">
        <f>CARGAS!F32</f>
        <v>46287</v>
      </c>
      <c r="C32" s="104">
        <f>CARGAS!I32</f>
        <v>4</v>
      </c>
      <c r="D32" s="104">
        <f>CARGAS!K32</f>
        <v>121</v>
      </c>
      <c r="E32" s="67"/>
      <c r="F32" s="105">
        <f t="shared" si="2"/>
        <v>46287</v>
      </c>
      <c r="G32" s="106" t="str">
        <f t="shared" si="0"/>
        <v>terça-feira</v>
      </c>
      <c r="H32" s="104">
        <f>IF(F32="","",NETWORKDAYS(CARGAS!$B$4,F32))</f>
        <v>20</v>
      </c>
      <c r="I32" s="104">
        <f>IF(F32="","",MIN(CARGAS!$B$6,J32))</f>
        <v>4</v>
      </c>
      <c r="J32" s="104">
        <f>IF(F32="","",CARGAS!$B$5-SUM($I$12:I31))</f>
        <v>125</v>
      </c>
      <c r="K32" s="104">
        <f t="shared" si="1"/>
        <v>121</v>
      </c>
      <c r="L32" s="106"/>
      <c r="M32" s="106"/>
    </row>
    <row r="33" spans="1:13">
      <c r="A33" s="104">
        <f>CARGAS!H33</f>
        <v>21</v>
      </c>
      <c r="B33" s="105">
        <f>CARGAS!F33</f>
        <v>46288</v>
      </c>
      <c r="C33" s="104">
        <f>CARGAS!I33</f>
        <v>4</v>
      </c>
      <c r="D33" s="104">
        <f>CARGAS!K33</f>
        <v>117</v>
      </c>
      <c r="E33" s="67"/>
      <c r="F33" s="105">
        <f t="shared" si="2"/>
        <v>46288</v>
      </c>
      <c r="G33" s="106" t="str">
        <f t="shared" si="0"/>
        <v>quarta-feira</v>
      </c>
      <c r="H33" s="104">
        <f>IF(F33="","",NETWORKDAYS(CARGAS!$B$4,F33))</f>
        <v>21</v>
      </c>
      <c r="I33" s="104">
        <f>IF(F33="","",MIN(CARGAS!$B$6,J33))</f>
        <v>4</v>
      </c>
      <c r="J33" s="104">
        <f>IF(F33="","",CARGAS!$B$5-SUM($I$12:I32))</f>
        <v>121</v>
      </c>
      <c r="K33" s="104">
        <f t="shared" si="1"/>
        <v>117</v>
      </c>
      <c r="L33" s="106"/>
      <c r="M33" s="106"/>
    </row>
    <row r="34" spans="1:13">
      <c r="A34" s="104">
        <f>CARGAS!H34</f>
        <v>22</v>
      </c>
      <c r="B34" s="105">
        <f>CARGAS!F34</f>
        <v>46289</v>
      </c>
      <c r="C34" s="104">
        <f>CARGAS!I34</f>
        <v>4</v>
      </c>
      <c r="D34" s="104">
        <f>CARGAS!K34</f>
        <v>113</v>
      </c>
      <c r="E34" s="67"/>
      <c r="F34" s="105">
        <f t="shared" ref="F34:F39" si="3">IFERROR(IF(K33&gt;0,WORKDAY(F33,1),""),"")</f>
        <v>46289</v>
      </c>
      <c r="G34" s="106" t="str">
        <f t="shared" ref="G34:G39" si="4">IF(F34="","",TEXT(F34,"dddd"))</f>
        <v>quinta-feira</v>
      </c>
      <c r="H34" s="104">
        <f>IF(F34="","",NETWORKDAYS(CARGAS!$B$4,F34))</f>
        <v>22</v>
      </c>
      <c r="I34" s="104">
        <f>IF(F34="","",MIN(CARGAS!$B$6,J34))</f>
        <v>4</v>
      </c>
      <c r="J34" s="104">
        <f>IF(F34="","",CARGAS!$B$5-SUM($I$12:I33))</f>
        <v>117</v>
      </c>
      <c r="K34" s="104">
        <f t="shared" ref="K34:K39" si="5">IF(F34="","",MAX(0,J34-I34))</f>
        <v>113</v>
      </c>
      <c r="L34" s="106"/>
      <c r="M34" s="106"/>
    </row>
    <row r="35" spans="1:13">
      <c r="A35" s="104">
        <f>CARGAS!H35</f>
        <v>23</v>
      </c>
      <c r="B35" s="105">
        <f>CARGAS!F35</f>
        <v>46290</v>
      </c>
      <c r="C35" s="104">
        <f>CARGAS!I35</f>
        <v>4</v>
      </c>
      <c r="D35" s="104">
        <f>CARGAS!K35</f>
        <v>109</v>
      </c>
      <c r="E35" s="67"/>
      <c r="F35" s="105">
        <f t="shared" si="3"/>
        <v>46290</v>
      </c>
      <c r="G35" s="106" t="str">
        <f t="shared" si="4"/>
        <v>sexta-feira</v>
      </c>
      <c r="H35" s="104">
        <f>IF(F35="","",NETWORKDAYS(CARGAS!$B$4,F35))</f>
        <v>23</v>
      </c>
      <c r="I35" s="104">
        <f>IF(F35="","",MIN(CARGAS!$B$6,J35))</f>
        <v>4</v>
      </c>
      <c r="J35" s="104">
        <f>IF(F35="","",CARGAS!$B$5-SUM($I$12:I34))</f>
        <v>113</v>
      </c>
      <c r="K35" s="104">
        <f t="shared" si="5"/>
        <v>109</v>
      </c>
      <c r="L35" s="106"/>
      <c r="M35" s="106"/>
    </row>
    <row r="36" spans="1:13">
      <c r="A36" s="104">
        <f>CARGAS!H36</f>
        <v>24</v>
      </c>
      <c r="B36" s="105">
        <f>CARGAS!F36</f>
        <v>46293</v>
      </c>
      <c r="C36" s="104">
        <f>CARGAS!I36</f>
        <v>4</v>
      </c>
      <c r="D36" s="104">
        <f>CARGAS!K36</f>
        <v>105</v>
      </c>
      <c r="E36" s="67"/>
      <c r="F36" s="105">
        <f t="shared" si="3"/>
        <v>46293</v>
      </c>
      <c r="G36" s="106" t="str">
        <f t="shared" si="4"/>
        <v>segunda-feira</v>
      </c>
      <c r="H36" s="104">
        <f>IF(F36="","",NETWORKDAYS(CARGAS!$B$4,F36))</f>
        <v>24</v>
      </c>
      <c r="I36" s="104">
        <f>IF(F36="","",MIN(CARGAS!$B$6,J36))</f>
        <v>4</v>
      </c>
      <c r="J36" s="104">
        <f>IF(F36="","",CARGAS!$B$5-SUM($I$12:I35))</f>
        <v>109</v>
      </c>
      <c r="K36" s="104">
        <f t="shared" si="5"/>
        <v>105</v>
      </c>
      <c r="L36" s="106"/>
      <c r="M36" s="106"/>
    </row>
    <row r="37" spans="1:13">
      <c r="A37" s="104">
        <f>CARGAS!H37</f>
        <v>25</v>
      </c>
      <c r="B37" s="105">
        <f>CARGAS!F37</f>
        <v>46294</v>
      </c>
      <c r="C37" s="104">
        <f>CARGAS!I37</f>
        <v>4</v>
      </c>
      <c r="D37" s="104">
        <f>CARGAS!K37</f>
        <v>101</v>
      </c>
      <c r="E37" s="67"/>
      <c r="F37" s="105">
        <f t="shared" si="3"/>
        <v>46294</v>
      </c>
      <c r="G37" s="106" t="str">
        <f t="shared" si="4"/>
        <v>terça-feira</v>
      </c>
      <c r="H37" s="104">
        <f>IF(F37="","",NETWORKDAYS(CARGAS!$B$4,F37))</f>
        <v>25</v>
      </c>
      <c r="I37" s="104">
        <f>IF(F37="","",MIN(CARGAS!$B$6,J37))</f>
        <v>4</v>
      </c>
      <c r="J37" s="104">
        <f>IF(F37="","",CARGAS!$B$5-SUM($I$12:I36))</f>
        <v>105</v>
      </c>
      <c r="K37" s="104">
        <f t="shared" si="5"/>
        <v>101</v>
      </c>
      <c r="L37" s="106"/>
      <c r="M37" s="106"/>
    </row>
    <row r="38" spans="1:13">
      <c r="A38" s="104">
        <f>CARGAS!H38</f>
        <v>26</v>
      </c>
      <c r="B38" s="105">
        <f>CARGAS!F38</f>
        <v>46295</v>
      </c>
      <c r="C38" s="104">
        <f>CARGAS!I38</f>
        <v>4</v>
      </c>
      <c r="D38" s="104">
        <f>CARGAS!K38</f>
        <v>97</v>
      </c>
      <c r="E38" s="67"/>
      <c r="F38" s="105">
        <f t="shared" si="3"/>
        <v>46295</v>
      </c>
      <c r="G38" s="106" t="str">
        <f t="shared" si="4"/>
        <v>quarta-feira</v>
      </c>
      <c r="H38" s="104">
        <f>IF(F38="","",NETWORKDAYS(CARGAS!$B$4,F38))</f>
        <v>26</v>
      </c>
      <c r="I38" s="104">
        <f>IF(F38="","",MIN(CARGAS!$B$6,J38))</f>
        <v>4</v>
      </c>
      <c r="J38" s="104">
        <f>IF(F38="","",CARGAS!$B$5-SUM($I$12:I37))</f>
        <v>101</v>
      </c>
      <c r="K38" s="104">
        <f t="shared" si="5"/>
        <v>97</v>
      </c>
      <c r="L38" s="106"/>
      <c r="M38" s="106"/>
    </row>
    <row r="39" spans="1:13">
      <c r="A39" s="107">
        <f>CARGAS!H39</f>
        <v>27</v>
      </c>
      <c r="B39" s="108">
        <f>CARGAS!F39</f>
        <v>46296</v>
      </c>
      <c r="C39" s="107">
        <f>CARGAS!I39</f>
        <v>4</v>
      </c>
      <c r="D39" s="107">
        <f>CARGAS!K39</f>
        <v>93</v>
      </c>
      <c r="E39" s="67"/>
      <c r="F39" s="108">
        <f t="shared" si="3"/>
        <v>46296</v>
      </c>
      <c r="G39" s="109" t="str">
        <f t="shared" si="4"/>
        <v>quinta-feira</v>
      </c>
      <c r="H39" s="107">
        <f>IF(F39="","",NETWORKDAYS(CARGAS!$B$4,F39))</f>
        <v>27</v>
      </c>
      <c r="I39" s="107">
        <f>IF(F39="","",MIN(CARGAS!$B$6,J39))</f>
        <v>4</v>
      </c>
      <c r="J39" s="107">
        <f>IF(F39="","",CARGAS!$B$5-SUM($I$12:I38))</f>
        <v>97</v>
      </c>
      <c r="K39" s="107">
        <f t="shared" si="5"/>
        <v>93</v>
      </c>
      <c r="L39" s="109"/>
      <c r="M39" s="109"/>
    </row>
    <row r="40" spans="1:13">
      <c r="A40" s="107">
        <f>CARGAS!H40</f>
        <v>28</v>
      </c>
      <c r="B40" s="108">
        <f>CARGAS!F40</f>
        <v>46297</v>
      </c>
      <c r="C40" s="107">
        <f>CARGAS!I40</f>
        <v>4</v>
      </c>
      <c r="D40" s="107">
        <f>CARGAS!K40</f>
        <v>89</v>
      </c>
      <c r="E40" s="67"/>
      <c r="F40" s="108">
        <f t="shared" ref="F40" si="6">IFERROR(IF(K39&gt;0,WORKDAY(F39,1),""),"")</f>
        <v>46297</v>
      </c>
      <c r="G40" s="109" t="str">
        <f t="shared" ref="G40" si="7">IF(F40="","",TEXT(F40,"dddd"))</f>
        <v>sexta-feira</v>
      </c>
      <c r="H40" s="107">
        <f>IF(F40="","",NETWORKDAYS(CARGAS!$B$4,F40))</f>
        <v>28</v>
      </c>
      <c r="I40" s="107">
        <f>IF(F40="","",MIN(CARGAS!$B$6,J40))</f>
        <v>4</v>
      </c>
      <c r="J40" s="107">
        <f>IF(F40="","",CARGAS!$B$5-SUM($I$12:I39))</f>
        <v>93</v>
      </c>
      <c r="K40" s="107">
        <f t="shared" ref="K40" si="8">IF(F40="","",MAX(0,J40-I40))</f>
        <v>89</v>
      </c>
      <c r="L40" s="109"/>
      <c r="M40" s="109"/>
    </row>
    <row r="41" spans="1:13">
      <c r="A41" s="107">
        <f>CARGAS!H41</f>
        <v>29</v>
      </c>
      <c r="B41" s="108">
        <f>CARGAS!F41</f>
        <v>46300</v>
      </c>
      <c r="C41" s="107">
        <f>CARGAS!I41</f>
        <v>4</v>
      </c>
      <c r="D41" s="107">
        <f>CARGAS!K41</f>
        <v>85</v>
      </c>
      <c r="E41" s="67"/>
      <c r="F41" s="108">
        <f>IFERROR(IF(K40&gt;0,WORKDAY(F40,1),""),"")</f>
        <v>46300</v>
      </c>
      <c r="G41" s="109" t="str">
        <f>IF(F41="","",TEXT(F41,"dddd"))</f>
        <v>segunda-feira</v>
      </c>
      <c r="H41" s="107">
        <f>IF(F41="","",NETWORKDAYS(CARGAS!$B$4,F41))</f>
        <v>29</v>
      </c>
      <c r="I41" s="107">
        <f>IF(F41="","",MIN(CARGAS!$B$6,J41))</f>
        <v>4</v>
      </c>
      <c r="J41" s="107">
        <f>IF(F41="","",CARGAS!$B$5-SUM($I$12:I40))</f>
        <v>89</v>
      </c>
      <c r="K41" s="107">
        <f>IF(F41="","",MAX(0,J41-I41))</f>
        <v>85</v>
      </c>
      <c r="L41" s="109"/>
      <c r="M41" s="109"/>
    </row>
    <row r="42" spans="1:13">
      <c r="A42" s="107">
        <f>CARGAS!H42</f>
        <v>30</v>
      </c>
      <c r="B42" s="108">
        <f>CARGAS!F42</f>
        <v>46301</v>
      </c>
      <c r="C42" s="107">
        <f>CARGAS!I42</f>
        <v>4</v>
      </c>
      <c r="D42" s="107">
        <f>CARGAS!K42</f>
        <v>81</v>
      </c>
      <c r="E42" s="67"/>
      <c r="F42" s="108">
        <f>IFERROR(IF(K41&gt;0,WORKDAY(F41,1),""),"")</f>
        <v>46301</v>
      </c>
      <c r="G42" s="109" t="str">
        <f>IF(F42="","",TEXT(F42,"dddd"))</f>
        <v>terça-feira</v>
      </c>
      <c r="H42" s="107">
        <f>IF(F42="","",NETWORKDAYS(CARGAS!$B$4,F42))</f>
        <v>30</v>
      </c>
      <c r="I42" s="107">
        <f>IF(F42="","",MIN(CARGAS!$B$6,J42))</f>
        <v>4</v>
      </c>
      <c r="J42" s="107">
        <f>IF(F42="","",CARGAS!$B$5-SUM($I$12:I41))</f>
        <v>85</v>
      </c>
      <c r="K42" s="107">
        <f>IF(F42="","",MAX(0,J42-I42))</f>
        <v>81</v>
      </c>
      <c r="L42" s="109"/>
      <c r="M42" s="109"/>
    </row>
    <row r="43" spans="1:13">
      <c r="A43" s="107">
        <f>CARGAS!H43</f>
        <v>31</v>
      </c>
      <c r="B43" s="108">
        <f>CARGAS!F43</f>
        <v>46302</v>
      </c>
      <c r="C43" s="107">
        <f>CARGAS!I43</f>
        <v>4</v>
      </c>
      <c r="D43" s="107">
        <f>CARGAS!K43</f>
        <v>77</v>
      </c>
      <c r="E43" s="67"/>
      <c r="F43" s="108">
        <f>IFERROR(IF(K42&gt;0,WORKDAY(F42,1),""),"")</f>
        <v>46302</v>
      </c>
      <c r="G43" s="109" t="str">
        <f>IF(F43="","",TEXT(F43,"dddd"))</f>
        <v>quarta-feira</v>
      </c>
      <c r="H43" s="107">
        <f>IF(F43="","",NETWORKDAYS(CARGAS!$B$4,F43))</f>
        <v>31</v>
      </c>
      <c r="I43" s="107">
        <f>IF(F43="","",MIN(CARGAS!$B$6,J43))</f>
        <v>4</v>
      </c>
      <c r="J43" s="107">
        <f>IF(F43="","",CARGAS!$B$5-SUM($I$12:I42))</f>
        <v>81</v>
      </c>
      <c r="K43" s="107">
        <f>IF(F43="","",MAX(0,J43-I43))</f>
        <v>77</v>
      </c>
      <c r="L43" s="109"/>
      <c r="M43" s="109"/>
    </row>
    <row r="44" spans="1:13">
      <c r="A44" s="107">
        <f>CARGAS!H44</f>
        <v>32</v>
      </c>
      <c r="B44" s="108">
        <f>CARGAS!F44</f>
        <v>46303</v>
      </c>
      <c r="C44" s="107">
        <f>CARGAS!I44</f>
        <v>4</v>
      </c>
      <c r="D44" s="107">
        <f>CARGAS!K44</f>
        <v>73</v>
      </c>
      <c r="E44" s="67"/>
      <c r="F44" s="108">
        <f t="shared" ref="F44:F57" si="9">IFERROR(IF(K43&gt;0,WORKDAY(F43,1),""),"")</f>
        <v>46303</v>
      </c>
      <c r="G44" s="109" t="str">
        <f t="shared" ref="G44:G61" si="10">IF(F44="","",TEXT(F44,"dddd"))</f>
        <v>quinta-feira</v>
      </c>
      <c r="H44" s="107">
        <f>IF(F44="","",NETWORKDAYS(CARGAS!$B$4,F44))</f>
        <v>32</v>
      </c>
      <c r="I44" s="107">
        <f>IF(F44="","",MIN(CARGAS!$B$6,J44))</f>
        <v>4</v>
      </c>
      <c r="J44" s="107">
        <f>IF(F44="","",CARGAS!$B$5-SUM($I$12:I43))</f>
        <v>77</v>
      </c>
      <c r="K44" s="107">
        <f t="shared" ref="K44:K57" si="11">IF(F44="","",MAX(0,J44-I44))</f>
        <v>73</v>
      </c>
      <c r="L44" s="109"/>
      <c r="M44" s="109"/>
    </row>
    <row r="45" spans="1:13">
      <c r="A45" s="110">
        <f>CARGAS!H45</f>
        <v>33</v>
      </c>
      <c r="B45" s="111">
        <f>CARGAS!F45</f>
        <v>46304</v>
      </c>
      <c r="C45" s="110">
        <f>CARGAS!I45</f>
        <v>0</v>
      </c>
      <c r="D45" s="110">
        <f>CARGAS!K45</f>
        <v>73</v>
      </c>
      <c r="E45" s="67"/>
      <c r="F45" s="111">
        <f t="shared" si="9"/>
        <v>46304</v>
      </c>
      <c r="G45" s="112" t="str">
        <f t="shared" si="10"/>
        <v>sexta-feira</v>
      </c>
      <c r="H45" s="110">
        <f>IF(F45="","",NETWORKDAYS(CARGAS!$B$4,F45))</f>
        <v>33</v>
      </c>
      <c r="I45" s="110">
        <v>0</v>
      </c>
      <c r="J45" s="110">
        <f>IF(F45="","",CARGAS!$B$5-SUM($I$12:I44))</f>
        <v>73</v>
      </c>
      <c r="K45" s="110">
        <f t="shared" si="11"/>
        <v>73</v>
      </c>
      <c r="L45" s="112"/>
      <c r="M45" s="112"/>
    </row>
    <row r="46" spans="1:13">
      <c r="A46" s="110">
        <f>CARGAS!H46</f>
        <v>34</v>
      </c>
      <c r="B46" s="111">
        <f>CARGAS!F46</f>
        <v>46307</v>
      </c>
      <c r="C46" s="110">
        <f>CARGAS!I46</f>
        <v>0</v>
      </c>
      <c r="D46" s="110">
        <f>CARGAS!K46</f>
        <v>73</v>
      </c>
      <c r="E46" s="67"/>
      <c r="F46" s="111">
        <f t="shared" si="9"/>
        <v>46307</v>
      </c>
      <c r="G46" s="112" t="str">
        <f t="shared" si="10"/>
        <v>segunda-feira</v>
      </c>
      <c r="H46" s="110">
        <f>IF(F46="","",NETWORKDAYS(CARGAS!$B$4,F46))</f>
        <v>34</v>
      </c>
      <c r="I46" s="110">
        <v>0</v>
      </c>
      <c r="J46" s="110">
        <f>IF(F46="","",CARGAS!$B$5-SUM($I$12:I45))</f>
        <v>73</v>
      </c>
      <c r="K46" s="110">
        <f t="shared" si="11"/>
        <v>73</v>
      </c>
      <c r="L46" s="112"/>
      <c r="M46" s="112"/>
    </row>
    <row r="47" spans="1:13">
      <c r="A47" s="107">
        <f>CARGAS!H47</f>
        <v>35</v>
      </c>
      <c r="B47" s="108">
        <f>CARGAS!F47</f>
        <v>46308</v>
      </c>
      <c r="C47" s="107">
        <f>CARGAS!I47</f>
        <v>4</v>
      </c>
      <c r="D47" s="107">
        <f>CARGAS!K47</f>
        <v>69</v>
      </c>
      <c r="E47" s="67"/>
      <c r="F47" s="108">
        <f t="shared" si="9"/>
        <v>46308</v>
      </c>
      <c r="G47" s="109" t="str">
        <f t="shared" si="10"/>
        <v>terça-feira</v>
      </c>
      <c r="H47" s="107">
        <f>IF(F47="","",NETWORKDAYS(CARGAS!$B$4,F47))</f>
        <v>35</v>
      </c>
      <c r="I47" s="107">
        <f>IF(F47="","",MIN(CARGAS!$B$6,J47))</f>
        <v>4</v>
      </c>
      <c r="J47" s="107">
        <f>IF(F47="","",CARGAS!$B$5-SUM($I$12:I46))</f>
        <v>73</v>
      </c>
      <c r="K47" s="107">
        <f t="shared" si="11"/>
        <v>69</v>
      </c>
      <c r="L47" s="109"/>
      <c r="M47" s="109"/>
    </row>
    <row r="48" spans="1:13">
      <c r="A48" s="107">
        <f>CARGAS!H48</f>
        <v>36</v>
      </c>
      <c r="B48" s="108">
        <f>CARGAS!F48</f>
        <v>46309</v>
      </c>
      <c r="C48" s="107">
        <f>CARGAS!I48</f>
        <v>4</v>
      </c>
      <c r="D48" s="107">
        <f>CARGAS!K48</f>
        <v>65</v>
      </c>
      <c r="E48" s="67"/>
      <c r="F48" s="108">
        <f t="shared" si="9"/>
        <v>46309</v>
      </c>
      <c r="G48" s="109" t="str">
        <f t="shared" si="10"/>
        <v>quarta-feira</v>
      </c>
      <c r="H48" s="107">
        <f>IF(F48="","",NETWORKDAYS(CARGAS!$B$4,F48))</f>
        <v>36</v>
      </c>
      <c r="I48" s="107">
        <f>IF(F48="","",MIN(CARGAS!$B$6,J48))</f>
        <v>4</v>
      </c>
      <c r="J48" s="107">
        <f>IF(F48="","",CARGAS!$B$5-SUM($I$12:I47))</f>
        <v>69</v>
      </c>
      <c r="K48" s="107">
        <f t="shared" si="11"/>
        <v>65</v>
      </c>
      <c r="L48" s="109"/>
      <c r="M48" s="109"/>
    </row>
    <row r="49" spans="1:13">
      <c r="A49" s="107">
        <f>CARGAS!H49</f>
        <v>37</v>
      </c>
      <c r="B49" s="108">
        <f>CARGAS!F49</f>
        <v>46310</v>
      </c>
      <c r="C49" s="107">
        <f>CARGAS!I49</f>
        <v>4</v>
      </c>
      <c r="D49" s="107">
        <f>CARGAS!K49</f>
        <v>61</v>
      </c>
      <c r="E49" s="67"/>
      <c r="F49" s="108">
        <f t="shared" si="9"/>
        <v>46310</v>
      </c>
      <c r="G49" s="109" t="str">
        <f t="shared" si="10"/>
        <v>quinta-feira</v>
      </c>
      <c r="H49" s="107">
        <f>IF(F49="","",NETWORKDAYS(CARGAS!$B$4,F49))</f>
        <v>37</v>
      </c>
      <c r="I49" s="107">
        <f>IF(F49="","",MIN(CARGAS!$B$6,J49))</f>
        <v>4</v>
      </c>
      <c r="J49" s="107">
        <f>IF(F49="","",CARGAS!$B$5-SUM($I$12:I48))</f>
        <v>65</v>
      </c>
      <c r="K49" s="107">
        <f t="shared" si="11"/>
        <v>61</v>
      </c>
      <c r="L49" s="109"/>
      <c r="M49" s="109"/>
    </row>
    <row r="50" spans="1:13">
      <c r="A50" s="107">
        <f>CARGAS!H50</f>
        <v>38</v>
      </c>
      <c r="B50" s="108">
        <f>CARGAS!F50</f>
        <v>46311</v>
      </c>
      <c r="C50" s="107">
        <f>CARGAS!I50</f>
        <v>4</v>
      </c>
      <c r="D50" s="107">
        <f>CARGAS!K50</f>
        <v>57</v>
      </c>
      <c r="E50" s="67"/>
      <c r="F50" s="108">
        <f t="shared" si="9"/>
        <v>46311</v>
      </c>
      <c r="G50" s="109" t="str">
        <f t="shared" si="10"/>
        <v>sexta-feira</v>
      </c>
      <c r="H50" s="107">
        <f>IF(F50="","",NETWORKDAYS(CARGAS!$B$4,F50))</f>
        <v>38</v>
      </c>
      <c r="I50" s="107">
        <f>IF(F50="","",MIN(CARGAS!$B$6,J50))</f>
        <v>4</v>
      </c>
      <c r="J50" s="107">
        <f>IF(F50="","",CARGAS!$B$5-SUM($I$12:I49))</f>
        <v>61</v>
      </c>
      <c r="K50" s="107">
        <f t="shared" si="11"/>
        <v>57</v>
      </c>
      <c r="L50" s="109"/>
      <c r="M50" s="109"/>
    </row>
    <row r="51" spans="1:13">
      <c r="A51" s="107">
        <f>CARGAS!H51</f>
        <v>39</v>
      </c>
      <c r="B51" s="108">
        <f>CARGAS!F51</f>
        <v>46314</v>
      </c>
      <c r="C51" s="107">
        <f>CARGAS!I51</f>
        <v>4</v>
      </c>
      <c r="D51" s="107">
        <f>CARGAS!K51</f>
        <v>53</v>
      </c>
      <c r="E51" s="67"/>
      <c r="F51" s="108">
        <f t="shared" si="9"/>
        <v>46314</v>
      </c>
      <c r="G51" s="109" t="str">
        <f t="shared" si="10"/>
        <v>segunda-feira</v>
      </c>
      <c r="H51" s="107">
        <f>IF(F51="","",NETWORKDAYS(CARGAS!$B$4,F51))</f>
        <v>39</v>
      </c>
      <c r="I51" s="107">
        <f>IF(F51="","",MIN(CARGAS!$B$6,J51))</f>
        <v>4</v>
      </c>
      <c r="J51" s="107">
        <f>IF(F51="","",CARGAS!$B$5-SUM($I$12:I50))</f>
        <v>57</v>
      </c>
      <c r="K51" s="107">
        <f t="shared" si="11"/>
        <v>53</v>
      </c>
      <c r="L51" s="109"/>
      <c r="M51" s="109"/>
    </row>
    <row r="52" spans="1:13">
      <c r="A52" s="107">
        <f>CARGAS!H52</f>
        <v>40</v>
      </c>
      <c r="B52" s="108">
        <f>CARGAS!F52</f>
        <v>46315</v>
      </c>
      <c r="C52" s="107">
        <f>CARGAS!I52</f>
        <v>4</v>
      </c>
      <c r="D52" s="107">
        <f>CARGAS!K52</f>
        <v>49</v>
      </c>
      <c r="E52" s="67"/>
      <c r="F52" s="108">
        <f t="shared" si="9"/>
        <v>46315</v>
      </c>
      <c r="G52" s="109" t="str">
        <f t="shared" si="10"/>
        <v>terça-feira</v>
      </c>
      <c r="H52" s="107">
        <f>IF(F52="","",NETWORKDAYS(CARGAS!$B$4,F52))</f>
        <v>40</v>
      </c>
      <c r="I52" s="107">
        <f>IF(F52="","",MIN(CARGAS!$B$6,J52))</f>
        <v>4</v>
      </c>
      <c r="J52" s="107">
        <f>IF(F52="","",CARGAS!$B$5-SUM($I$12:I51))</f>
        <v>53</v>
      </c>
      <c r="K52" s="107">
        <f t="shared" si="11"/>
        <v>49</v>
      </c>
      <c r="L52" s="109"/>
      <c r="M52" s="109"/>
    </row>
    <row r="53" spans="1:13">
      <c r="A53" s="107">
        <f>CARGAS!H53</f>
        <v>41</v>
      </c>
      <c r="B53" s="108">
        <f>CARGAS!F53</f>
        <v>46316</v>
      </c>
      <c r="C53" s="107">
        <f>CARGAS!I53</f>
        <v>4</v>
      </c>
      <c r="D53" s="107">
        <f>CARGAS!K53</f>
        <v>45</v>
      </c>
      <c r="E53" s="67"/>
      <c r="F53" s="108">
        <f t="shared" si="9"/>
        <v>46316</v>
      </c>
      <c r="G53" s="109" t="str">
        <f t="shared" si="10"/>
        <v>quarta-feira</v>
      </c>
      <c r="H53" s="107">
        <f>IF(F53="","",NETWORKDAYS(CARGAS!$B$4,F53))</f>
        <v>41</v>
      </c>
      <c r="I53" s="107">
        <f>IF(F53="","",MIN(CARGAS!$B$6,J53))</f>
        <v>4</v>
      </c>
      <c r="J53" s="107">
        <f>IF(F53="","",CARGAS!$B$5-SUM($I$12:I52))</f>
        <v>49</v>
      </c>
      <c r="K53" s="107">
        <f t="shared" si="11"/>
        <v>45</v>
      </c>
      <c r="L53" s="109"/>
      <c r="M53" s="109"/>
    </row>
    <row r="54" spans="1:13">
      <c r="A54" s="107">
        <f>CARGAS!H54</f>
        <v>42</v>
      </c>
      <c r="B54" s="108">
        <f>CARGAS!F54</f>
        <v>46317</v>
      </c>
      <c r="C54" s="107">
        <f>CARGAS!I54</f>
        <v>4</v>
      </c>
      <c r="D54" s="107">
        <f>CARGAS!K54</f>
        <v>41</v>
      </c>
      <c r="E54" s="67"/>
      <c r="F54" s="108">
        <f t="shared" si="9"/>
        <v>46317</v>
      </c>
      <c r="G54" s="109" t="str">
        <f t="shared" si="10"/>
        <v>quinta-feira</v>
      </c>
      <c r="H54" s="107">
        <f>IF(F54="","",NETWORKDAYS(CARGAS!$B$4,F54))</f>
        <v>42</v>
      </c>
      <c r="I54" s="107">
        <f>IF(F54="","",MIN(CARGAS!$B$6,J54))</f>
        <v>4</v>
      </c>
      <c r="J54" s="107">
        <f>IF(F54="","",CARGAS!$B$5-SUM($I$12:I53))</f>
        <v>45</v>
      </c>
      <c r="K54" s="107">
        <f t="shared" si="11"/>
        <v>41</v>
      </c>
      <c r="L54" s="109"/>
      <c r="M54" s="109"/>
    </row>
    <row r="55" spans="1:13">
      <c r="A55" s="107">
        <f>CARGAS!H55</f>
        <v>43</v>
      </c>
      <c r="B55" s="108">
        <f>CARGAS!F55</f>
        <v>46318</v>
      </c>
      <c r="C55" s="107">
        <f>CARGAS!I55</f>
        <v>4</v>
      </c>
      <c r="D55" s="107">
        <f>CARGAS!K55</f>
        <v>37</v>
      </c>
      <c r="E55" s="67"/>
      <c r="F55" s="108">
        <f t="shared" si="9"/>
        <v>46318</v>
      </c>
      <c r="G55" s="109" t="str">
        <f t="shared" si="10"/>
        <v>sexta-feira</v>
      </c>
      <c r="H55" s="107">
        <f>IF(F55="","",NETWORKDAYS(CARGAS!$B$4,F55))</f>
        <v>43</v>
      </c>
      <c r="I55" s="107">
        <f>IF(F55="","",MIN(CARGAS!$B$6,J55))</f>
        <v>4</v>
      </c>
      <c r="J55" s="107">
        <f>IF(F55="","",CARGAS!$B$5-SUM($I$12:I54))</f>
        <v>41</v>
      </c>
      <c r="K55" s="107">
        <f t="shared" si="11"/>
        <v>37</v>
      </c>
      <c r="L55" s="109"/>
      <c r="M55" s="109"/>
    </row>
    <row r="56" spans="1:13">
      <c r="A56" s="107">
        <f>CARGAS!H56</f>
        <v>44</v>
      </c>
      <c r="B56" s="108">
        <f>CARGAS!F56</f>
        <v>46321</v>
      </c>
      <c r="C56" s="107">
        <f>CARGAS!I56</f>
        <v>4</v>
      </c>
      <c r="D56" s="107">
        <f>CARGAS!K56</f>
        <v>33</v>
      </c>
      <c r="E56" s="67"/>
      <c r="F56" s="108">
        <f t="shared" si="9"/>
        <v>46321</v>
      </c>
      <c r="G56" s="109" t="str">
        <f t="shared" si="10"/>
        <v>segunda-feira</v>
      </c>
      <c r="H56" s="107">
        <f>IF(F56="","",NETWORKDAYS(CARGAS!$B$4,F56))</f>
        <v>44</v>
      </c>
      <c r="I56" s="107">
        <f>IF(F56="","",MIN(CARGAS!$B$6,J56))</f>
        <v>4</v>
      </c>
      <c r="J56" s="107">
        <f>IF(F56="","",CARGAS!$B$5-SUM($I$12:I55))</f>
        <v>37</v>
      </c>
      <c r="K56" s="107">
        <f t="shared" si="11"/>
        <v>33</v>
      </c>
      <c r="L56" s="109"/>
      <c r="M56" s="109"/>
    </row>
    <row r="57" spans="1:13">
      <c r="A57" s="107">
        <f>CARGAS!H57</f>
        <v>45</v>
      </c>
      <c r="B57" s="108">
        <f>CARGAS!F57</f>
        <v>46322</v>
      </c>
      <c r="C57" s="107">
        <f>CARGAS!I57</f>
        <v>4</v>
      </c>
      <c r="D57" s="107">
        <f>CARGAS!K57</f>
        <v>29</v>
      </c>
      <c r="E57" s="67"/>
      <c r="F57" s="108">
        <f t="shared" si="9"/>
        <v>46322</v>
      </c>
      <c r="G57" s="109" t="str">
        <f t="shared" si="10"/>
        <v>terça-feira</v>
      </c>
      <c r="H57" s="107">
        <f>IF(F57="","",NETWORKDAYS(CARGAS!$B$4,F57))</f>
        <v>45</v>
      </c>
      <c r="I57" s="107">
        <f>IF(F57="","",MIN(CARGAS!$B$6,J57))</f>
        <v>4</v>
      </c>
      <c r="J57" s="107">
        <f>IF(F57="","",CARGAS!$B$5-SUM($I$12:I56))</f>
        <v>33</v>
      </c>
      <c r="K57" s="107">
        <f t="shared" si="11"/>
        <v>29</v>
      </c>
      <c r="L57" s="109"/>
      <c r="M57" s="109"/>
    </row>
    <row r="58" spans="1:13">
      <c r="A58" s="107">
        <f>CARGAS!H58</f>
        <v>46</v>
      </c>
      <c r="B58" s="108">
        <f>CARGAS!F58</f>
        <v>46323</v>
      </c>
      <c r="C58" s="107">
        <f>CARGAS!I58</f>
        <v>4</v>
      </c>
      <c r="D58" s="107">
        <f>CARGAS!K58</f>
        <v>25</v>
      </c>
      <c r="E58" s="67"/>
      <c r="F58" s="108">
        <f t="shared" ref="F58:F59" si="12">IFERROR(IF(K57&gt;0,WORKDAY(F57,1),""),"")</f>
        <v>46323</v>
      </c>
      <c r="G58" s="109" t="str">
        <f t="shared" si="10"/>
        <v>quarta-feira</v>
      </c>
      <c r="H58" s="107">
        <f>IF(F58="","",NETWORKDAYS(CARGAS!$B$4,F58))</f>
        <v>46</v>
      </c>
      <c r="I58" s="107">
        <f>IF(F58="","",MIN(CARGAS!$B$6,J58))</f>
        <v>4</v>
      </c>
      <c r="J58" s="107">
        <f>IF(F58="","",CARGAS!$B$5-SUM($I$12:I57))</f>
        <v>29</v>
      </c>
      <c r="K58" s="107">
        <f t="shared" ref="K58:K59" si="13">IF(F58="","",MAX(0,J58-I58))</f>
        <v>25</v>
      </c>
      <c r="L58" s="109"/>
      <c r="M58" s="109"/>
    </row>
    <row r="59" spans="1:13">
      <c r="A59" s="107">
        <f>CARGAS!H59</f>
        <v>47</v>
      </c>
      <c r="B59" s="108">
        <f>CARGAS!F59</f>
        <v>46324</v>
      </c>
      <c r="C59" s="107">
        <f>CARGAS!I59</f>
        <v>4</v>
      </c>
      <c r="D59" s="107">
        <f>CARGAS!K59</f>
        <v>21</v>
      </c>
      <c r="E59" s="67"/>
      <c r="F59" s="108">
        <f t="shared" si="12"/>
        <v>46324</v>
      </c>
      <c r="G59" s="109" t="str">
        <f t="shared" si="10"/>
        <v>quinta-feira</v>
      </c>
      <c r="H59" s="107">
        <f>IF(F59="","",NETWORKDAYS(CARGAS!$B$4,F59))</f>
        <v>47</v>
      </c>
      <c r="I59" s="107">
        <f>IF(F59="","",MIN(CARGAS!$B$6,J59))</f>
        <v>4</v>
      </c>
      <c r="J59" s="107">
        <f>IF(F59="","",CARGAS!$B$5-SUM($I$12:I58))</f>
        <v>25</v>
      </c>
      <c r="K59" s="107">
        <f t="shared" si="13"/>
        <v>21</v>
      </c>
      <c r="L59" s="109"/>
      <c r="M59" s="109"/>
    </row>
    <row r="60" spans="1:13">
      <c r="A60" s="110">
        <f>CARGAS!H60</f>
        <v>48</v>
      </c>
      <c r="B60" s="111">
        <f>CARGAS!F60</f>
        <v>46325</v>
      </c>
      <c r="C60" s="110">
        <f>CARGAS!I60</f>
        <v>0</v>
      </c>
      <c r="D60" s="110">
        <f>CARGAS!K60</f>
        <v>21</v>
      </c>
      <c r="E60" s="67"/>
      <c r="F60" s="111">
        <f t="shared" ref="F60:F61" si="14">IFERROR(IF(K59&gt;0,WORKDAY(F59,1),""),"")</f>
        <v>46325</v>
      </c>
      <c r="G60" s="112" t="str">
        <f t="shared" si="10"/>
        <v>sexta-feira</v>
      </c>
      <c r="H60" s="110">
        <f>IF(F60="","",NETWORKDAYS(CARGAS!$B$4,F60))</f>
        <v>48</v>
      </c>
      <c r="I60" s="110">
        <v>0</v>
      </c>
      <c r="J60" s="110">
        <f>IF(F60="","",CARGAS!$B$5-SUM($I$12:I59))</f>
        <v>21</v>
      </c>
      <c r="K60" s="110">
        <f t="shared" ref="K60:K61" si="15">IF(F60="","",MAX(0,J60-I60))</f>
        <v>21</v>
      </c>
      <c r="L60" s="112"/>
      <c r="M60" s="112"/>
    </row>
    <row r="61" spans="1:13">
      <c r="A61" s="110">
        <f>CARGAS!H61</f>
        <v>49</v>
      </c>
      <c r="B61" s="111">
        <f>CARGAS!F61</f>
        <v>46328</v>
      </c>
      <c r="C61" s="110">
        <f>CARGAS!I61</f>
        <v>0</v>
      </c>
      <c r="D61" s="110">
        <f>CARGAS!K61</f>
        <v>21</v>
      </c>
      <c r="E61" s="67"/>
      <c r="F61" s="111">
        <f t="shared" si="14"/>
        <v>46328</v>
      </c>
      <c r="G61" s="112" t="str">
        <f t="shared" si="10"/>
        <v>segunda-feira</v>
      </c>
      <c r="H61" s="110">
        <f>IF(F61="","",NETWORKDAYS(CARGAS!$B$4,F61))</f>
        <v>49</v>
      </c>
      <c r="I61" s="110">
        <v>0</v>
      </c>
      <c r="J61" s="110">
        <f>IF(F61="","",CARGAS!$B$5-SUM($I$12:I60))</f>
        <v>21</v>
      </c>
      <c r="K61" s="110">
        <f t="shared" si="15"/>
        <v>21</v>
      </c>
      <c r="L61" s="112"/>
      <c r="M61" s="112"/>
    </row>
    <row r="62" spans="1:13">
      <c r="A62" s="107">
        <f>CARGAS!H62</f>
        <v>50</v>
      </c>
      <c r="B62" s="108">
        <f>CARGAS!F62</f>
        <v>46329</v>
      </c>
      <c r="C62" s="107">
        <f>CARGAS!I62</f>
        <v>4</v>
      </c>
      <c r="D62" s="107">
        <f>CARGAS!K62</f>
        <v>17</v>
      </c>
      <c r="E62" s="67"/>
      <c r="F62" s="108">
        <f t="shared" ref="F62:F67" si="16">IFERROR(IF(K61&gt;0,WORKDAY(F61,1),""),"")</f>
        <v>46329</v>
      </c>
      <c r="G62" s="109" t="str">
        <f t="shared" ref="G62:G67" si="17">IF(F62="","",TEXT(F62,"dddd"))</f>
        <v>terça-feira</v>
      </c>
      <c r="H62" s="107">
        <f>IF(F62="","",NETWORKDAYS(CARGAS!$B$4,F62))</f>
        <v>50</v>
      </c>
      <c r="I62" s="107">
        <f>IF(F62="","",MIN(CARGAS!$B$6,J62))</f>
        <v>4</v>
      </c>
      <c r="J62" s="107">
        <f>IF(F62="","",CARGAS!$B$5-SUM($I$12:I61))</f>
        <v>21</v>
      </c>
      <c r="K62" s="107">
        <f t="shared" ref="K62:K67" si="18">IF(F62="","",MAX(0,J62-I62))</f>
        <v>17</v>
      </c>
      <c r="L62" s="109"/>
      <c r="M62" s="109"/>
    </row>
    <row r="63" spans="1:13">
      <c r="A63" s="107">
        <f>CARGAS!H63</f>
        <v>51</v>
      </c>
      <c r="B63" s="108">
        <f>CARGAS!F63</f>
        <v>46330</v>
      </c>
      <c r="C63" s="107">
        <f>CARGAS!I63</f>
        <v>4</v>
      </c>
      <c r="D63" s="107">
        <f>CARGAS!K63</f>
        <v>13</v>
      </c>
      <c r="E63" s="67"/>
      <c r="F63" s="108">
        <f t="shared" si="16"/>
        <v>46330</v>
      </c>
      <c r="G63" s="109" t="str">
        <f t="shared" si="17"/>
        <v>quarta-feira</v>
      </c>
      <c r="H63" s="107">
        <f>IF(F63="","",NETWORKDAYS(CARGAS!$B$4,F63))</f>
        <v>51</v>
      </c>
      <c r="I63" s="107">
        <f>IF(F63="","",MIN(CARGAS!$B$6,J63))</f>
        <v>4</v>
      </c>
      <c r="J63" s="107">
        <f>IF(F63="","",CARGAS!$B$5-SUM($I$12:I62))</f>
        <v>17</v>
      </c>
      <c r="K63" s="107">
        <f t="shared" si="18"/>
        <v>13</v>
      </c>
      <c r="L63" s="109"/>
      <c r="M63" s="109"/>
    </row>
    <row r="64" spans="1:13">
      <c r="A64" s="107">
        <f>CARGAS!H64</f>
        <v>52</v>
      </c>
      <c r="B64" s="108">
        <f>CARGAS!F64</f>
        <v>46331</v>
      </c>
      <c r="C64" s="107">
        <f>CARGAS!I64</f>
        <v>4</v>
      </c>
      <c r="D64" s="107">
        <f>CARGAS!K64</f>
        <v>9</v>
      </c>
      <c r="E64" s="67"/>
      <c r="F64" s="108">
        <f t="shared" si="16"/>
        <v>46331</v>
      </c>
      <c r="G64" s="109" t="str">
        <f t="shared" si="17"/>
        <v>quinta-feira</v>
      </c>
      <c r="H64" s="107">
        <f>IF(F64="","",NETWORKDAYS(CARGAS!$B$4,F64))</f>
        <v>52</v>
      </c>
      <c r="I64" s="107">
        <f>IF(F64="","",MIN(CARGAS!$B$6,J64))</f>
        <v>4</v>
      </c>
      <c r="J64" s="107">
        <f>IF(F64="","",CARGAS!$B$5-SUM($I$12:I63))</f>
        <v>13</v>
      </c>
      <c r="K64" s="107">
        <f t="shared" si="18"/>
        <v>9</v>
      </c>
      <c r="L64" s="109"/>
      <c r="M64" s="109"/>
    </row>
    <row r="65" spans="1:13">
      <c r="A65" s="107">
        <f>CARGAS!H65</f>
        <v>53</v>
      </c>
      <c r="B65" s="108">
        <f>CARGAS!F65</f>
        <v>46332</v>
      </c>
      <c r="C65" s="107">
        <f>CARGAS!I65</f>
        <v>4</v>
      </c>
      <c r="D65" s="107">
        <f>CARGAS!K65</f>
        <v>5</v>
      </c>
      <c r="E65" s="67"/>
      <c r="F65" s="108">
        <f t="shared" si="16"/>
        <v>46332</v>
      </c>
      <c r="G65" s="109" t="str">
        <f t="shared" si="17"/>
        <v>sexta-feira</v>
      </c>
      <c r="H65" s="107">
        <f>IF(F65="","",NETWORKDAYS(CARGAS!$B$4,F65))</f>
        <v>53</v>
      </c>
      <c r="I65" s="107">
        <f>IF(F65="","",MIN(CARGAS!$B$6,J65))</f>
        <v>4</v>
      </c>
      <c r="J65" s="107">
        <f>IF(F65="","",CARGAS!$B$5-SUM($I$12:I64))</f>
        <v>9</v>
      </c>
      <c r="K65" s="107">
        <f t="shared" si="18"/>
        <v>5</v>
      </c>
      <c r="L65" s="109"/>
      <c r="M65" s="109"/>
    </row>
    <row r="66" spans="1:13">
      <c r="A66" s="107">
        <f>CARGAS!H66</f>
        <v>54</v>
      </c>
      <c r="B66" s="108">
        <f>CARGAS!F66</f>
        <v>46335</v>
      </c>
      <c r="C66" s="107">
        <f>CARGAS!I66</f>
        <v>4</v>
      </c>
      <c r="D66" s="107">
        <f>CARGAS!K66</f>
        <v>1</v>
      </c>
      <c r="E66" s="67"/>
      <c r="F66" s="108">
        <f t="shared" si="16"/>
        <v>46335</v>
      </c>
      <c r="G66" s="109" t="str">
        <f t="shared" si="17"/>
        <v>segunda-feira</v>
      </c>
      <c r="H66" s="107">
        <f>IF(F66="","",NETWORKDAYS(CARGAS!$B$4,F66))</f>
        <v>54</v>
      </c>
      <c r="I66" s="107">
        <f>IF(F66="","",MIN(CARGAS!$B$6,J66))</f>
        <v>4</v>
      </c>
      <c r="J66" s="107">
        <f>IF(F66="","",CARGAS!$B$5-SUM($I$12:I65))</f>
        <v>5</v>
      </c>
      <c r="K66" s="107">
        <f t="shared" si="18"/>
        <v>1</v>
      </c>
      <c r="L66" s="109"/>
      <c r="M66" s="109"/>
    </row>
    <row r="67" spans="1:13">
      <c r="A67" s="107">
        <f>CARGAS!H67</f>
        <v>55</v>
      </c>
      <c r="B67" s="108">
        <f>CARGAS!F67</f>
        <v>46336</v>
      </c>
      <c r="C67" s="107">
        <f>CARGAS!I67</f>
        <v>1</v>
      </c>
      <c r="D67" s="107">
        <f>CARGAS!K67</f>
        <v>0</v>
      </c>
      <c r="E67" s="67"/>
      <c r="F67" s="108">
        <f t="shared" si="16"/>
        <v>46336</v>
      </c>
      <c r="G67" s="109" t="str">
        <f t="shared" si="17"/>
        <v>terça-feira</v>
      </c>
      <c r="H67" s="107">
        <f>IF(F67="","",NETWORKDAYS(CARGAS!$B$4,F67))</f>
        <v>55</v>
      </c>
      <c r="I67" s="107">
        <f>IF(F67="","",MIN(CARGAS!$B$6,J67))</f>
        <v>1</v>
      </c>
      <c r="J67" s="107">
        <f>IF(F67="","",CARGAS!$B$5-SUM($I$12:I66))</f>
        <v>1</v>
      </c>
      <c r="K67" s="107">
        <f t="shared" si="18"/>
        <v>0</v>
      </c>
      <c r="L67" s="109"/>
      <c r="M67" s="109"/>
    </row>
  </sheetData>
  <mergeCells count="1">
    <mergeCell ref="I6:P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7FB2-265B-4484-B293-534B3051EA86}">
  <dimension ref="A1:G1"/>
  <sheetViews>
    <sheetView workbookViewId="0"/>
  </sheetViews>
  <sheetFormatPr defaultRowHeight="15.75"/>
  <sheetData>
    <row r="1" spans="1:7">
      <c r="A1" t="s">
        <v>1749</v>
      </c>
      <c r="B1" t="s">
        <v>1750</v>
      </c>
      <c r="C1" t="s">
        <v>1751</v>
      </c>
      <c r="D1" t="s">
        <v>1752</v>
      </c>
      <c r="E1" t="s">
        <v>1753</v>
      </c>
      <c r="F1" t="s">
        <v>1754</v>
      </c>
      <c r="G1" t="s">
        <v>1755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A588A2EA185941BA4A18731E20B9AC" ma:contentTypeVersion="13" ma:contentTypeDescription="Crie um novo documento." ma:contentTypeScope="" ma:versionID="501654081b56416a8fea4d0fd374ebe3">
  <xsd:schema xmlns:xsd="http://www.w3.org/2001/XMLSchema" xmlns:xs="http://www.w3.org/2001/XMLSchema" xmlns:p="http://schemas.microsoft.com/office/2006/metadata/properties" xmlns:ns2="65da0854-be9b-4453-b97a-bb9a199b20aa" xmlns:ns3="695c12ec-597a-42a6-ad07-ee66221706b0" targetNamespace="http://schemas.microsoft.com/office/2006/metadata/properties" ma:root="true" ma:fieldsID="b7d37ad4179e166a387b6ecbe6d7ac46" ns2:_="" ns3:_="">
    <xsd:import namespace="65da0854-be9b-4453-b97a-bb9a199b20aa"/>
    <xsd:import namespace="695c12ec-597a-42a6-ad07-ee6622170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da0854-be9b-4453-b97a-bb9a199b20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b8930bb-28a7-4d32-b228-a014d309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c12ec-597a-42a6-ad07-ee66221706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f03972-692c-4b57-927b-6754f1245160}" ma:internalName="TaxCatchAll" ma:showField="CatchAllData" ma:web="695c12ec-597a-42a6-ad07-ee6622170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da0854-be9b-4453-b97a-bb9a199b20aa">
      <Terms xmlns="http://schemas.microsoft.com/office/infopath/2007/PartnerControls"/>
    </lcf76f155ced4ddcb4097134ff3c332f>
    <TaxCatchAll xmlns="695c12ec-597a-42a6-ad07-ee66221706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F7083A-780C-4B07-92A4-47B0F229E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da0854-be9b-4453-b97a-bb9a199b20aa"/>
    <ds:schemaRef ds:uri="695c12ec-597a-42a6-ad07-ee6622170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0D949A-8AF7-4F46-809B-018AAE21D2DF}">
  <ds:schemaRefs>
    <ds:schemaRef ds:uri="http://schemas.microsoft.com/office/2006/metadata/properties"/>
    <ds:schemaRef ds:uri="http://schemas.microsoft.com/office/infopath/2007/PartnerControls"/>
    <ds:schemaRef ds:uri="65da0854-be9b-4453-b97a-bb9a199b20aa"/>
    <ds:schemaRef ds:uri="695c12ec-597a-42a6-ad07-ee66221706b0"/>
  </ds:schemaRefs>
</ds:datastoreItem>
</file>

<file path=customXml/itemProps3.xml><?xml version="1.0" encoding="utf-8"?>
<ds:datastoreItem xmlns:ds="http://schemas.openxmlformats.org/officeDocument/2006/customXml" ds:itemID="{4A987F43-7946-4CD6-BCCF-33E8CFC80B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APROVADOS SEM FATURAMENTO</vt:lpstr>
      <vt:lpstr>FATURAMENTO</vt:lpstr>
      <vt:lpstr>ITEM ESTOQUE</vt:lpstr>
      <vt:lpstr>DINÂMICA</vt:lpstr>
      <vt:lpstr>RESUMO</vt:lpstr>
      <vt:lpstr>CARGAS</vt:lpstr>
      <vt:lpstr>!CACHE! DO NOT EDIT THIS SHEET!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Alfenas de Oliveira</dc:creator>
  <cp:keywords/>
  <dc:description/>
  <cp:lastModifiedBy>Guilherme Alfenas de Oliveira</cp:lastModifiedBy>
  <cp:revision/>
  <dcterms:created xsi:type="dcterms:W3CDTF">2026-04-02T19:06:01Z</dcterms:created>
  <dcterms:modified xsi:type="dcterms:W3CDTF">2026-10-01T12:10:37Z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0x010100DEA588A2EA185941BA4A18731E20B9AC</vt:lpwstr>
  </property>
  <property fmtid="{D5CDD505-2E9C-101B-9397-08002B2CF9AE}" pid="3" name="MediaServiceImageTags">
    <vt:lpwstr/>
  </property>
</Properties>
</file>