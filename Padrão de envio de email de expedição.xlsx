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valoremagronegocios.sharepoint.com/sites/whptm/PlanLogis/01 - Expedições/Layout padrão de envio de email/"/>
    </mc:Choice>
  </mc:AlternateContent>
  <xr:revisionPtr revIDLastSave="26" documentId="120_S{6A7D178A-4520-5B0A-A05B-0AB20CEF9CFF}" xr6:coauthVersionLast="47" xr6:coauthVersionMax="47" xr10:uidLastSave="{20A06A8E-C514-4A33-8EE4-A4059F004E58}"/>
  <bookViews>
    <workbookView xWindow="-120" yWindow="360" windowWidth="29040" windowHeight="15960" tabRatio="535" firstSheet="1" activeTab="1" xr2:uid="{00000000-000D-0000-FFFF-FFFF00000000}"/>
  </bookViews>
  <sheets>
    <sheet name="_Shipments_BKP" sheetId="7" state="hidden" r:id="rId1"/>
    <sheet name="_Shipments" sheetId="3" r:id="rId2"/>
    <sheet name="E-mail" sheetId="1" r:id="rId3"/>
    <sheet name="Formulário de impressão" sheetId="4" r:id="rId4"/>
    <sheet name="BD_MOTORISTAS" sheetId="5" r:id="rId5"/>
  </sheets>
  <externalReferences>
    <externalReference r:id="rId6"/>
    <externalReference r:id="rId7"/>
  </externalReferences>
  <definedNames>
    <definedName name="DadosExternos_1" localSheetId="1" hidden="1">'_Shipments'!$B$1:$M$226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15" i="3" l="1"/>
  <c r="A216" i="3"/>
  <c r="A217" i="3"/>
  <c r="A218" i="3"/>
  <c r="A219" i="3"/>
  <c r="A220" i="3"/>
  <c r="A221" i="3"/>
  <c r="A222" i="3"/>
  <c r="A223" i="3"/>
  <c r="A224" i="3"/>
  <c r="A225" i="3"/>
  <c r="A226" i="3"/>
  <c r="O214" i="3"/>
  <c r="P214" i="3" a="1"/>
  <c r="O215" i="3"/>
  <c r="P215" i="3" a="1"/>
  <c r="O216" i="3"/>
  <c r="P216" i="3" a="1"/>
  <c r="O217" i="3"/>
  <c r="P217" i="3" a="1"/>
  <c r="Q217" i="3"/>
  <c r="O218" i="3"/>
  <c r="P218" i="3" a="1"/>
  <c r="O219" i="3"/>
  <c r="P219" i="3" a="1"/>
  <c r="Q219" i="3" s="1"/>
  <c r="O220" i="3"/>
  <c r="P220" i="3" a="1"/>
  <c r="Q220" i="3"/>
  <c r="O221" i="3"/>
  <c r="P221" i="3" a="1"/>
  <c r="O222" i="3"/>
  <c r="P222" i="3" a="1"/>
  <c r="O223" i="3"/>
  <c r="P223" i="3" a="1"/>
  <c r="Q223" i="3"/>
  <c r="O224" i="3"/>
  <c r="P224" i="3" a="1"/>
  <c r="O225" i="3"/>
  <c r="P225" i="3" a="1"/>
  <c r="O226" i="3"/>
  <c r="P226" i="3" a="1"/>
  <c r="Q226" i="3"/>
  <c r="O198" i="3"/>
  <c r="Q198" i="3" s="1"/>
  <c r="P198" i="3" a="1"/>
  <c r="R198" i="3"/>
  <c r="O199" i="3"/>
  <c r="P199" i="3" a="1"/>
  <c r="O200" i="3"/>
  <c r="P200" i="3" a="1"/>
  <c r="O201" i="3"/>
  <c r="P201" i="3" a="1"/>
  <c r="Q201" i="3" s="1"/>
  <c r="O202" i="3"/>
  <c r="P202" i="3" a="1"/>
  <c r="O203" i="3"/>
  <c r="P203" i="3" a="1"/>
  <c r="O204" i="3"/>
  <c r="P204" i="3" a="1"/>
  <c r="O205" i="3"/>
  <c r="P205" i="3" a="1"/>
  <c r="O206" i="3"/>
  <c r="P206" i="3" a="1"/>
  <c r="Q206" i="3" s="1"/>
  <c r="O207" i="3"/>
  <c r="P207" i="3" a="1"/>
  <c r="O208" i="3"/>
  <c r="P208" i="3" a="1"/>
  <c r="O209" i="3"/>
  <c r="P209" i="3" a="1"/>
  <c r="O210" i="3"/>
  <c r="P210" i="3" a="1"/>
  <c r="O211" i="3"/>
  <c r="P211" i="3" a="1"/>
  <c r="O212" i="3"/>
  <c r="P212" i="3" a="1"/>
  <c r="O213" i="3"/>
  <c r="P213" i="3" a="1"/>
  <c r="Q213" i="3" s="1"/>
  <c r="A199" i="3"/>
  <c r="A200" i="3"/>
  <c r="A201" i="3"/>
  <c r="A202" i="3"/>
  <c r="A203" i="3"/>
  <c r="A204" i="3"/>
  <c r="A205" i="3"/>
  <c r="A206" i="3"/>
  <c r="A207" i="3"/>
  <c r="A208" i="3"/>
  <c r="A209" i="3"/>
  <c r="A210" i="3"/>
  <c r="A211" i="3"/>
  <c r="A212" i="3"/>
  <c r="A213" i="3"/>
  <c r="A214" i="3"/>
  <c r="P199" i="7" a="1"/>
  <c r="O199" i="7"/>
  <c r="A199" i="7"/>
  <c r="P198" i="7" a="1"/>
  <c r="O198" i="7"/>
  <c r="A198" i="7"/>
  <c r="P197" i="7" a="1"/>
  <c r="O197" i="7"/>
  <c r="A197" i="7"/>
  <c r="P196" i="7" a="1"/>
  <c r="O196" i="7"/>
  <c r="A196" i="7"/>
  <c r="P195" i="7" a="1"/>
  <c r="O195" i="7"/>
  <c r="A195" i="7"/>
  <c r="P194" i="7" a="1"/>
  <c r="O194" i="7"/>
  <c r="A194" i="7"/>
  <c r="P193" i="7" a="1"/>
  <c r="O193" i="7"/>
  <c r="A193" i="7"/>
  <c r="P192" i="7" a="1"/>
  <c r="O192" i="7"/>
  <c r="A192" i="7"/>
  <c r="P191" i="7" a="1"/>
  <c r="O191" i="7"/>
  <c r="A191" i="7"/>
  <c r="P190" i="7" a="1"/>
  <c r="O190" i="7"/>
  <c r="A190" i="7"/>
  <c r="P189" i="7" a="1"/>
  <c r="O189" i="7"/>
  <c r="A189" i="7"/>
  <c r="P188" i="7" a="1"/>
  <c r="O188" i="7"/>
  <c r="A188" i="7"/>
  <c r="P187" i="7" a="1"/>
  <c r="O187" i="7"/>
  <c r="A187" i="7"/>
  <c r="P186" i="7" a="1"/>
  <c r="O186" i="7"/>
  <c r="A186" i="7"/>
  <c r="P185" i="7" a="1"/>
  <c r="O185" i="7"/>
  <c r="A185" i="7"/>
  <c r="P184" i="7" a="1"/>
  <c r="O184" i="7"/>
  <c r="A184" i="7"/>
  <c r="P183" i="7" a="1"/>
  <c r="O183" i="7"/>
  <c r="A183" i="7"/>
  <c r="P182" i="7" a="1"/>
  <c r="O182" i="7"/>
  <c r="A182" i="7"/>
  <c r="P181" i="7" a="1"/>
  <c r="O181" i="7"/>
  <c r="A181" i="7"/>
  <c r="P180" i="7" a="1"/>
  <c r="O180" i="7"/>
  <c r="A180" i="7"/>
  <c r="P179" i="7" a="1"/>
  <c r="O179" i="7"/>
  <c r="A179" i="7"/>
  <c r="P178" i="7" a="1"/>
  <c r="O178" i="7"/>
  <c r="A178" i="7"/>
  <c r="P177" i="7" a="1"/>
  <c r="O177" i="7"/>
  <c r="A177" i="7"/>
  <c r="P176" i="7" a="1"/>
  <c r="O176" i="7"/>
  <c r="A176" i="7"/>
  <c r="P175" i="7" a="1"/>
  <c r="O175" i="7"/>
  <c r="A175" i="7"/>
  <c r="P174" i="7" a="1"/>
  <c r="O174" i="7"/>
  <c r="A174" i="7"/>
  <c r="P173" i="7" a="1"/>
  <c r="O173" i="7"/>
  <c r="A173" i="7"/>
  <c r="P172" i="7" a="1"/>
  <c r="O172" i="7"/>
  <c r="A172" i="7"/>
  <c r="P171" i="7" a="1"/>
  <c r="O171" i="7"/>
  <c r="A171" i="7"/>
  <c r="P170" i="7" a="1"/>
  <c r="O170" i="7"/>
  <c r="A170" i="7"/>
  <c r="P169" i="7" a="1"/>
  <c r="O169" i="7"/>
  <c r="A169" i="7"/>
  <c r="P168" i="7" a="1"/>
  <c r="O168" i="7"/>
  <c r="A168" i="7"/>
  <c r="P167" i="7" a="1"/>
  <c r="O167" i="7"/>
  <c r="A167" i="7"/>
  <c r="P166" i="7" a="1"/>
  <c r="O166" i="7"/>
  <c r="A166" i="7"/>
  <c r="P165" i="7" a="1"/>
  <c r="O165" i="7"/>
  <c r="A165" i="7"/>
  <c r="P164" i="7" a="1"/>
  <c r="O164" i="7"/>
  <c r="A164" i="7"/>
  <c r="P163" i="7" a="1"/>
  <c r="O163" i="7"/>
  <c r="A163" i="7"/>
  <c r="P162" i="7" a="1"/>
  <c r="O162" i="7"/>
  <c r="A162" i="7"/>
  <c r="P161" i="7" a="1"/>
  <c r="O161" i="7"/>
  <c r="A161" i="7"/>
  <c r="P160" i="7" a="1"/>
  <c r="O160" i="7"/>
  <c r="A160" i="7"/>
  <c r="P159" i="7" a="1"/>
  <c r="O159" i="7"/>
  <c r="A159" i="7"/>
  <c r="P158" i="7" a="1"/>
  <c r="O158" i="7"/>
  <c r="A158" i="7"/>
  <c r="P157" i="7" a="1"/>
  <c r="O157" i="7"/>
  <c r="A157" i="7"/>
  <c r="P156" i="7" a="1"/>
  <c r="O156" i="7"/>
  <c r="A156" i="7"/>
  <c r="P155" i="7" a="1"/>
  <c r="O155" i="7"/>
  <c r="A155" i="7"/>
  <c r="P154" i="7" a="1"/>
  <c r="O154" i="7"/>
  <c r="A154" i="7"/>
  <c r="P153" i="7" a="1"/>
  <c r="O153" i="7"/>
  <c r="A153" i="7"/>
  <c r="P152" i="7" a="1"/>
  <c r="O152" i="7"/>
  <c r="A152" i="7"/>
  <c r="P151" i="7" a="1"/>
  <c r="O151" i="7"/>
  <c r="A151" i="7"/>
  <c r="P150" i="7" a="1"/>
  <c r="O150" i="7"/>
  <c r="A150" i="7"/>
  <c r="P149" i="7" a="1"/>
  <c r="O149" i="7"/>
  <c r="A149" i="7"/>
  <c r="P148" i="7" a="1"/>
  <c r="O148" i="7"/>
  <c r="A148" i="7"/>
  <c r="P147" i="7" a="1"/>
  <c r="O147" i="7"/>
  <c r="A147" i="7"/>
  <c r="P146" i="7" a="1"/>
  <c r="O146" i="7"/>
  <c r="A146" i="7"/>
  <c r="P145" i="7" a="1"/>
  <c r="O145" i="7"/>
  <c r="A145" i="7"/>
  <c r="P144" i="7" a="1"/>
  <c r="O144" i="7"/>
  <c r="A144" i="7"/>
  <c r="P143" i="7" a="1"/>
  <c r="O143" i="7"/>
  <c r="A143" i="7"/>
  <c r="P142" i="7" a="1"/>
  <c r="O142" i="7"/>
  <c r="A142" i="7"/>
  <c r="P141" i="7" a="1"/>
  <c r="O141" i="7"/>
  <c r="A141" i="7"/>
  <c r="P140" i="7" a="1"/>
  <c r="O140" i="7"/>
  <c r="A140" i="7"/>
  <c r="P139" i="7" a="1"/>
  <c r="O139" i="7"/>
  <c r="A139" i="7"/>
  <c r="P138" i="7" a="1"/>
  <c r="O138" i="7"/>
  <c r="A138" i="7"/>
  <c r="P137" i="7" a="1"/>
  <c r="O137" i="7"/>
  <c r="A137" i="7"/>
  <c r="P136" i="7" a="1"/>
  <c r="O136" i="7"/>
  <c r="A136" i="7"/>
  <c r="P135" i="7" a="1"/>
  <c r="O135" i="7"/>
  <c r="A135" i="7"/>
  <c r="P134" i="7" a="1"/>
  <c r="O134" i="7"/>
  <c r="A134" i="7"/>
  <c r="P133" i="7" a="1"/>
  <c r="O133" i="7"/>
  <c r="A133" i="7"/>
  <c r="P132" i="7" a="1"/>
  <c r="O132" i="7"/>
  <c r="A132" i="7"/>
  <c r="P131" i="7" a="1"/>
  <c r="O131" i="7"/>
  <c r="A131" i="7"/>
  <c r="P130" i="7" a="1"/>
  <c r="O130" i="7"/>
  <c r="A130" i="7"/>
  <c r="P129" i="7" a="1"/>
  <c r="O129" i="7"/>
  <c r="A129" i="7"/>
  <c r="P128" i="7" a="1"/>
  <c r="O128" i="7"/>
  <c r="A128" i="7"/>
  <c r="P127" i="7" a="1"/>
  <c r="O127" i="7"/>
  <c r="A127" i="7"/>
  <c r="P126" i="7" a="1"/>
  <c r="O126" i="7"/>
  <c r="A126" i="7"/>
  <c r="P125" i="7" a="1"/>
  <c r="O125" i="7"/>
  <c r="A125" i="7"/>
  <c r="P124" i="7" a="1"/>
  <c r="O124" i="7"/>
  <c r="A124" i="7"/>
  <c r="P123" i="7" a="1"/>
  <c r="O123" i="7"/>
  <c r="A123" i="7"/>
  <c r="P122" i="7" a="1"/>
  <c r="O122" i="7"/>
  <c r="A122" i="7"/>
  <c r="P121" i="7" a="1"/>
  <c r="O121" i="7"/>
  <c r="A121" i="7"/>
  <c r="P120" i="7" a="1"/>
  <c r="O120" i="7"/>
  <c r="A120" i="7"/>
  <c r="P119" i="7" a="1"/>
  <c r="O119" i="7"/>
  <c r="A119" i="7"/>
  <c r="P118" i="7" a="1"/>
  <c r="O118" i="7"/>
  <c r="A118" i="7"/>
  <c r="P117" i="7" a="1"/>
  <c r="O117" i="7"/>
  <c r="A117" i="7"/>
  <c r="P116" i="7" a="1"/>
  <c r="O116" i="7"/>
  <c r="A116" i="7"/>
  <c r="P115" i="7" a="1"/>
  <c r="O115" i="7"/>
  <c r="A115" i="7"/>
  <c r="P114" i="7" a="1"/>
  <c r="O114" i="7"/>
  <c r="A114" i="7"/>
  <c r="P113" i="7" a="1"/>
  <c r="O113" i="7"/>
  <c r="A113" i="7"/>
  <c r="P112" i="7" a="1"/>
  <c r="O112" i="7"/>
  <c r="A112" i="7"/>
  <c r="P111" i="7" a="1"/>
  <c r="O111" i="7"/>
  <c r="A111" i="7"/>
  <c r="P110" i="7" a="1"/>
  <c r="O110" i="7"/>
  <c r="A110" i="7"/>
  <c r="P109" i="7" a="1"/>
  <c r="O109" i="7"/>
  <c r="A109" i="7"/>
  <c r="P108" i="7" a="1"/>
  <c r="O108" i="7"/>
  <c r="A108" i="7"/>
  <c r="P107" i="7" a="1"/>
  <c r="O107" i="7"/>
  <c r="A107" i="7"/>
  <c r="P106" i="7" a="1"/>
  <c r="O106" i="7"/>
  <c r="A106" i="7"/>
  <c r="P105" i="7" a="1"/>
  <c r="O105" i="7"/>
  <c r="A105" i="7"/>
  <c r="P104" i="7" a="1"/>
  <c r="O104" i="7"/>
  <c r="A104" i="7"/>
  <c r="P103" i="7" a="1"/>
  <c r="O103" i="7"/>
  <c r="A103" i="7"/>
  <c r="P102" i="7" a="1"/>
  <c r="O102" i="7"/>
  <c r="A102" i="7"/>
  <c r="P101" i="7" a="1"/>
  <c r="O101" i="7"/>
  <c r="A101" i="7"/>
  <c r="P100" i="7" a="1"/>
  <c r="O100" i="7"/>
  <c r="A100" i="7"/>
  <c r="P99" i="7" a="1"/>
  <c r="O99" i="7"/>
  <c r="A99" i="7"/>
  <c r="P98" i="7" a="1"/>
  <c r="O98" i="7"/>
  <c r="A98" i="7"/>
  <c r="P97" i="7" a="1"/>
  <c r="O97" i="7"/>
  <c r="A97" i="7"/>
  <c r="P96" i="7" a="1"/>
  <c r="O96" i="7"/>
  <c r="A96" i="7"/>
  <c r="P95" i="7" a="1"/>
  <c r="O95" i="7"/>
  <c r="A95" i="7"/>
  <c r="P94" i="7" a="1"/>
  <c r="O94" i="7"/>
  <c r="A94" i="7"/>
  <c r="P93" i="7" a="1"/>
  <c r="O93" i="7"/>
  <c r="A93" i="7"/>
  <c r="P92" i="7" a="1"/>
  <c r="O92" i="7"/>
  <c r="A92" i="7"/>
  <c r="P91" i="7" a="1"/>
  <c r="O91" i="7"/>
  <c r="A91" i="7"/>
  <c r="P90" i="7" a="1"/>
  <c r="O90" i="7"/>
  <c r="A90" i="7"/>
  <c r="P89" i="7" a="1"/>
  <c r="O89" i="7"/>
  <c r="A89" i="7"/>
  <c r="P88" i="7" a="1"/>
  <c r="O88" i="7"/>
  <c r="A88" i="7"/>
  <c r="P87" i="7" a="1"/>
  <c r="O87" i="7"/>
  <c r="A87" i="7"/>
  <c r="P86" i="7" a="1"/>
  <c r="O86" i="7"/>
  <c r="A86" i="7"/>
  <c r="P85" i="7" a="1"/>
  <c r="O85" i="7"/>
  <c r="A85" i="7"/>
  <c r="P84" i="7" a="1"/>
  <c r="O84" i="7"/>
  <c r="A84" i="7"/>
  <c r="P83" i="7" a="1"/>
  <c r="O83" i="7"/>
  <c r="A83" i="7"/>
  <c r="P82" i="7" a="1"/>
  <c r="O82" i="7"/>
  <c r="A82" i="7"/>
  <c r="P81" i="7" a="1"/>
  <c r="O81" i="7"/>
  <c r="A81" i="7"/>
  <c r="P80" i="7" a="1"/>
  <c r="O80" i="7"/>
  <c r="A80" i="7"/>
  <c r="P79" i="7" a="1"/>
  <c r="O79" i="7"/>
  <c r="A79" i="7"/>
  <c r="P78" i="7" a="1"/>
  <c r="O78" i="7"/>
  <c r="A78" i="7"/>
  <c r="P77" i="7" a="1"/>
  <c r="O77" i="7"/>
  <c r="A77" i="7"/>
  <c r="P76" i="7" a="1"/>
  <c r="O76" i="7"/>
  <c r="A76" i="7"/>
  <c r="P75" i="7" a="1"/>
  <c r="O75" i="7"/>
  <c r="A75" i="7"/>
  <c r="P74" i="7" a="1"/>
  <c r="O74" i="7"/>
  <c r="A74" i="7"/>
  <c r="P73" i="7" a="1"/>
  <c r="O73" i="7"/>
  <c r="A73" i="7"/>
  <c r="P72" i="7" a="1"/>
  <c r="O72" i="7"/>
  <c r="A72" i="7"/>
  <c r="P71" i="7" a="1"/>
  <c r="O71" i="7"/>
  <c r="A71" i="7"/>
  <c r="P70" i="7" a="1"/>
  <c r="O70" i="7"/>
  <c r="A70" i="7"/>
  <c r="P69" i="7" a="1"/>
  <c r="O69" i="7"/>
  <c r="A69" i="7"/>
  <c r="P68" i="7" a="1"/>
  <c r="O68" i="7"/>
  <c r="A68" i="7"/>
  <c r="P67" i="7" a="1"/>
  <c r="O67" i="7"/>
  <c r="A67" i="7"/>
  <c r="P66" i="7" a="1"/>
  <c r="O66" i="7"/>
  <c r="A66" i="7"/>
  <c r="P65" i="7" a="1"/>
  <c r="O65" i="7"/>
  <c r="A65" i="7"/>
  <c r="P64" i="7" a="1"/>
  <c r="O64" i="7"/>
  <c r="A64" i="7"/>
  <c r="P63" i="7" a="1"/>
  <c r="O63" i="7"/>
  <c r="A63" i="7"/>
  <c r="P62" i="7" a="1"/>
  <c r="O62" i="7"/>
  <c r="A62" i="7"/>
  <c r="P61" i="7" a="1"/>
  <c r="O61" i="7"/>
  <c r="A61" i="7"/>
  <c r="P60" i="7" a="1"/>
  <c r="O60" i="7"/>
  <c r="A60" i="7"/>
  <c r="P59" i="7" a="1"/>
  <c r="O59" i="7"/>
  <c r="A59" i="7"/>
  <c r="P58" i="7" a="1"/>
  <c r="O58" i="7"/>
  <c r="A58" i="7"/>
  <c r="P57" i="7" a="1"/>
  <c r="O57" i="7"/>
  <c r="A57" i="7"/>
  <c r="P56" i="7" a="1"/>
  <c r="O56" i="7"/>
  <c r="A56" i="7"/>
  <c r="P55" i="7" a="1"/>
  <c r="O55" i="7"/>
  <c r="A55" i="7"/>
  <c r="P54" i="7" a="1"/>
  <c r="O54" i="7"/>
  <c r="A54" i="7"/>
  <c r="P53" i="7" a="1"/>
  <c r="O53" i="7"/>
  <c r="A53" i="7"/>
  <c r="P52" i="7" a="1"/>
  <c r="O52" i="7"/>
  <c r="A52" i="7"/>
  <c r="P51" i="7" a="1"/>
  <c r="O51" i="7"/>
  <c r="A51" i="7"/>
  <c r="P50" i="7" a="1"/>
  <c r="O50" i="7"/>
  <c r="A50" i="7"/>
  <c r="P49" i="7" a="1"/>
  <c r="O49" i="7"/>
  <c r="A49" i="7"/>
  <c r="P48" i="7" a="1"/>
  <c r="O48" i="7"/>
  <c r="A48" i="7"/>
  <c r="P47" i="7" a="1"/>
  <c r="O47" i="7"/>
  <c r="A47" i="7"/>
  <c r="P46" i="7" a="1"/>
  <c r="O46" i="7"/>
  <c r="A46" i="7"/>
  <c r="P45" i="7" a="1"/>
  <c r="O45" i="7"/>
  <c r="A45" i="7"/>
  <c r="P44" i="7" a="1"/>
  <c r="O44" i="7"/>
  <c r="A44" i="7"/>
  <c r="P43" i="7" a="1"/>
  <c r="O43" i="7"/>
  <c r="A43" i="7"/>
  <c r="P42" i="7" a="1"/>
  <c r="O42" i="7"/>
  <c r="A42" i="7"/>
  <c r="P41" i="7" a="1"/>
  <c r="O41" i="7"/>
  <c r="A41" i="7"/>
  <c r="P40" i="7" a="1"/>
  <c r="O40" i="7"/>
  <c r="A40" i="7"/>
  <c r="P39" i="7" a="1"/>
  <c r="O39" i="7"/>
  <c r="A39" i="7"/>
  <c r="P38" i="7" a="1"/>
  <c r="O38" i="7"/>
  <c r="A38" i="7"/>
  <c r="P37" i="7" a="1"/>
  <c r="O37" i="7"/>
  <c r="A37" i="7"/>
  <c r="P36" i="7" a="1"/>
  <c r="O36" i="7"/>
  <c r="A36" i="7"/>
  <c r="P35" i="7" a="1"/>
  <c r="O35" i="7"/>
  <c r="A35" i="7"/>
  <c r="P34" i="7" a="1"/>
  <c r="O34" i="7"/>
  <c r="A34" i="7"/>
  <c r="P33" i="7" a="1"/>
  <c r="O33" i="7"/>
  <c r="A33" i="7"/>
  <c r="P32" i="7" a="1"/>
  <c r="O32" i="7"/>
  <c r="A32" i="7"/>
  <c r="P31" i="7" a="1"/>
  <c r="O31" i="7"/>
  <c r="A31" i="7"/>
  <c r="P30" i="7" a="1"/>
  <c r="O30" i="7"/>
  <c r="A30" i="7"/>
  <c r="P29" i="7" a="1"/>
  <c r="O29" i="7"/>
  <c r="A29" i="7"/>
  <c r="P28" i="7" a="1"/>
  <c r="O28" i="7"/>
  <c r="A28" i="7"/>
  <c r="P27" i="7" a="1"/>
  <c r="O27" i="7"/>
  <c r="A27" i="7"/>
  <c r="P26" i="7" a="1"/>
  <c r="O26" i="7"/>
  <c r="A26" i="7"/>
  <c r="P25" i="7" a="1"/>
  <c r="O25" i="7"/>
  <c r="A25" i="7"/>
  <c r="P24" i="7" a="1"/>
  <c r="O24" i="7"/>
  <c r="A24" i="7"/>
  <c r="P23" i="7" a="1"/>
  <c r="O23" i="7"/>
  <c r="A23" i="7"/>
  <c r="P22" i="7" a="1"/>
  <c r="O22" i="7"/>
  <c r="A22" i="7"/>
  <c r="P21" i="7" a="1"/>
  <c r="O21" i="7"/>
  <c r="A21" i="7"/>
  <c r="P20" i="7" a="1"/>
  <c r="O20" i="7"/>
  <c r="A20" i="7"/>
  <c r="P19" i="7" a="1"/>
  <c r="O19" i="7"/>
  <c r="A19" i="7"/>
  <c r="P18" i="7" a="1"/>
  <c r="O18" i="7"/>
  <c r="A18" i="7"/>
  <c r="P17" i="7" a="1"/>
  <c r="O17" i="7"/>
  <c r="A17" i="7"/>
  <c r="P16" i="7" a="1"/>
  <c r="O16" i="7"/>
  <c r="A16" i="7"/>
  <c r="P15" i="7" a="1"/>
  <c r="O15" i="7"/>
  <c r="A15" i="7"/>
  <c r="P14" i="7" a="1"/>
  <c r="O14" i="7"/>
  <c r="A14" i="7"/>
  <c r="P13" i="7" a="1"/>
  <c r="O13" i="7"/>
  <c r="A13" i="7"/>
  <c r="P12" i="7" a="1"/>
  <c r="O12" i="7"/>
  <c r="A12" i="7"/>
  <c r="P11" i="7" a="1"/>
  <c r="O11" i="7"/>
  <c r="A11" i="7"/>
  <c r="P10" i="7" a="1"/>
  <c r="O10" i="7"/>
  <c r="A10" i="7"/>
  <c r="P9" i="7" a="1"/>
  <c r="O9" i="7"/>
  <c r="A9" i="7"/>
  <c r="P8" i="7" a="1"/>
  <c r="O8" i="7"/>
  <c r="A8" i="7"/>
  <c r="P7" i="7" a="1"/>
  <c r="O7" i="7"/>
  <c r="A7" i="7"/>
  <c r="P6" i="7" a="1"/>
  <c r="O6" i="7"/>
  <c r="A6" i="7"/>
  <c r="P5" i="7" a="1"/>
  <c r="O5" i="7"/>
  <c r="A5" i="7"/>
  <c r="P4" i="7" a="1"/>
  <c r="O4" i="7"/>
  <c r="A4" i="7"/>
  <c r="P3" i="7" a="1"/>
  <c r="O3" i="7"/>
  <c r="A3" i="7"/>
  <c r="P2" i="7" a="1"/>
  <c r="O2" i="7"/>
  <c r="A2" i="7"/>
  <c r="A192" i="3"/>
  <c r="A193" i="3"/>
  <c r="A194" i="3"/>
  <c r="A195" i="3"/>
  <c r="A196" i="3"/>
  <c r="A197" i="3"/>
  <c r="A198" i="3"/>
  <c r="P197" i="3" a="1"/>
  <c r="P196" i="3" a="1"/>
  <c r="P195" i="3" a="1"/>
  <c r="R195" i="7" s="1"/>
  <c r="P194" i="3" a="1"/>
  <c r="R194" i="7" s="1"/>
  <c r="P193" i="3" a="1"/>
  <c r="R193" i="7" s="1"/>
  <c r="P192" i="3" a="1"/>
  <c r="R192" i="7" s="1"/>
  <c r="P191" i="3" a="1"/>
  <c r="R191" i="7" s="1"/>
  <c r="P190" i="3" a="1"/>
  <c r="P189" i="3" a="1"/>
  <c r="R189" i="7" s="1"/>
  <c r="P188" i="3" a="1"/>
  <c r="R188" i="7" s="1"/>
  <c r="P187" i="3" a="1"/>
  <c r="R187" i="7" s="1"/>
  <c r="P186" i="3" a="1"/>
  <c r="P185" i="3" a="1"/>
  <c r="P184" i="3" a="1"/>
  <c r="P183" i="3" a="1"/>
  <c r="P182" i="3" a="1"/>
  <c r="P181" i="3" a="1"/>
  <c r="P180" i="3" a="1"/>
  <c r="P179" i="3" a="1"/>
  <c r="P178" i="3" a="1"/>
  <c r="P177" i="3" a="1"/>
  <c r="P176" i="3" a="1"/>
  <c r="P175" i="3" a="1"/>
  <c r="P174" i="3" a="1"/>
  <c r="P173" i="3" a="1"/>
  <c r="P172" i="3" a="1"/>
  <c r="P171" i="3" a="1"/>
  <c r="P170" i="3" a="1"/>
  <c r="P169" i="3" a="1"/>
  <c r="P168" i="3" a="1"/>
  <c r="P167" i="3" a="1"/>
  <c r="P166" i="3" a="1"/>
  <c r="P165" i="3" a="1"/>
  <c r="P164" i="3" a="1"/>
  <c r="N164" i="7" s="1"/>
  <c r="P163" i="3" a="1"/>
  <c r="P162" i="3" a="1"/>
  <c r="P161" i="3" a="1"/>
  <c r="P160" i="3" a="1"/>
  <c r="P159" i="3" a="1"/>
  <c r="P158" i="3" a="1"/>
  <c r="P157" i="3" a="1"/>
  <c r="P156" i="3" a="1"/>
  <c r="P155" i="3" a="1"/>
  <c r="P154" i="3" a="1"/>
  <c r="P153" i="3" a="1"/>
  <c r="P152" i="3" a="1"/>
  <c r="P151" i="3" a="1"/>
  <c r="P150" i="3" a="1"/>
  <c r="P149" i="3" a="1"/>
  <c r="P148" i="3" a="1"/>
  <c r="P147" i="3" a="1"/>
  <c r="P146" i="3" a="1"/>
  <c r="P145" i="3" a="1"/>
  <c r="P144" i="3" a="1"/>
  <c r="P143" i="3" a="1"/>
  <c r="P142" i="3" a="1"/>
  <c r="P141" i="3" a="1"/>
  <c r="P140" i="3" a="1"/>
  <c r="P139" i="3" a="1"/>
  <c r="P138" i="3" a="1"/>
  <c r="P137" i="3" a="1"/>
  <c r="P136" i="3" a="1"/>
  <c r="P135" i="3" a="1"/>
  <c r="P134" i="3" a="1"/>
  <c r="P133" i="3" a="1"/>
  <c r="P132" i="3" a="1"/>
  <c r="R132" i="7" s="1"/>
  <c r="P131" i="3" a="1"/>
  <c r="P130" i="3" a="1"/>
  <c r="P129" i="3" a="1"/>
  <c r="P128" i="3" a="1"/>
  <c r="P127" i="3" a="1"/>
  <c r="P126" i="3" a="1"/>
  <c r="P125" i="3" a="1"/>
  <c r="P124" i="3" a="1"/>
  <c r="P123" i="3" a="1"/>
  <c r="P122" i="3" a="1"/>
  <c r="P121" i="3" a="1"/>
  <c r="P120" i="3" a="1"/>
  <c r="P119" i="3" a="1"/>
  <c r="P118" i="3" a="1"/>
  <c r="P117" i="3" a="1"/>
  <c r="P116" i="3" a="1"/>
  <c r="P115" i="3" a="1"/>
  <c r="P114" i="3" a="1"/>
  <c r="P113" i="3" a="1"/>
  <c r="P112" i="3" a="1"/>
  <c r="P111" i="3" a="1"/>
  <c r="P110" i="3" a="1"/>
  <c r="P109" i="3" a="1"/>
  <c r="R109" i="7" s="1"/>
  <c r="P108" i="3" a="1"/>
  <c r="P107" i="3" a="1"/>
  <c r="P106" i="3" a="1"/>
  <c r="P105" i="3" a="1"/>
  <c r="P104" i="3" a="1"/>
  <c r="P103" i="3" a="1"/>
  <c r="P102" i="3" a="1"/>
  <c r="P101" i="3" a="1"/>
  <c r="P100" i="3" a="1"/>
  <c r="P99" i="3" a="1"/>
  <c r="P98" i="3" a="1"/>
  <c r="P97" i="3" a="1"/>
  <c r="P96" i="3" a="1"/>
  <c r="P95" i="3" a="1"/>
  <c r="P94" i="3" a="1"/>
  <c r="P93" i="3" a="1"/>
  <c r="P92" i="3" a="1"/>
  <c r="P91" i="3" a="1"/>
  <c r="P90" i="3" a="1"/>
  <c r="P89" i="3" a="1"/>
  <c r="P88" i="3" a="1"/>
  <c r="P87" i="3" a="1"/>
  <c r="P86" i="3" a="1"/>
  <c r="P85" i="3" a="1"/>
  <c r="P84" i="3" a="1"/>
  <c r="P83" i="3" a="1"/>
  <c r="P82" i="3" a="1"/>
  <c r="P81" i="3" a="1"/>
  <c r="P80" i="3" a="1"/>
  <c r="P79" i="3" a="1"/>
  <c r="P78" i="3" a="1"/>
  <c r="P77" i="3" a="1"/>
  <c r="P76" i="3" a="1"/>
  <c r="P75" i="3" a="1"/>
  <c r="P74" i="3" a="1"/>
  <c r="P73" i="3" a="1"/>
  <c r="P72" i="3" a="1"/>
  <c r="P71" i="3" a="1"/>
  <c r="P70" i="3" a="1"/>
  <c r="P69" i="3" a="1"/>
  <c r="P68" i="3" a="1"/>
  <c r="P67" i="3" a="1"/>
  <c r="P66" i="3" a="1"/>
  <c r="P65" i="3" a="1"/>
  <c r="P64" i="3" a="1"/>
  <c r="P63" i="3" a="1"/>
  <c r="P62" i="3" a="1"/>
  <c r="P61" i="3" a="1"/>
  <c r="P60" i="3" a="1"/>
  <c r="P59" i="3" a="1"/>
  <c r="P58" i="3" a="1"/>
  <c r="P57" i="3" a="1"/>
  <c r="P56" i="3" a="1"/>
  <c r="P55" i="3" a="1"/>
  <c r="P54" i="3" a="1"/>
  <c r="P53" i="3" a="1"/>
  <c r="P52" i="3" a="1"/>
  <c r="P51" i="3" a="1"/>
  <c r="P50" i="3" a="1"/>
  <c r="P49" i="3" a="1"/>
  <c r="P48" i="3" a="1"/>
  <c r="P47" i="3" a="1"/>
  <c r="P46" i="3" a="1"/>
  <c r="P45" i="3" a="1"/>
  <c r="P44" i="3" a="1"/>
  <c r="P43" i="3" a="1"/>
  <c r="P42" i="3" a="1"/>
  <c r="P41" i="3" a="1"/>
  <c r="P40" i="3" a="1"/>
  <c r="P39" i="3" a="1"/>
  <c r="P38" i="3" a="1"/>
  <c r="P37" i="3" a="1"/>
  <c r="P36" i="3" a="1"/>
  <c r="P35" i="3" a="1"/>
  <c r="P34" i="3" a="1"/>
  <c r="P33" i="3" a="1"/>
  <c r="P32" i="3" a="1"/>
  <c r="P31" i="3" a="1"/>
  <c r="P30" i="3" a="1"/>
  <c r="P29" i="3" a="1"/>
  <c r="P28" i="3" a="1"/>
  <c r="P27" i="3" a="1"/>
  <c r="P26" i="3" a="1"/>
  <c r="P25" i="3" a="1"/>
  <c r="P24" i="3" a="1"/>
  <c r="P23" i="3" a="1"/>
  <c r="P22" i="3" a="1"/>
  <c r="P21" i="3" a="1"/>
  <c r="P20" i="3" a="1"/>
  <c r="P19" i="3" a="1"/>
  <c r="P18" i="3" a="1"/>
  <c r="P17" i="3" a="1"/>
  <c r="P16" i="3" a="1"/>
  <c r="P15" i="3" a="1"/>
  <c r="P14" i="3" a="1"/>
  <c r="P13" i="3" a="1"/>
  <c r="P12" i="3" a="1"/>
  <c r="P11" i="3" a="1"/>
  <c r="P10" i="3" a="1"/>
  <c r="P9" i="3" a="1"/>
  <c r="P8" i="3" a="1"/>
  <c r="P7" i="3" a="1"/>
  <c r="P6" i="3" a="1"/>
  <c r="P5" i="3" a="1"/>
  <c r="P4" i="3" a="1"/>
  <c r="P3" i="3" a="1"/>
  <c r="P2" i="3" a="1"/>
  <c r="A2" i="3"/>
  <c r="O2" i="3"/>
  <c r="A3" i="3"/>
  <c r="O3" i="3"/>
  <c r="A4" i="3"/>
  <c r="O4" i="3"/>
  <c r="A5" i="3"/>
  <c r="O5" i="3"/>
  <c r="A6" i="3"/>
  <c r="O6" i="3"/>
  <c r="A7" i="3"/>
  <c r="O7" i="3"/>
  <c r="A8" i="3"/>
  <c r="O8" i="3"/>
  <c r="A9" i="3"/>
  <c r="O9" i="3"/>
  <c r="A10" i="3"/>
  <c r="O10" i="3"/>
  <c r="A11" i="3"/>
  <c r="O11" i="3"/>
  <c r="A12" i="3"/>
  <c r="O12" i="3"/>
  <c r="A13" i="3"/>
  <c r="O13" i="3"/>
  <c r="A14" i="3"/>
  <c r="O14" i="3"/>
  <c r="A15" i="3"/>
  <c r="O15" i="3"/>
  <c r="A16" i="3"/>
  <c r="O16" i="3"/>
  <c r="A17" i="3"/>
  <c r="O17" i="3"/>
  <c r="A18" i="3"/>
  <c r="O18" i="3"/>
  <c r="A19" i="3"/>
  <c r="O19" i="3"/>
  <c r="A20" i="3"/>
  <c r="O20" i="3"/>
  <c r="A21" i="3"/>
  <c r="O21" i="3"/>
  <c r="A22" i="3"/>
  <c r="O22" i="3"/>
  <c r="A23" i="3"/>
  <c r="O23" i="3"/>
  <c r="A24" i="3"/>
  <c r="O24" i="3"/>
  <c r="A25" i="3"/>
  <c r="O25" i="3"/>
  <c r="A26" i="3"/>
  <c r="O26" i="3"/>
  <c r="A27" i="3"/>
  <c r="O27" i="3"/>
  <c r="A28" i="3"/>
  <c r="O28" i="3"/>
  <c r="A29" i="3"/>
  <c r="O29" i="3"/>
  <c r="A30" i="3"/>
  <c r="O30" i="3"/>
  <c r="A31" i="3"/>
  <c r="O31" i="3"/>
  <c r="A32" i="3"/>
  <c r="O32" i="3"/>
  <c r="A33" i="3"/>
  <c r="O33" i="3"/>
  <c r="A34" i="3"/>
  <c r="O34" i="3"/>
  <c r="A35" i="3"/>
  <c r="O35" i="3"/>
  <c r="A36" i="3"/>
  <c r="O36" i="3"/>
  <c r="A37" i="3"/>
  <c r="O37" i="3"/>
  <c r="A38" i="3"/>
  <c r="O38" i="3"/>
  <c r="A39" i="3"/>
  <c r="O39" i="3"/>
  <c r="A40" i="3"/>
  <c r="O40" i="3"/>
  <c r="A41" i="3"/>
  <c r="O41" i="3"/>
  <c r="A42" i="3"/>
  <c r="O42" i="3"/>
  <c r="A43" i="3"/>
  <c r="O43" i="3"/>
  <c r="A44" i="3"/>
  <c r="O44" i="3"/>
  <c r="A45" i="3"/>
  <c r="O45" i="3"/>
  <c r="A46" i="3"/>
  <c r="O46" i="3"/>
  <c r="A47" i="3"/>
  <c r="O47" i="3"/>
  <c r="A48" i="3"/>
  <c r="O48" i="3"/>
  <c r="A49" i="3"/>
  <c r="O49" i="3"/>
  <c r="A50" i="3"/>
  <c r="O50" i="3"/>
  <c r="A51" i="3"/>
  <c r="O51" i="3"/>
  <c r="A52" i="3"/>
  <c r="O52" i="3"/>
  <c r="A53" i="3"/>
  <c r="O53" i="3"/>
  <c r="A54" i="3"/>
  <c r="O54" i="3"/>
  <c r="A55" i="3"/>
  <c r="O55" i="3"/>
  <c r="A56" i="3"/>
  <c r="O56" i="3"/>
  <c r="A57" i="3"/>
  <c r="O57" i="3"/>
  <c r="A58" i="3"/>
  <c r="O58" i="3"/>
  <c r="A59" i="3"/>
  <c r="O59" i="3"/>
  <c r="A60" i="3"/>
  <c r="O60" i="3"/>
  <c r="A61" i="3"/>
  <c r="O61" i="3"/>
  <c r="A62" i="3"/>
  <c r="O62" i="3"/>
  <c r="A63" i="3"/>
  <c r="O63" i="3"/>
  <c r="A64" i="3"/>
  <c r="O64" i="3"/>
  <c r="A65" i="3"/>
  <c r="O65" i="3"/>
  <c r="A66" i="3"/>
  <c r="O66" i="3"/>
  <c r="A67" i="3"/>
  <c r="O67" i="3"/>
  <c r="A68" i="3"/>
  <c r="O68" i="3"/>
  <c r="A69" i="3"/>
  <c r="O69" i="3"/>
  <c r="A70" i="3"/>
  <c r="O70" i="3"/>
  <c r="A71" i="3"/>
  <c r="O71" i="3"/>
  <c r="A72" i="3"/>
  <c r="O72" i="3"/>
  <c r="A73" i="3"/>
  <c r="O73" i="3"/>
  <c r="A74" i="3"/>
  <c r="O74" i="3"/>
  <c r="A75" i="3"/>
  <c r="O75" i="3"/>
  <c r="A76" i="3"/>
  <c r="O76" i="3"/>
  <c r="A77" i="3"/>
  <c r="O77" i="3"/>
  <c r="A78" i="3"/>
  <c r="O78" i="3"/>
  <c r="A79" i="3"/>
  <c r="O79" i="3"/>
  <c r="A80" i="3"/>
  <c r="O80" i="3"/>
  <c r="A81" i="3"/>
  <c r="O81" i="3"/>
  <c r="A82" i="3"/>
  <c r="O82" i="3"/>
  <c r="A83" i="3"/>
  <c r="O83" i="3"/>
  <c r="A84" i="3"/>
  <c r="O84" i="3"/>
  <c r="A85" i="3"/>
  <c r="O85" i="3"/>
  <c r="A86" i="3"/>
  <c r="O86" i="3"/>
  <c r="A87" i="3"/>
  <c r="O87" i="3"/>
  <c r="A88" i="3"/>
  <c r="O88" i="3"/>
  <c r="A89" i="3"/>
  <c r="O89" i="3"/>
  <c r="A90" i="3"/>
  <c r="O90" i="3"/>
  <c r="A91" i="3"/>
  <c r="O91" i="3"/>
  <c r="A92" i="3"/>
  <c r="O92" i="3"/>
  <c r="A93" i="3"/>
  <c r="O93" i="3"/>
  <c r="A94" i="3"/>
  <c r="O94" i="3"/>
  <c r="A95" i="3"/>
  <c r="O95" i="3"/>
  <c r="A96" i="3"/>
  <c r="O96" i="3"/>
  <c r="A97" i="3"/>
  <c r="O97" i="3"/>
  <c r="A98" i="3"/>
  <c r="O98" i="3"/>
  <c r="A99" i="3"/>
  <c r="O99" i="3"/>
  <c r="A100" i="3"/>
  <c r="O100" i="3"/>
  <c r="A101" i="3"/>
  <c r="O101" i="3"/>
  <c r="A102" i="3"/>
  <c r="O102" i="3"/>
  <c r="A103" i="3"/>
  <c r="O103" i="3"/>
  <c r="A104" i="3"/>
  <c r="O104" i="3"/>
  <c r="A105" i="3"/>
  <c r="O105" i="3"/>
  <c r="A106" i="3"/>
  <c r="O106" i="3"/>
  <c r="A107" i="3"/>
  <c r="O107" i="3"/>
  <c r="A108" i="3"/>
  <c r="O108" i="3"/>
  <c r="A109" i="3"/>
  <c r="O109" i="3"/>
  <c r="A110" i="3"/>
  <c r="O110" i="3"/>
  <c r="A111" i="3"/>
  <c r="O111" i="3"/>
  <c r="A112" i="3"/>
  <c r="O112" i="3"/>
  <c r="A113" i="3"/>
  <c r="O113" i="3"/>
  <c r="A114" i="3"/>
  <c r="O114" i="3"/>
  <c r="A115" i="3"/>
  <c r="O115" i="3"/>
  <c r="A116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A146" i="3"/>
  <c r="O146" i="3"/>
  <c r="A147" i="3"/>
  <c r="O147" i="3"/>
  <c r="A148" i="3"/>
  <c r="O148" i="3"/>
  <c r="A149" i="3"/>
  <c r="O149" i="3"/>
  <c r="A150" i="3"/>
  <c r="O150" i="3"/>
  <c r="A151" i="3"/>
  <c r="O151" i="3"/>
  <c r="A152" i="3"/>
  <c r="O152" i="3"/>
  <c r="A153" i="3"/>
  <c r="O153" i="3"/>
  <c r="A154" i="3"/>
  <c r="O154" i="3"/>
  <c r="A155" i="3"/>
  <c r="O155" i="3"/>
  <c r="A156" i="3"/>
  <c r="O156" i="3"/>
  <c r="A157" i="3"/>
  <c r="O157" i="3"/>
  <c r="A158" i="3"/>
  <c r="O158" i="3"/>
  <c r="A159" i="3"/>
  <c r="O159" i="3"/>
  <c r="A160" i="3"/>
  <c r="O160" i="3"/>
  <c r="A161" i="3"/>
  <c r="O161" i="3"/>
  <c r="A162" i="3"/>
  <c r="O162" i="3"/>
  <c r="A163" i="3"/>
  <c r="O163" i="3"/>
  <c r="A164" i="3"/>
  <c r="O164" i="3"/>
  <c r="A165" i="3"/>
  <c r="O165" i="3"/>
  <c r="A166" i="3"/>
  <c r="O166" i="3"/>
  <c r="A167" i="3"/>
  <c r="O167" i="3"/>
  <c r="A168" i="3"/>
  <c r="O168" i="3"/>
  <c r="A169" i="3"/>
  <c r="O169" i="3"/>
  <c r="A170" i="3"/>
  <c r="O170" i="3"/>
  <c r="A171" i="3"/>
  <c r="O171" i="3"/>
  <c r="A172" i="3"/>
  <c r="O172" i="3"/>
  <c r="A173" i="3"/>
  <c r="O173" i="3"/>
  <c r="A174" i="3"/>
  <c r="O174" i="3"/>
  <c r="A175" i="3"/>
  <c r="O175" i="3"/>
  <c r="A176" i="3"/>
  <c r="O176" i="3"/>
  <c r="A177" i="3"/>
  <c r="O177" i="3"/>
  <c r="A178" i="3"/>
  <c r="O178" i="3"/>
  <c r="A179" i="3"/>
  <c r="O179" i="3"/>
  <c r="A180" i="3"/>
  <c r="O180" i="3"/>
  <c r="A181" i="3"/>
  <c r="O181" i="3"/>
  <c r="A182" i="3"/>
  <c r="O182" i="3"/>
  <c r="A183" i="3"/>
  <c r="O183" i="3"/>
  <c r="A184" i="3"/>
  <c r="O184" i="3"/>
  <c r="A185" i="3"/>
  <c r="O185" i="3"/>
  <c r="A186" i="3"/>
  <c r="O186" i="3"/>
  <c r="A187" i="3"/>
  <c r="O187" i="3"/>
  <c r="A188" i="3"/>
  <c r="O188" i="3"/>
  <c r="A189" i="3"/>
  <c r="O189" i="3"/>
  <c r="A190" i="3"/>
  <c r="O190" i="3"/>
  <c r="A191" i="3"/>
  <c r="O191" i="3"/>
  <c r="O192" i="3"/>
  <c r="O193" i="3"/>
  <c r="O194" i="3"/>
  <c r="O195" i="3"/>
  <c r="O196" i="3"/>
  <c r="O197" i="3"/>
  <c r="C32" i="1"/>
  <c r="G32" i="1"/>
  <c r="C2" i="4" a="1"/>
  <c r="I5" i="4" a="1"/>
  <c r="C5" i="4" a="1"/>
  <c r="H5" i="4" a="1"/>
  <c r="G5" i="4" a="1"/>
  <c r="F5" i="4" a="1"/>
  <c r="D6" i="1" a="1"/>
  <c r="E5" i="4" a="1"/>
  <c r="D5" i="4" a="1"/>
  <c r="B5" i="4" a="1"/>
  <c r="N214" i="3" l="1"/>
  <c r="Q214" i="3"/>
  <c r="R214" i="3"/>
  <c r="N215" i="3"/>
  <c r="R215" i="3"/>
  <c r="Q215" i="3"/>
  <c r="N216" i="3"/>
  <c r="R216" i="3"/>
  <c r="Q216" i="3"/>
  <c r="N217" i="3"/>
  <c r="R217" i="3"/>
  <c r="Q221" i="3"/>
  <c r="Q199" i="3"/>
  <c r="R199" i="3"/>
  <c r="R218" i="3"/>
  <c r="Q218" i="3"/>
  <c r="N218" i="3"/>
  <c r="R219" i="3"/>
  <c r="N219" i="3"/>
  <c r="R220" i="3"/>
  <c r="N220" i="3"/>
  <c r="N221" i="3"/>
  <c r="R221" i="3"/>
  <c r="R222" i="3"/>
  <c r="Q222" i="3"/>
  <c r="N222" i="3"/>
  <c r="N223" i="3"/>
  <c r="R223" i="3"/>
  <c r="N224" i="3"/>
  <c r="Q224" i="3"/>
  <c r="R224" i="3"/>
  <c r="Q225" i="3"/>
  <c r="R225" i="3"/>
  <c r="N225" i="3"/>
  <c r="R226" i="3"/>
  <c r="N226" i="3"/>
  <c r="Q209" i="3"/>
  <c r="N200" i="3"/>
  <c r="R200" i="3"/>
  <c r="Q200" i="3"/>
  <c r="R175" i="7"/>
  <c r="R196" i="7"/>
  <c r="R197" i="7"/>
  <c r="N98" i="7"/>
  <c r="Q98" i="7"/>
  <c r="N198" i="3"/>
  <c r="R198" i="7"/>
  <c r="N199" i="3"/>
  <c r="N199" i="7"/>
  <c r="N201" i="3"/>
  <c r="R201" i="3"/>
  <c r="N202" i="3"/>
  <c r="Q202" i="3"/>
  <c r="R202" i="3"/>
  <c r="Q203" i="3"/>
  <c r="N203" i="3"/>
  <c r="R203" i="3"/>
  <c r="Q204" i="3"/>
  <c r="R204" i="3"/>
  <c r="N204" i="3"/>
  <c r="Q205" i="3"/>
  <c r="N205" i="3"/>
  <c r="R205" i="3"/>
  <c r="N206" i="3"/>
  <c r="R206" i="3"/>
  <c r="Q207" i="3"/>
  <c r="R207" i="3"/>
  <c r="N207" i="3"/>
  <c r="Q208" i="3"/>
  <c r="N208" i="3"/>
  <c r="R208" i="3"/>
  <c r="R209" i="3"/>
  <c r="N209" i="3"/>
  <c r="Q210" i="3"/>
  <c r="R210" i="3"/>
  <c r="N210" i="3"/>
  <c r="N211" i="3"/>
  <c r="R211" i="3"/>
  <c r="Q211" i="3"/>
  <c r="Q212" i="3"/>
  <c r="N212" i="3"/>
  <c r="R212" i="3"/>
  <c r="R213" i="3"/>
  <c r="N213" i="3"/>
  <c r="N111" i="7"/>
  <c r="R98" i="7"/>
  <c r="R163" i="7"/>
  <c r="R182" i="7"/>
  <c r="R184" i="7"/>
  <c r="R186" i="7"/>
  <c r="R157" i="7"/>
  <c r="R158" i="7"/>
  <c r="R162" i="7"/>
  <c r="R181" i="7"/>
  <c r="R183" i="7"/>
  <c r="R185" i="7"/>
  <c r="R190" i="7"/>
  <c r="N190" i="7"/>
  <c r="Q190" i="7"/>
  <c r="Q186" i="7"/>
  <c r="N186" i="7"/>
  <c r="N185" i="7"/>
  <c r="Q185" i="7"/>
  <c r="N184" i="7"/>
  <c r="Q184" i="7"/>
  <c r="N183" i="7"/>
  <c r="Q183" i="7"/>
  <c r="N182" i="7"/>
  <c r="Q182" i="7"/>
  <c r="N181" i="7"/>
  <c r="Q181" i="7"/>
  <c r="N180" i="7"/>
  <c r="Q180" i="7"/>
  <c r="R180" i="7"/>
  <c r="R179" i="7"/>
  <c r="Q179" i="7"/>
  <c r="N179" i="7"/>
  <c r="N178" i="7"/>
  <c r="R178" i="7"/>
  <c r="Q178" i="7"/>
  <c r="N177" i="7"/>
  <c r="Q177" i="7"/>
  <c r="R177" i="7"/>
  <c r="Q176" i="7"/>
  <c r="N176" i="7"/>
  <c r="R176" i="7"/>
  <c r="N161" i="7"/>
  <c r="Q161" i="7"/>
  <c r="Q160" i="7"/>
  <c r="N160" i="7"/>
  <c r="Q159" i="7"/>
  <c r="N159" i="7"/>
  <c r="N158" i="7"/>
  <c r="Q158" i="7"/>
  <c r="Q157" i="7"/>
  <c r="N157" i="7"/>
  <c r="R156" i="7"/>
  <c r="Q156" i="7"/>
  <c r="N156" i="7"/>
  <c r="R155" i="7"/>
  <c r="Q155" i="7"/>
  <c r="N155" i="7"/>
  <c r="N154" i="7"/>
  <c r="Q154" i="7"/>
  <c r="R154" i="7"/>
  <c r="N153" i="7"/>
  <c r="Q153" i="7"/>
  <c r="R153" i="7"/>
  <c r="N152" i="7"/>
  <c r="Q152" i="7"/>
  <c r="R152" i="7"/>
  <c r="R151" i="7"/>
  <c r="N151" i="7"/>
  <c r="Q151" i="7"/>
  <c r="Q150" i="7"/>
  <c r="R150" i="7"/>
  <c r="N150" i="7"/>
  <c r="N133" i="7"/>
  <c r="Q127" i="7"/>
  <c r="Q131" i="7"/>
  <c r="R131" i="7"/>
  <c r="N131" i="7"/>
  <c r="R130" i="7"/>
  <c r="Q130" i="7"/>
  <c r="N130" i="7"/>
  <c r="R129" i="7"/>
  <c r="Q129" i="7"/>
  <c r="N129" i="7"/>
  <c r="R128" i="7"/>
  <c r="Q128" i="7"/>
  <c r="N128" i="7"/>
  <c r="R127" i="7"/>
  <c r="N127" i="7"/>
  <c r="R126" i="7"/>
  <c r="Q126" i="7"/>
  <c r="N126" i="7"/>
  <c r="R125" i="7"/>
  <c r="Q125" i="7"/>
  <c r="N125" i="7"/>
  <c r="R124" i="7"/>
  <c r="Q124" i="7"/>
  <c r="N124" i="7"/>
  <c r="N123" i="7"/>
  <c r="R123" i="7"/>
  <c r="Q123" i="7"/>
  <c r="R99" i="7"/>
  <c r="Q99" i="7"/>
  <c r="N99" i="7"/>
  <c r="Q197" i="7"/>
  <c r="N197" i="7"/>
  <c r="Q196" i="7"/>
  <c r="N196" i="7"/>
  <c r="N175" i="7"/>
  <c r="Q175" i="7"/>
  <c r="Q132" i="7"/>
  <c r="N132" i="7"/>
  <c r="R104" i="7"/>
  <c r="R105" i="7"/>
  <c r="R107" i="7"/>
  <c r="R106" i="7"/>
  <c r="R108" i="7"/>
  <c r="R159" i="7"/>
  <c r="R160" i="7"/>
  <c r="R161" i="7"/>
  <c r="N174" i="7"/>
  <c r="R174" i="7"/>
  <c r="Q174" i="7"/>
  <c r="Q163" i="7"/>
  <c r="N163" i="7"/>
  <c r="Q162" i="7"/>
  <c r="N162" i="7"/>
  <c r="R149" i="7"/>
  <c r="Q149" i="7"/>
  <c r="N149" i="7"/>
  <c r="R110" i="7"/>
  <c r="Q110" i="7"/>
  <c r="N110" i="7"/>
  <c r="Q108" i="7"/>
  <c r="N108" i="7"/>
  <c r="Q107" i="7"/>
  <c r="N107" i="7"/>
  <c r="Q106" i="7"/>
  <c r="N106" i="7"/>
  <c r="Q105" i="7"/>
  <c r="N105" i="7"/>
  <c r="Q104" i="7"/>
  <c r="N104" i="7"/>
  <c r="R103" i="7"/>
  <c r="Q103" i="7"/>
  <c r="N103" i="7"/>
  <c r="R102" i="7"/>
  <c r="Q102" i="7"/>
  <c r="N102" i="7"/>
  <c r="R101" i="7"/>
  <c r="Q101" i="7"/>
  <c r="N101" i="7"/>
  <c r="R100" i="7"/>
  <c r="Q100" i="7"/>
  <c r="N100" i="7"/>
  <c r="R199" i="7"/>
  <c r="Q199" i="7"/>
  <c r="Q173" i="7"/>
  <c r="N173" i="7"/>
  <c r="R173" i="7"/>
  <c r="Q172" i="7"/>
  <c r="R172" i="7"/>
  <c r="N172" i="7"/>
  <c r="Q171" i="7"/>
  <c r="R171" i="7"/>
  <c r="N171" i="7"/>
  <c r="N170" i="7"/>
  <c r="R170" i="7"/>
  <c r="Q170" i="7"/>
  <c r="Q169" i="7"/>
  <c r="R169" i="7"/>
  <c r="N169" i="7"/>
  <c r="R168" i="7"/>
  <c r="Q168" i="7"/>
  <c r="N168" i="7"/>
  <c r="R167" i="7"/>
  <c r="Q167" i="7"/>
  <c r="N167" i="7"/>
  <c r="R166" i="7"/>
  <c r="Q166" i="7"/>
  <c r="N166" i="7"/>
  <c r="N165" i="7"/>
  <c r="R165" i="7"/>
  <c r="Q165" i="7"/>
  <c r="R164" i="7"/>
  <c r="Q164" i="7"/>
  <c r="N148" i="7"/>
  <c r="Q148" i="7"/>
  <c r="R148" i="7"/>
  <c r="R147" i="7"/>
  <c r="N147" i="7"/>
  <c r="Q147" i="7"/>
  <c r="Q146" i="7"/>
  <c r="R146" i="7"/>
  <c r="N146" i="7"/>
  <c r="N145" i="7"/>
  <c r="Q145" i="7"/>
  <c r="R145" i="7"/>
  <c r="N144" i="7"/>
  <c r="Q144" i="7"/>
  <c r="R144" i="7"/>
  <c r="Q143" i="7"/>
  <c r="R143" i="7"/>
  <c r="N143" i="7"/>
  <c r="N142" i="7"/>
  <c r="R142" i="7"/>
  <c r="Q142" i="7"/>
  <c r="R141" i="7"/>
  <c r="N141" i="7"/>
  <c r="Q141" i="7"/>
  <c r="Q140" i="7"/>
  <c r="N140" i="7"/>
  <c r="R140" i="7"/>
  <c r="R139" i="7"/>
  <c r="N139" i="7"/>
  <c r="Q139" i="7"/>
  <c r="N138" i="7"/>
  <c r="Q138" i="7"/>
  <c r="R138" i="7"/>
  <c r="Q137" i="7"/>
  <c r="R137" i="7"/>
  <c r="N137" i="7"/>
  <c r="N136" i="7"/>
  <c r="Q136" i="7"/>
  <c r="R136" i="7"/>
  <c r="R135" i="7"/>
  <c r="N135" i="7"/>
  <c r="Q135" i="7"/>
  <c r="N134" i="7"/>
  <c r="Q134" i="7"/>
  <c r="R134" i="7"/>
  <c r="Q133" i="7"/>
  <c r="R133" i="7"/>
  <c r="Q122" i="7"/>
  <c r="R122" i="7"/>
  <c r="N122" i="7"/>
  <c r="R121" i="7"/>
  <c r="N121" i="7"/>
  <c r="Q121" i="7"/>
  <c r="R120" i="7"/>
  <c r="Q120" i="7"/>
  <c r="N120" i="7"/>
  <c r="R119" i="7"/>
  <c r="Q119" i="7"/>
  <c r="N119" i="7"/>
  <c r="R118" i="7"/>
  <c r="Q118" i="7"/>
  <c r="N118" i="7"/>
  <c r="R117" i="7"/>
  <c r="Q117" i="7"/>
  <c r="N117" i="7"/>
  <c r="R116" i="7"/>
  <c r="Q116" i="7"/>
  <c r="N116" i="7"/>
  <c r="R115" i="7"/>
  <c r="Q115" i="7"/>
  <c r="N115" i="7"/>
  <c r="R114" i="7"/>
  <c r="Q114" i="7"/>
  <c r="N114" i="7"/>
  <c r="R113" i="7"/>
  <c r="N113" i="7"/>
  <c r="Q113" i="7"/>
  <c r="R112" i="7"/>
  <c r="N112" i="7"/>
  <c r="Q112" i="7"/>
  <c r="Q111" i="7"/>
  <c r="R111" i="7"/>
  <c r="N97" i="7"/>
  <c r="R97" i="7"/>
  <c r="Q97" i="7"/>
  <c r="R96" i="7"/>
  <c r="Q96" i="7"/>
  <c r="N96" i="7"/>
  <c r="R95" i="7"/>
  <c r="Q95" i="7"/>
  <c r="N95" i="7"/>
  <c r="N94" i="7"/>
  <c r="R94" i="7"/>
  <c r="Q94" i="7"/>
  <c r="N93" i="7"/>
  <c r="Q93" i="7"/>
  <c r="R93" i="7"/>
  <c r="N92" i="7"/>
  <c r="Q92" i="7"/>
  <c r="R92" i="7"/>
  <c r="N91" i="7"/>
  <c r="Q91" i="7"/>
  <c r="R91" i="7"/>
  <c r="N90" i="7"/>
  <c r="Q90" i="7"/>
  <c r="R90" i="7"/>
  <c r="N89" i="7"/>
  <c r="Q89" i="7"/>
  <c r="R89" i="7"/>
  <c r="Q88" i="7"/>
  <c r="R88" i="7"/>
  <c r="N88" i="7"/>
  <c r="Q87" i="7"/>
  <c r="R87" i="7"/>
  <c r="N87" i="7"/>
  <c r="Q86" i="7"/>
  <c r="N86" i="7"/>
  <c r="R86" i="7"/>
  <c r="R85" i="7"/>
  <c r="Q85" i="7"/>
  <c r="N85" i="7"/>
  <c r="R84" i="7"/>
  <c r="Q84" i="7"/>
  <c r="N84" i="7"/>
  <c r="N83" i="7"/>
  <c r="R83" i="7"/>
  <c r="Q83" i="7"/>
  <c r="N82" i="7"/>
  <c r="R82" i="7"/>
  <c r="Q82" i="7"/>
  <c r="R81" i="7"/>
  <c r="Q81" i="7"/>
  <c r="N81" i="7"/>
  <c r="R80" i="7"/>
  <c r="Q80" i="7"/>
  <c r="N80" i="7"/>
  <c r="Q79" i="7"/>
  <c r="R79" i="7"/>
  <c r="N79" i="7"/>
  <c r="N78" i="7"/>
  <c r="Q78" i="7"/>
  <c r="R78" i="7"/>
  <c r="N77" i="7"/>
  <c r="Q77" i="7"/>
  <c r="R77" i="7"/>
  <c r="N76" i="7"/>
  <c r="Q76" i="7"/>
  <c r="R76" i="7"/>
  <c r="R75" i="7"/>
  <c r="Q75" i="7"/>
  <c r="N75" i="7"/>
  <c r="N74" i="7"/>
  <c r="Q74" i="7"/>
  <c r="R74" i="7"/>
  <c r="N73" i="7"/>
  <c r="Q73" i="7"/>
  <c r="R73" i="7"/>
  <c r="Q72" i="7"/>
  <c r="N72" i="7"/>
  <c r="R72" i="7"/>
  <c r="Q71" i="7"/>
  <c r="R71" i="7"/>
  <c r="N71" i="7"/>
  <c r="N70" i="7"/>
  <c r="Q70" i="7"/>
  <c r="R70" i="7"/>
  <c r="R69" i="7"/>
  <c r="Q69" i="7"/>
  <c r="N69" i="7"/>
  <c r="R68" i="7"/>
  <c r="Q68" i="7"/>
  <c r="N68" i="7"/>
  <c r="R67" i="7"/>
  <c r="Q67" i="7"/>
  <c r="N67" i="7"/>
  <c r="R66" i="7"/>
  <c r="Q66" i="7"/>
  <c r="N66" i="7"/>
  <c r="N65" i="7"/>
  <c r="R65" i="7"/>
  <c r="Q65" i="7"/>
  <c r="N64" i="7"/>
  <c r="Q64" i="7"/>
  <c r="R64" i="7"/>
  <c r="N63" i="7"/>
  <c r="Q63" i="7"/>
  <c r="R63" i="7"/>
  <c r="N62" i="7"/>
  <c r="Q62" i="7"/>
  <c r="R62" i="7"/>
  <c r="N61" i="7"/>
  <c r="R61" i="7"/>
  <c r="Q61" i="7"/>
  <c r="R60" i="7"/>
  <c r="Q60" i="7"/>
  <c r="N60" i="7"/>
  <c r="R59" i="7"/>
  <c r="Q59" i="7"/>
  <c r="N59" i="7"/>
  <c r="R58" i="7"/>
  <c r="Q58" i="7"/>
  <c r="N58" i="7"/>
  <c r="N57" i="7"/>
  <c r="Q57" i="7"/>
  <c r="R57" i="7"/>
  <c r="R56" i="7"/>
  <c r="Q56" i="7"/>
  <c r="N56" i="7"/>
  <c r="N55" i="7"/>
  <c r="Q55" i="7"/>
  <c r="R55" i="7"/>
  <c r="Q54" i="7"/>
  <c r="R54" i="7"/>
  <c r="N54" i="7"/>
  <c r="Q53" i="7"/>
  <c r="R53" i="7"/>
  <c r="N53" i="7"/>
  <c r="N52" i="7"/>
  <c r="R52" i="7"/>
  <c r="Q52" i="7"/>
  <c r="R51" i="7"/>
  <c r="Q51" i="7"/>
  <c r="N51" i="7"/>
  <c r="N50" i="7"/>
  <c r="R50" i="7"/>
  <c r="Q50" i="7"/>
  <c r="R49" i="7"/>
  <c r="Q49" i="7"/>
  <c r="N49" i="7"/>
  <c r="R48" i="7"/>
  <c r="Q48" i="7"/>
  <c r="N48" i="7"/>
  <c r="N47" i="7"/>
  <c r="R47" i="7"/>
  <c r="Q47" i="7"/>
  <c r="R46" i="7"/>
  <c r="Q46" i="7"/>
  <c r="N46" i="7"/>
  <c r="N45" i="7"/>
  <c r="Q45" i="7"/>
  <c r="R45" i="7"/>
  <c r="Q44" i="7"/>
  <c r="R44" i="7"/>
  <c r="N44" i="7"/>
  <c r="R43" i="7"/>
  <c r="N43" i="7"/>
  <c r="Q43" i="7"/>
  <c r="Q42" i="7"/>
  <c r="N42" i="7"/>
  <c r="R42" i="7"/>
  <c r="R41" i="7"/>
  <c r="Q41" i="7"/>
  <c r="N41" i="7"/>
  <c r="R40" i="7"/>
  <c r="Q40" i="7"/>
  <c r="N40" i="7"/>
  <c r="R39" i="7"/>
  <c r="Q39" i="7"/>
  <c r="N39" i="7"/>
  <c r="Q38" i="7"/>
  <c r="R38" i="7"/>
  <c r="N38" i="7"/>
  <c r="R37" i="7"/>
  <c r="Q37" i="7"/>
  <c r="N37" i="7"/>
  <c r="N36" i="7"/>
  <c r="Q36" i="7"/>
  <c r="R36" i="7"/>
  <c r="N35" i="7"/>
  <c r="Q35" i="7"/>
  <c r="R35" i="7"/>
  <c r="N34" i="7"/>
  <c r="Q34" i="7"/>
  <c r="R34" i="7"/>
  <c r="R33" i="7"/>
  <c r="Q33" i="7"/>
  <c r="N33" i="7"/>
  <c r="R32" i="7"/>
  <c r="Q32" i="7"/>
  <c r="N32" i="7"/>
  <c r="R31" i="7"/>
  <c r="Q31" i="7"/>
  <c r="N31" i="7"/>
  <c r="R30" i="7"/>
  <c r="Q30" i="7"/>
  <c r="N30" i="7"/>
  <c r="R29" i="7"/>
  <c r="Q29" i="7"/>
  <c r="N29" i="7"/>
  <c r="N28" i="7"/>
  <c r="R28" i="7"/>
  <c r="Q28" i="7"/>
  <c r="R27" i="7"/>
  <c r="Q27" i="7"/>
  <c r="N27" i="7"/>
  <c r="N26" i="7"/>
  <c r="R26" i="7"/>
  <c r="Q26" i="7"/>
  <c r="R25" i="7"/>
  <c r="Q25" i="7"/>
  <c r="N25" i="7"/>
  <c r="R24" i="7"/>
  <c r="Q24" i="7"/>
  <c r="N24" i="7"/>
  <c r="N23" i="7"/>
  <c r="R23" i="7"/>
  <c r="Q23" i="7"/>
  <c r="R22" i="7"/>
  <c r="Q22" i="7"/>
  <c r="N22" i="7"/>
  <c r="R21" i="7"/>
  <c r="Q21" i="7"/>
  <c r="N21" i="7"/>
  <c r="R20" i="7"/>
  <c r="Q20" i="7"/>
  <c r="N20" i="7"/>
  <c r="R19" i="7"/>
  <c r="Q19" i="7"/>
  <c r="N19" i="7"/>
  <c r="R18" i="7"/>
  <c r="Q18" i="7"/>
  <c r="N18" i="7"/>
  <c r="R17" i="7"/>
  <c r="Q17" i="7"/>
  <c r="N17" i="7"/>
  <c r="R16" i="7"/>
  <c r="Q16" i="7"/>
  <c r="N16" i="7"/>
  <c r="R15" i="7"/>
  <c r="Q15" i="7"/>
  <c r="N15" i="7"/>
  <c r="R14" i="7"/>
  <c r="Q14" i="7"/>
  <c r="N14" i="7"/>
  <c r="R13" i="7"/>
  <c r="Q13" i="7"/>
  <c r="N13" i="7"/>
  <c r="R12" i="7"/>
  <c r="Q12" i="7"/>
  <c r="N12" i="7"/>
  <c r="N11" i="7"/>
  <c r="Q11" i="7"/>
  <c r="R11" i="7"/>
  <c r="R10" i="7"/>
  <c r="N10" i="7"/>
  <c r="Q10" i="7"/>
  <c r="N9" i="7"/>
  <c r="Q9" i="7"/>
  <c r="R9" i="7"/>
  <c r="N8" i="7"/>
  <c r="Q8" i="7"/>
  <c r="R8" i="7"/>
  <c r="N7" i="7"/>
  <c r="Q7" i="7"/>
  <c r="R7" i="7"/>
  <c r="N6" i="7"/>
  <c r="Q6" i="7"/>
  <c r="R6" i="7"/>
  <c r="N5" i="7"/>
  <c r="Q5" i="7"/>
  <c r="R5" i="7"/>
  <c r="N4" i="7"/>
  <c r="Q4" i="7"/>
  <c r="R4" i="7"/>
  <c r="R3" i="7"/>
  <c r="Q3" i="7"/>
  <c r="N3" i="7"/>
  <c r="N2" i="7"/>
  <c r="R2" i="7"/>
  <c r="Q2" i="7"/>
  <c r="Q109" i="7"/>
  <c r="N109" i="7"/>
  <c r="N187" i="7"/>
  <c r="Q187" i="7"/>
  <c r="Q188" i="7"/>
  <c r="N188" i="7"/>
  <c r="Q189" i="7"/>
  <c r="N189" i="7"/>
  <c r="Q191" i="7"/>
  <c r="N191" i="7"/>
  <c r="Q192" i="7"/>
  <c r="N192" i="7"/>
  <c r="Q193" i="7"/>
  <c r="N193" i="7"/>
  <c r="Q194" i="7"/>
  <c r="N194" i="7"/>
  <c r="Q195" i="7"/>
  <c r="N195" i="7"/>
  <c r="Q198" i="7"/>
  <c r="N198" i="7"/>
  <c r="A145" i="3"/>
  <c r="A144" i="3"/>
  <c r="A143" i="3"/>
  <c r="A142" i="3"/>
  <c r="A141" i="3"/>
  <c r="A140" i="3"/>
  <c r="A139" i="3"/>
  <c r="A138" i="3"/>
  <c r="A137" i="3"/>
  <c r="A136" i="3"/>
  <c r="A135" i="3"/>
  <c r="A134" i="3"/>
  <c r="A133" i="3"/>
  <c r="A132" i="3"/>
  <c r="A130" i="3"/>
  <c r="A131" i="3"/>
  <c r="A129" i="3"/>
  <c r="A128" i="3"/>
  <c r="A127" i="3"/>
  <c r="A126" i="3"/>
  <c r="A125" i="3"/>
  <c r="A124" i="3"/>
  <c r="A123" i="3"/>
  <c r="A122" i="3"/>
  <c r="A121" i="3"/>
  <c r="A120" i="3"/>
  <c r="A119" i="3"/>
  <c r="A118" i="3"/>
  <c r="A117" i="3"/>
  <c r="F32" i="1"/>
  <c r="E32" i="1"/>
  <c r="A1" i="5" a="1"/>
  <c r="A32" i="1"/>
  <c r="E1" i="4" a="1"/>
  <c r="Y2" i="3" l="1" a="1"/>
  <c r="A6" i="1" a="1"/>
  <c r="C6" i="1" a="1"/>
  <c r="B6" i="1" a="1"/>
  <c r="G3" i="1"/>
  <c r="A20" i="4" l="1"/>
  <c r="A12" i="4" l="1"/>
  <c r="A13" i="4" s="1"/>
  <c r="A14" i="4" s="1"/>
  <c r="A15" i="4" s="1"/>
  <c r="A16" i="4" s="1"/>
  <c r="A17" i="4" s="1"/>
  <c r="A18" i="4" s="1"/>
  <c r="A19" i="4" s="1"/>
  <c r="H21" i="4" s="1"/>
  <c r="D27" i="1" s="1"/>
  <c r="D21" i="4" l="1"/>
  <c r="A5" i="4" s="1"/>
  <c r="N10" i="3"/>
  <c r="R10" i="3"/>
  <c r="Q10" i="3"/>
  <c r="N18" i="3"/>
  <c r="R18" i="3"/>
  <c r="Q18" i="3"/>
  <c r="Q34" i="3"/>
  <c r="R34" i="3"/>
  <c r="N34" i="3"/>
  <c r="Q58" i="3"/>
  <c r="N58" i="3"/>
  <c r="R58" i="3"/>
  <c r="R74" i="3"/>
  <c r="Q74" i="3"/>
  <c r="N74" i="3"/>
  <c r="R82" i="3"/>
  <c r="Q82" i="3"/>
  <c r="N82" i="3"/>
  <c r="Q90" i="3"/>
  <c r="N90" i="3"/>
  <c r="R90" i="3"/>
  <c r="Q98" i="3"/>
  <c r="R98" i="3"/>
  <c r="N98" i="3"/>
  <c r="R106" i="3"/>
  <c r="N106" i="3"/>
  <c r="Q106" i="3"/>
  <c r="N114" i="3"/>
  <c r="R114" i="3"/>
  <c r="Q114" i="3"/>
  <c r="R122" i="3"/>
  <c r="Q122" i="3"/>
  <c r="N122" i="3"/>
  <c r="R130" i="3"/>
  <c r="Q130" i="3"/>
  <c r="N130" i="3"/>
  <c r="N146" i="3"/>
  <c r="Q146" i="3"/>
  <c r="R146" i="3"/>
  <c r="Q178" i="3"/>
  <c r="N178" i="3"/>
  <c r="R178" i="3"/>
  <c r="N35" i="3"/>
  <c r="Q35" i="3"/>
  <c r="R35" i="3"/>
  <c r="N59" i="3"/>
  <c r="Q59" i="3"/>
  <c r="R59" i="3"/>
  <c r="N83" i="3"/>
  <c r="Q83" i="3"/>
  <c r="R83" i="3"/>
  <c r="Q91" i="3"/>
  <c r="N91" i="3"/>
  <c r="R91" i="3"/>
  <c r="Q99" i="3"/>
  <c r="R99" i="3"/>
  <c r="N99" i="3"/>
  <c r="Q107" i="3"/>
  <c r="N107" i="3"/>
  <c r="R107" i="3"/>
  <c r="Q115" i="3"/>
  <c r="R115" i="3"/>
  <c r="N115" i="3"/>
  <c r="N123" i="3"/>
  <c r="Q123" i="3"/>
  <c r="R123" i="3"/>
  <c r="R131" i="3"/>
  <c r="Q131" i="3"/>
  <c r="N131" i="3"/>
  <c r="Q139" i="3"/>
  <c r="R139" i="3"/>
  <c r="N139" i="3"/>
  <c r="R147" i="3"/>
  <c r="Q147" i="3"/>
  <c r="N147" i="3"/>
  <c r="R155" i="3"/>
  <c r="Q155" i="3"/>
  <c r="N155" i="3"/>
  <c r="R163" i="3"/>
  <c r="Q163" i="3"/>
  <c r="N163" i="3"/>
  <c r="R171" i="3"/>
  <c r="Q171" i="3"/>
  <c r="N171" i="3"/>
  <c r="R179" i="3"/>
  <c r="Q179" i="3"/>
  <c r="N179" i="3"/>
  <c r="Q187" i="3"/>
  <c r="R187" i="3"/>
  <c r="N187" i="3"/>
  <c r="R195" i="3"/>
  <c r="Q195" i="3"/>
  <c r="N195" i="3"/>
  <c r="N66" i="3"/>
  <c r="Q66" i="3"/>
  <c r="R66" i="3"/>
  <c r="R170" i="3"/>
  <c r="N170" i="3"/>
  <c r="Q170" i="3"/>
  <c r="Q44" i="3"/>
  <c r="R44" i="3"/>
  <c r="N44" i="3"/>
  <c r="R92" i="3"/>
  <c r="N92" i="3"/>
  <c r="Q92" i="3"/>
  <c r="N124" i="3"/>
  <c r="R124" i="3"/>
  <c r="Q124" i="3"/>
  <c r="Q148" i="3"/>
  <c r="N148" i="3"/>
  <c r="R148" i="3"/>
  <c r="R156" i="3"/>
  <c r="Q156" i="3"/>
  <c r="N156" i="3"/>
  <c r="N164" i="3"/>
  <c r="Q164" i="3"/>
  <c r="R164" i="3"/>
  <c r="N172" i="3"/>
  <c r="R172" i="3"/>
  <c r="Q172" i="3"/>
  <c r="N180" i="3"/>
  <c r="R180" i="3"/>
  <c r="Q180" i="3"/>
  <c r="R188" i="3"/>
  <c r="N188" i="3"/>
  <c r="Q188" i="3"/>
  <c r="Q196" i="3"/>
  <c r="N196" i="3"/>
  <c r="R196" i="3"/>
  <c r="R26" i="3"/>
  <c r="Q26" i="3"/>
  <c r="N26" i="3"/>
  <c r="R154" i="3"/>
  <c r="Q154" i="3"/>
  <c r="N154" i="3"/>
  <c r="Q11" i="3"/>
  <c r="R11" i="3"/>
  <c r="N11" i="3"/>
  <c r="Q51" i="3"/>
  <c r="R51" i="3"/>
  <c r="N51" i="3"/>
  <c r="Q75" i="3"/>
  <c r="N75" i="3"/>
  <c r="R75" i="3"/>
  <c r="N20" i="3"/>
  <c r="Q20" i="3"/>
  <c r="R20" i="3"/>
  <c r="N52" i="3"/>
  <c r="R52" i="3"/>
  <c r="Q52" i="3"/>
  <c r="R60" i="3"/>
  <c r="Q60" i="3"/>
  <c r="N60" i="3"/>
  <c r="Q68" i="3"/>
  <c r="N68" i="3"/>
  <c r="R68" i="3"/>
  <c r="R76" i="3"/>
  <c r="Q76" i="3"/>
  <c r="N76" i="3"/>
  <c r="R100" i="3"/>
  <c r="Q100" i="3"/>
  <c r="N100" i="3"/>
  <c r="N21" i="3"/>
  <c r="Q21" i="3"/>
  <c r="R21" i="3"/>
  <c r="N45" i="3"/>
  <c r="R45" i="3"/>
  <c r="Q45" i="3"/>
  <c r="R53" i="3"/>
  <c r="Q53" i="3"/>
  <c r="N53" i="3"/>
  <c r="N61" i="3"/>
  <c r="Q61" i="3"/>
  <c r="R61" i="3"/>
  <c r="Q69" i="3"/>
  <c r="N69" i="3"/>
  <c r="R69" i="3"/>
  <c r="N77" i="3"/>
  <c r="R77" i="3"/>
  <c r="Q77" i="3"/>
  <c r="Q85" i="3"/>
  <c r="R85" i="3"/>
  <c r="N85" i="3"/>
  <c r="R93" i="3"/>
  <c r="Q93" i="3"/>
  <c r="N93" i="3"/>
  <c r="N101" i="3"/>
  <c r="R101" i="3"/>
  <c r="Q101" i="3"/>
  <c r="R109" i="3"/>
  <c r="N109" i="3"/>
  <c r="Q109" i="3"/>
  <c r="N117" i="3"/>
  <c r="R117" i="3"/>
  <c r="Q117" i="3"/>
  <c r="R125" i="3"/>
  <c r="Q125" i="3"/>
  <c r="N125" i="3"/>
  <c r="R133" i="3"/>
  <c r="N133" i="3"/>
  <c r="Q133" i="3"/>
  <c r="Q141" i="3"/>
  <c r="N141" i="3"/>
  <c r="R141" i="3"/>
  <c r="R149" i="3"/>
  <c r="N149" i="3"/>
  <c r="Q149" i="3"/>
  <c r="R157" i="3"/>
  <c r="Q157" i="3"/>
  <c r="N157" i="3"/>
  <c r="Q165" i="3"/>
  <c r="N165" i="3"/>
  <c r="R165" i="3"/>
  <c r="Q173" i="3"/>
  <c r="N173" i="3"/>
  <c r="R173" i="3"/>
  <c r="N181" i="3"/>
  <c r="R181" i="3"/>
  <c r="Q181" i="3"/>
  <c r="Q189" i="3"/>
  <c r="N189" i="3"/>
  <c r="R189" i="3"/>
  <c r="Q197" i="3"/>
  <c r="R197" i="3"/>
  <c r="N197" i="3"/>
  <c r="N138" i="3"/>
  <c r="R138" i="3"/>
  <c r="Q138" i="3"/>
  <c r="Q3" i="3"/>
  <c r="N3" i="3"/>
  <c r="R3" i="3"/>
  <c r="Q27" i="3"/>
  <c r="N27" i="3"/>
  <c r="R27" i="3"/>
  <c r="N12" i="3"/>
  <c r="Q12" i="3"/>
  <c r="R12" i="3"/>
  <c r="R108" i="3"/>
  <c r="N108" i="3"/>
  <c r="Q108" i="3"/>
  <c r="Q13" i="3"/>
  <c r="R13" i="3"/>
  <c r="N13" i="3"/>
  <c r="R29" i="3"/>
  <c r="Q29" i="3"/>
  <c r="N29" i="3"/>
  <c r="Q37" i="3"/>
  <c r="R37" i="3"/>
  <c r="N37" i="3"/>
  <c r="N6" i="3"/>
  <c r="R6" i="3"/>
  <c r="Q6" i="3"/>
  <c r="Q14" i="3"/>
  <c r="R14" i="3"/>
  <c r="N14" i="3"/>
  <c r="N22" i="3"/>
  <c r="Q22" i="3"/>
  <c r="R22" i="3"/>
  <c r="R30" i="3"/>
  <c r="Q30" i="3"/>
  <c r="N30" i="3"/>
  <c r="N38" i="3"/>
  <c r="Q38" i="3"/>
  <c r="R38" i="3"/>
  <c r="R46" i="3"/>
  <c r="Q46" i="3"/>
  <c r="N46" i="3"/>
  <c r="Q54" i="3"/>
  <c r="N54" i="3"/>
  <c r="R54" i="3"/>
  <c r="Q62" i="3"/>
  <c r="N62" i="3"/>
  <c r="R62" i="3"/>
  <c r="R70" i="3"/>
  <c r="Q70" i="3"/>
  <c r="N70" i="3"/>
  <c r="R78" i="3"/>
  <c r="Q78" i="3"/>
  <c r="N78" i="3"/>
  <c r="N86" i="3"/>
  <c r="R86" i="3"/>
  <c r="Q86" i="3"/>
  <c r="N94" i="3"/>
  <c r="R94" i="3"/>
  <c r="Q94" i="3"/>
  <c r="R102" i="3"/>
  <c r="Q102" i="3"/>
  <c r="N102" i="3"/>
  <c r="Q110" i="3"/>
  <c r="N110" i="3"/>
  <c r="R110" i="3"/>
  <c r="N118" i="3"/>
  <c r="Q118" i="3"/>
  <c r="R118" i="3"/>
  <c r="N126" i="3"/>
  <c r="R126" i="3"/>
  <c r="Q126" i="3"/>
  <c r="N134" i="3"/>
  <c r="Q134" i="3"/>
  <c r="R134" i="3"/>
  <c r="N142" i="3"/>
  <c r="R142" i="3"/>
  <c r="Q142" i="3"/>
  <c r="R150" i="3"/>
  <c r="N150" i="3"/>
  <c r="Q150" i="3"/>
  <c r="N158" i="3"/>
  <c r="R158" i="3"/>
  <c r="Q158" i="3"/>
  <c r="R166" i="3"/>
  <c r="Q166" i="3"/>
  <c r="N166" i="3"/>
  <c r="N174" i="3"/>
  <c r="R174" i="3"/>
  <c r="Q174" i="3"/>
  <c r="R182" i="3"/>
  <c r="Q182" i="3"/>
  <c r="N182" i="3"/>
  <c r="Q190" i="3"/>
  <c r="R190" i="3"/>
  <c r="N190" i="3"/>
  <c r="Q186" i="3"/>
  <c r="N186" i="3"/>
  <c r="R186" i="3"/>
  <c r="N43" i="3"/>
  <c r="R43" i="3"/>
  <c r="Q43" i="3"/>
  <c r="N28" i="3"/>
  <c r="R28" i="3"/>
  <c r="Q28" i="3"/>
  <c r="Q116" i="3"/>
  <c r="R116" i="3"/>
  <c r="N116" i="3"/>
  <c r="N15" i="3"/>
  <c r="Q15" i="3"/>
  <c r="R15" i="3"/>
  <c r="Q47" i="3"/>
  <c r="N47" i="3"/>
  <c r="R47" i="3"/>
  <c r="Q71" i="3"/>
  <c r="N71" i="3"/>
  <c r="R71" i="3"/>
  <c r="N87" i="3"/>
  <c r="R87" i="3"/>
  <c r="Q87" i="3"/>
  <c r="R95" i="3"/>
  <c r="Q95" i="3"/>
  <c r="N95" i="3"/>
  <c r="R103" i="3"/>
  <c r="N103" i="3"/>
  <c r="Q103" i="3"/>
  <c r="R119" i="3"/>
  <c r="N119" i="3"/>
  <c r="Q119" i="3"/>
  <c r="Q127" i="3"/>
  <c r="R127" i="3"/>
  <c r="N127" i="3"/>
  <c r="Q135" i="3"/>
  <c r="N135" i="3"/>
  <c r="R135" i="3"/>
  <c r="Q143" i="3"/>
  <c r="R143" i="3"/>
  <c r="N143" i="3"/>
  <c r="R151" i="3"/>
  <c r="Q151" i="3"/>
  <c r="N151" i="3"/>
  <c r="R159" i="3"/>
  <c r="N159" i="3"/>
  <c r="Q159" i="3"/>
  <c r="R167" i="3"/>
  <c r="Q167" i="3"/>
  <c r="N167" i="3"/>
  <c r="N175" i="3"/>
  <c r="R175" i="3"/>
  <c r="Q175" i="3"/>
  <c r="N191" i="3"/>
  <c r="Q191" i="3"/>
  <c r="R191" i="3"/>
  <c r="Q50" i="3"/>
  <c r="R50" i="3"/>
  <c r="N50" i="3"/>
  <c r="R162" i="3"/>
  <c r="Q162" i="3"/>
  <c r="N162" i="3"/>
  <c r="N132" i="3"/>
  <c r="Q132" i="3"/>
  <c r="R132" i="3"/>
  <c r="N5" i="3"/>
  <c r="Q5" i="3"/>
  <c r="R5" i="3"/>
  <c r="R23" i="3"/>
  <c r="Q23" i="3"/>
  <c r="N23" i="3"/>
  <c r="R39" i="3"/>
  <c r="N39" i="3"/>
  <c r="Q39" i="3"/>
  <c r="N63" i="3"/>
  <c r="Q63" i="3"/>
  <c r="R63" i="3"/>
  <c r="N56" i="3"/>
  <c r="R56" i="3"/>
  <c r="Q56" i="3"/>
  <c r="R104" i="3"/>
  <c r="N104" i="3"/>
  <c r="Q104" i="3"/>
  <c r="Q120" i="3"/>
  <c r="R120" i="3"/>
  <c r="N120" i="3"/>
  <c r="R136" i="3"/>
  <c r="Q136" i="3"/>
  <c r="N136" i="3"/>
  <c r="Q144" i="3"/>
  <c r="R144" i="3"/>
  <c r="N144" i="3"/>
  <c r="N152" i="3"/>
  <c r="Q152" i="3"/>
  <c r="R152" i="3"/>
  <c r="R160" i="3"/>
  <c r="N160" i="3"/>
  <c r="Q160" i="3"/>
  <c r="Q168" i="3"/>
  <c r="R168" i="3"/>
  <c r="N168" i="3"/>
  <c r="R176" i="3"/>
  <c r="Q176" i="3"/>
  <c r="N176" i="3"/>
  <c r="R184" i="3"/>
  <c r="N184" i="3"/>
  <c r="Q184" i="3"/>
  <c r="R192" i="3"/>
  <c r="N192" i="3"/>
  <c r="Q192" i="3"/>
  <c r="N42" i="3"/>
  <c r="R42" i="3"/>
  <c r="Q42" i="3"/>
  <c r="Q194" i="3"/>
  <c r="R194" i="3"/>
  <c r="N194" i="3"/>
  <c r="N19" i="3"/>
  <c r="R19" i="3"/>
  <c r="Q19" i="3"/>
  <c r="N67" i="3"/>
  <c r="Q67" i="3"/>
  <c r="R67" i="3"/>
  <c r="R4" i="3"/>
  <c r="N4" i="3"/>
  <c r="Q4" i="3"/>
  <c r="Q36" i="3"/>
  <c r="N36" i="3"/>
  <c r="R36" i="3"/>
  <c r="N84" i="3"/>
  <c r="R84" i="3"/>
  <c r="Q84" i="3"/>
  <c r="Q140" i="3"/>
  <c r="R140" i="3"/>
  <c r="N140" i="3"/>
  <c r="R7" i="3"/>
  <c r="Q7" i="3"/>
  <c r="N7" i="3"/>
  <c r="R31" i="3"/>
  <c r="Q31" i="3"/>
  <c r="N31" i="3"/>
  <c r="Q55" i="3"/>
  <c r="R55" i="3"/>
  <c r="N55" i="3"/>
  <c r="Q79" i="3"/>
  <c r="N79" i="3"/>
  <c r="R79" i="3"/>
  <c r="Q111" i="3"/>
  <c r="R111" i="3"/>
  <c r="N111" i="3"/>
  <c r="E6" i="1" a="1"/>
  <c r="Q183" i="3"/>
  <c r="R183" i="3"/>
  <c r="N183" i="3"/>
  <c r="Q8" i="3"/>
  <c r="N8" i="3"/>
  <c r="R8" i="3"/>
  <c r="N16" i="3"/>
  <c r="Q16" i="3"/>
  <c r="R16" i="3"/>
  <c r="N24" i="3"/>
  <c r="R24" i="3"/>
  <c r="Q24" i="3"/>
  <c r="N32" i="3"/>
  <c r="R32" i="3"/>
  <c r="Q32" i="3"/>
  <c r="Q40" i="3"/>
  <c r="R40" i="3"/>
  <c r="N40" i="3"/>
  <c r="N48" i="3"/>
  <c r="R48" i="3"/>
  <c r="Q48" i="3"/>
  <c r="Q64" i="3"/>
  <c r="N64" i="3"/>
  <c r="R64" i="3"/>
  <c r="N72" i="3"/>
  <c r="R72" i="3"/>
  <c r="Q72" i="3"/>
  <c r="N80" i="3"/>
  <c r="R80" i="3"/>
  <c r="Q80" i="3"/>
  <c r="R88" i="3"/>
  <c r="Q88" i="3"/>
  <c r="N88" i="3"/>
  <c r="Q96" i="3"/>
  <c r="N96" i="3"/>
  <c r="R96" i="3"/>
  <c r="R112" i="3"/>
  <c r="Q112" i="3"/>
  <c r="N112" i="3"/>
  <c r="R128" i="3"/>
  <c r="Q128" i="3"/>
  <c r="N128" i="3"/>
  <c r="Q2" i="3"/>
  <c r="K5" i="4" a="1"/>
  <c r="F6" i="1" a="1"/>
  <c r="N2" i="3"/>
  <c r="R2" i="3"/>
  <c r="R9" i="3"/>
  <c r="Q9" i="3"/>
  <c r="N9" i="3"/>
  <c r="R17" i="3"/>
  <c r="Q17" i="3"/>
  <c r="N17" i="3"/>
  <c r="R25" i="3"/>
  <c r="N25" i="3"/>
  <c r="Q25" i="3"/>
  <c r="R33" i="3"/>
  <c r="N33" i="3"/>
  <c r="Q33" i="3"/>
  <c r="N41" i="3"/>
  <c r="R41" i="3"/>
  <c r="Q41" i="3"/>
  <c r="R49" i="3"/>
  <c r="Q49" i="3"/>
  <c r="N49" i="3"/>
  <c r="R57" i="3"/>
  <c r="Q57" i="3"/>
  <c r="N57" i="3"/>
  <c r="N65" i="3"/>
  <c r="Q65" i="3"/>
  <c r="R65" i="3"/>
  <c r="R73" i="3"/>
  <c r="Q73" i="3"/>
  <c r="N73" i="3"/>
  <c r="R81" i="3"/>
  <c r="Q81" i="3"/>
  <c r="N81" i="3"/>
  <c r="N89" i="3"/>
  <c r="Q89" i="3"/>
  <c r="R89" i="3"/>
  <c r="Q97" i="3"/>
  <c r="N97" i="3"/>
  <c r="R97" i="3"/>
  <c r="Q105" i="3"/>
  <c r="R105" i="3"/>
  <c r="N105" i="3"/>
  <c r="N113" i="3"/>
  <c r="R113" i="3"/>
  <c r="Q113" i="3"/>
  <c r="R121" i="3"/>
  <c r="Q121" i="3"/>
  <c r="N121" i="3"/>
  <c r="R129" i="3"/>
  <c r="N129" i="3"/>
  <c r="Q129" i="3"/>
  <c r="N137" i="3"/>
  <c r="Q137" i="3"/>
  <c r="R137" i="3"/>
  <c r="Q145" i="3"/>
  <c r="R145" i="3"/>
  <c r="N145" i="3"/>
  <c r="N153" i="3"/>
  <c r="R153" i="3"/>
  <c r="Q153" i="3"/>
  <c r="Q161" i="3"/>
  <c r="N161" i="3"/>
  <c r="R161" i="3"/>
  <c r="R169" i="3"/>
  <c r="Q169" i="3"/>
  <c r="N169" i="3"/>
  <c r="Q177" i="3"/>
  <c r="R177" i="3"/>
  <c r="N177" i="3"/>
  <c r="R185" i="3"/>
  <c r="Q185" i="3"/>
  <c r="N185" i="3"/>
  <c r="N193" i="3"/>
  <c r="Q193" i="3"/>
  <c r="R193" i="3"/>
  <c r="A6" i="4" l="1"/>
  <c r="A7" i="4" s="1"/>
  <c r="A8" i="4"/>
  <c r="A9" i="4"/>
  <c r="A10" i="4"/>
  <c r="A11" i="4"/>
  <c r="F27" i="1"/>
  <c r="G6" i="1" a="1"/>
  <c r="G27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9AE0103-AE4C-4711-8D3F-76D373DFB5F1}" keepAlive="1" name="Consulta - _Shipments" description="Conexão com a consulta '_Shipments' na pasta de trabalho." type="5" refreshedVersion="8" saveData="1">
    <dbPr connection="Provider=Microsoft.Mashup.OleDb.1;Data Source=$Workbook$;Location=_Shipments;Extended Properties=&quot;&quot;" command="SELECT * FROM [_Shipments]"/>
  </connection>
  <connection id="2" xr16:uid="{F782E979-42D8-44B2-80BA-5B016592F11C}" keepAlive="1" name="Consulta - Arquivo de Amostra" description="Conexão com a consulta 'Arquivo de Amostra' na pasta de trabalho." type="5" refreshedVersion="0" background="1">
    <dbPr connection="Provider=Microsoft.Mashup.OleDb.1;Data Source=$Workbook$;Location=&quot;Arquivo de Amostra&quot;;Extended Properties=&quot;&quot;" command="SELECT * FROM [Arquivo de Amostra]"/>
  </connection>
  <connection id="3" xr16:uid="{495931E4-2977-4806-B956-778795C631AC}" keepAlive="1" name="Consulta - Parâmetro1" description="Conexão com a consulta 'Parâmetro1' na pasta de trabalho." type="5" refreshedVersion="0" background="1">
    <dbPr connection="Provider=Microsoft.Mashup.OleDb.1;Data Source=$Workbook$;Location=Parâmetro1;Extended Properties=&quot;&quot;" command="SELECT * FROM [Parâmetro1]"/>
  </connection>
  <connection id="4" xr16:uid="{ABAE4298-8E1E-4F11-80D1-F41A99626863}" keepAlive="1" name="Consulta - Transformar Arquivo" description="Conexão com a consulta 'Transformar Arquivo' na pasta de trabalho." type="5" refreshedVersion="0" background="1">
    <dbPr connection="Provider=Microsoft.Mashup.OleDb.1;Data Source=$Workbook$;Location=&quot;Transformar Arquivo&quot;;Extended Properties=&quot;&quot;" command="SELECT * FROM [Transformar Arquivo]"/>
  </connection>
  <connection id="5" xr16:uid="{2453AE97-E774-4B33-BB8A-0E2B61B102EB}" keepAlive="1" name="Consulta - Transformar o Arquivo de Exemplo" description="Conexão com a consulta 'Transformar o Arquivo de Exemplo' na pasta de trabalho." type="5" refreshedVersion="0" background="1">
    <dbPr connection="Provider=Microsoft.Mashup.OleDb.1;Data Source=$Workbook$;Location=&quot;Transformar o Arquivo de Exemplo&quot;;Extended Properties=&quot;&quot;" command="SELECT * FROM [Transformar o Arquivo de Exemplo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<sst xmlns="http://schemas.openxmlformats.org/spreadsheetml/2006/main" count="4257" uniqueCount="376">
  <si>
    <t>CONFIRMAÇÃO DE EMBARQUE</t>
  </si>
  <si>
    <t>Motorista</t>
  </si>
  <si>
    <t>Placa Cavalo</t>
  </si>
  <si>
    <t>Placa Carreta</t>
  </si>
  <si>
    <t>CORTEVA</t>
  </si>
  <si>
    <t>Cliente:</t>
  </si>
  <si>
    <t>Item</t>
  </si>
  <si>
    <t>Lote</t>
  </si>
  <si>
    <t>DADOS DO MOTORISTA E VEÍCULO</t>
  </si>
  <si>
    <t>Telefone</t>
  </si>
  <si>
    <t>Transportadora</t>
  </si>
  <si>
    <t>QUANTIDADE TOTAL</t>
  </si>
  <si>
    <t>Material</t>
  </si>
  <si>
    <t>P3845VYHR-B844</t>
  </si>
  <si>
    <t>03P7518215</t>
  </si>
  <si>
    <t>03P7518123</t>
  </si>
  <si>
    <t>P3845VYHR-B841</t>
  </si>
  <si>
    <t>Delivery</t>
  </si>
  <si>
    <t xml:space="preserve">      Qtd.</t>
  </si>
  <si>
    <t>Descr. Cliente</t>
  </si>
  <si>
    <t>Cidade</t>
  </si>
  <si>
    <t>Estado</t>
  </si>
  <si>
    <t>Qtde. Sel.</t>
  </si>
  <si>
    <t>CLN</t>
  </si>
  <si>
    <t>Peneira</t>
  </si>
  <si>
    <t>P3845VYHR-B822</t>
  </si>
  <si>
    <t>APARECIDA DE GOIÂNIA</t>
  </si>
  <si>
    <t>GO</t>
  </si>
  <si>
    <t>03P7520918</t>
  </si>
  <si>
    <t>C3</t>
  </si>
  <si>
    <t>P3845VYHR-B825</t>
  </si>
  <si>
    <t>03P7520947</t>
  </si>
  <si>
    <t>R3</t>
  </si>
  <si>
    <t>P3845VYHR-B824</t>
  </si>
  <si>
    <t>03P7520951</t>
  </si>
  <si>
    <t>R2</t>
  </si>
  <si>
    <t>P3845VYHR-B821</t>
  </si>
  <si>
    <t>03P7520927</t>
  </si>
  <si>
    <t>C2</t>
  </si>
  <si>
    <t>03P7520929</t>
  </si>
  <si>
    <t>03P7520886</t>
  </si>
  <si>
    <t>C3C</t>
  </si>
  <si>
    <t>03P7520891</t>
  </si>
  <si>
    <t>R3C</t>
  </si>
  <si>
    <t>03P7520933</t>
  </si>
  <si>
    <t>03P7520936</t>
  </si>
  <si>
    <t>C1</t>
  </si>
  <si>
    <t>03P7520939</t>
  </si>
  <si>
    <t>03P7520948</t>
  </si>
  <si>
    <t>03P7520924</t>
  </si>
  <si>
    <t>03P7520952</t>
  </si>
  <si>
    <t>03P7550832</t>
  </si>
  <si>
    <t>03P7550840</t>
  </si>
  <si>
    <t>03P7550842</t>
  </si>
  <si>
    <t>03P7520893</t>
  </si>
  <si>
    <t>03P7520919</t>
  </si>
  <si>
    <t>P3845VYHR-B845</t>
  </si>
  <si>
    <t>03P7518187</t>
  </si>
  <si>
    <t>03P7518125</t>
  </si>
  <si>
    <t>P3845VYHR-B843</t>
  </si>
  <si>
    <t>03P7518037</t>
  </si>
  <si>
    <t>R1</t>
  </si>
  <si>
    <t>03P7518192</t>
  </si>
  <si>
    <t>03P7518134</t>
  </si>
  <si>
    <t>UBERLÂNDIA</t>
  </si>
  <si>
    <t>MG</t>
  </si>
  <si>
    <t>03P7518195</t>
  </si>
  <si>
    <t>03P7518198</t>
  </si>
  <si>
    <t>03P7518216</t>
  </si>
  <si>
    <t>03P7518131</t>
  </si>
  <si>
    <t>03P7561731</t>
  </si>
  <si>
    <t>03P7518130</t>
  </si>
  <si>
    <t>03P7518120</t>
  </si>
  <si>
    <t>03P7518117</t>
  </si>
  <si>
    <t>03P7561723</t>
  </si>
  <si>
    <t>03P7518137</t>
  </si>
  <si>
    <t>03P7518186</t>
  </si>
  <si>
    <t>Shipment</t>
  </si>
  <si>
    <t>Descr. Material</t>
  </si>
  <si>
    <t>Status</t>
  </si>
  <si>
    <t>Qtd.</t>
  </si>
  <si>
    <t>DATA:</t>
  </si>
  <si>
    <t>TIPO:</t>
  </si>
  <si>
    <t>SIMPLES</t>
  </si>
  <si>
    <t>UF</t>
  </si>
  <si>
    <t>LOCAL</t>
  </si>
  <si>
    <t>ESPELHO DA CARGA</t>
  </si>
  <si>
    <t>TIPOS CAMINHÃO</t>
  </si>
  <si>
    <t>LOTE</t>
  </si>
  <si>
    <t>QUANTIDADE DE PALETES</t>
  </si>
  <si>
    <t>Sc / Paletete</t>
  </si>
  <si>
    <t>Último PLT</t>
  </si>
  <si>
    <t>Qntd. Posiçoes</t>
  </si>
  <si>
    <t>Sobreposições</t>
  </si>
  <si>
    <t>Remontes</t>
  </si>
  <si>
    <t>TRUCADO</t>
  </si>
  <si>
    <t>20 POSIÇOES</t>
  </si>
  <si>
    <t>33 TON</t>
  </si>
  <si>
    <r>
      <t xml:space="preserve">Tipo produtod: </t>
    </r>
    <r>
      <rPr>
        <sz val="16"/>
        <color theme="1"/>
        <rFont val="Calibri"/>
        <family val="2"/>
      </rPr>
      <t>□</t>
    </r>
    <r>
      <rPr>
        <sz val="11"/>
        <color theme="1"/>
        <rFont val="Calibri"/>
        <family val="2"/>
      </rPr>
      <t xml:space="preserve"> BAG / </t>
    </r>
    <r>
      <rPr>
        <sz val="16"/>
        <color theme="1"/>
        <rFont val="Calibri"/>
        <family val="2"/>
      </rPr>
      <t xml:space="preserve">□ </t>
    </r>
    <r>
      <rPr>
        <sz val="11"/>
        <color theme="1"/>
        <rFont val="Calibri"/>
        <family val="2"/>
      </rPr>
      <t>SACOS</t>
    </r>
    <r>
      <rPr>
        <sz val="11"/>
        <color theme="1"/>
        <rFont val="Calibri"/>
        <family val="2"/>
        <scheme val="minor"/>
      </rPr>
      <t xml:space="preserve"> =</t>
    </r>
  </si>
  <si>
    <t>18 POSIÇÕES</t>
  </si>
  <si>
    <t>27 TON</t>
  </si>
  <si>
    <t>LS</t>
  </si>
  <si>
    <t>20 POSIÇÕES</t>
  </si>
  <si>
    <t>32 TON</t>
  </si>
  <si>
    <t>GRANELEIRO</t>
  </si>
  <si>
    <t>VANDERLEIA</t>
  </si>
  <si>
    <t>22 POSIÇÕES</t>
  </si>
  <si>
    <t>35 TON</t>
  </si>
  <si>
    <t>4 EIXOS</t>
  </si>
  <si>
    <t>38 TON</t>
  </si>
  <si>
    <t>BITREM 7 M</t>
  </si>
  <si>
    <t>37 TON</t>
  </si>
  <si>
    <t>BITREM 7,5 M</t>
  </si>
  <si>
    <t>OBSERVAÇÕES GERAIS:</t>
  </si>
  <si>
    <t>Parâmetros</t>
  </si>
  <si>
    <t>Qtde. sacos/palete</t>
  </si>
  <si>
    <t>Qtde.</t>
  </si>
  <si>
    <t>UM</t>
  </si>
  <si>
    <t>Embalagem</t>
  </si>
  <si>
    <t>Shipment:</t>
  </si>
  <si>
    <t>GZV-6349</t>
  </si>
  <si>
    <t>ONR-6845</t>
  </si>
  <si>
    <t>Peso</t>
  </si>
  <si>
    <t>Peso Total (kg)</t>
  </si>
  <si>
    <t>Qtde. Paletes</t>
  </si>
  <si>
    <t>Data</t>
  </si>
  <si>
    <t>G10 TRANSPORTES S.A</t>
  </si>
  <si>
    <t>Qtd. Paletes</t>
  </si>
  <si>
    <t>RODRIGO DOS REIS VIEIRA</t>
  </si>
  <si>
    <t>HZM-8D37</t>
  </si>
  <si>
    <t>OLF-8C62</t>
  </si>
  <si>
    <t>JULIO CESAR DE OLIVEIRA</t>
  </si>
  <si>
    <t>AZN-6580</t>
  </si>
  <si>
    <t>ORA-1733</t>
  </si>
  <si>
    <t>QDC-5910</t>
  </si>
  <si>
    <t>HJC-1938</t>
  </si>
  <si>
    <t>ERNANI EUSTAQUIO DE SOUSA</t>
  </si>
  <si>
    <t>BCG-7A17</t>
  </si>
  <si>
    <t>LINDOMAR MOREIRA DE LIMA</t>
  </si>
  <si>
    <t>NFF-7194</t>
  </si>
  <si>
    <t>ONC-5436</t>
  </si>
  <si>
    <t>NATANIEL CICERO DA SILVA</t>
  </si>
  <si>
    <t>KFA-6J66</t>
  </si>
  <si>
    <t>GXH-5189</t>
  </si>
  <si>
    <t>FHS-8D82</t>
  </si>
  <si>
    <t>SJG-2J59</t>
  </si>
  <si>
    <t>RMV-3G04</t>
  </si>
  <si>
    <t>DAS-7D88</t>
  </si>
  <si>
    <t>FVY-2949</t>
  </si>
  <si>
    <t>PRE-8445</t>
  </si>
  <si>
    <t>MCR-3964</t>
  </si>
  <si>
    <t>ACZ-8659</t>
  </si>
  <si>
    <t>QPW-2544</t>
  </si>
  <si>
    <t>GXA-1D43</t>
  </si>
  <si>
    <t>PVK-7548</t>
  </si>
  <si>
    <t>SHU-9A35</t>
  </si>
  <si>
    <t>MGE-0221</t>
  </si>
  <si>
    <t>HOA-0455</t>
  </si>
  <si>
    <t>ECIO CRISTINO FERREIRA</t>
  </si>
  <si>
    <t>MARCILIO NUNES GOMES</t>
  </si>
  <si>
    <t>MARCO TULIO DE MELO</t>
  </si>
  <si>
    <t>RENIO JOSE PEREIRA</t>
  </si>
  <si>
    <t>WELTON DA SILVA LEMOS</t>
  </si>
  <si>
    <t>OSVANDO RODRIGUES ALVES</t>
  </si>
  <si>
    <t>RENIVALDO RENATO DE QUEIROZ</t>
  </si>
  <si>
    <t>VANDERLEI MARTINS RIBEIRO</t>
  </si>
  <si>
    <t>RICARDO JOSE DE SOUSA</t>
  </si>
  <si>
    <t>GVJ-6D48</t>
  </si>
  <si>
    <t>EQU-3J39</t>
  </si>
  <si>
    <t>WELLINGTON WESLEY A. FERREIRA</t>
  </si>
  <si>
    <t>ITV-7C75</t>
  </si>
  <si>
    <t>RVS-2C71</t>
  </si>
  <si>
    <t>QOG-5E00</t>
  </si>
  <si>
    <t>RVX-3C10</t>
  </si>
  <si>
    <t>03P7518118</t>
  </si>
  <si>
    <t>03P7518121</t>
  </si>
  <si>
    <t>03P7518128</t>
  </si>
  <si>
    <t>03P7518135</t>
  </si>
  <si>
    <t>03P7518210</t>
  </si>
  <si>
    <t>WANDERSON VINICIUS DE SOUSA MACHADO</t>
  </si>
  <si>
    <t>ANGELO CESAR DE MAGALHÃES</t>
  </si>
  <si>
    <t>HMV-6248</t>
  </si>
  <si>
    <t>SDF-2D75</t>
  </si>
  <si>
    <t>DENILSON LAZARO CORREA</t>
  </si>
  <si>
    <t>NSI-5E04</t>
  </si>
  <si>
    <t>SCU-6D73</t>
  </si>
  <si>
    <t>03P7566370</t>
  </si>
  <si>
    <t>03P7518190</t>
  </si>
  <si>
    <t>03P7518229</t>
  </si>
  <si>
    <t>03P7559911</t>
  </si>
  <si>
    <t>03P7566354</t>
  </si>
  <si>
    <t>03P7566355</t>
  </si>
  <si>
    <t>Qtde. Total de Paletes</t>
  </si>
  <si>
    <t>03P7518212</t>
  </si>
  <si>
    <t>03P7518141</t>
  </si>
  <si>
    <t>03P7518145</t>
  </si>
  <si>
    <t>03P7550845</t>
  </si>
  <si>
    <t>03P7550846</t>
  </si>
  <si>
    <t>03P7520949</t>
  </si>
  <si>
    <t>03P7520956</t>
  </si>
  <si>
    <t>03P7520960</t>
  </si>
  <si>
    <t>03P7550834</t>
  </si>
  <si>
    <t>03P7559896</t>
  </si>
  <si>
    <t>03P7559900</t>
  </si>
  <si>
    <t>03P7559901</t>
  </si>
  <si>
    <t>03P7559902</t>
  </si>
  <si>
    <t>03P7559903</t>
  </si>
  <si>
    <t>03P7559905</t>
  </si>
  <si>
    <t>03P7559908</t>
  </si>
  <si>
    <t>03P7559910</t>
  </si>
  <si>
    <t>03P7566290</t>
  </si>
  <si>
    <t>03P7566291</t>
  </si>
  <si>
    <t>03P7566301</t>
  </si>
  <si>
    <t>03P7566302</t>
  </si>
  <si>
    <t>03P7520935</t>
  </si>
  <si>
    <t>03P7550836</t>
  </si>
  <si>
    <t>03P7520962</t>
  </si>
  <si>
    <t>03P7518218</t>
  </si>
  <si>
    <t>03P7518200</t>
  </si>
  <si>
    <t>Sacos total (Jumbo Convertidos)</t>
  </si>
  <si>
    <t>MSD-4B27</t>
  </si>
  <si>
    <t>MARCIO A. BATISTA PEREIRA</t>
  </si>
  <si>
    <t>TIAGO AUGUSTO SILVA</t>
  </si>
  <si>
    <t>JZU-1281</t>
  </si>
  <si>
    <t>GXH-6F18</t>
  </si>
  <si>
    <t>JOAO BRAZ DE OLIVEIRA</t>
  </si>
  <si>
    <t>03P7518147</t>
  </si>
  <si>
    <t>03P7561715</t>
  </si>
  <si>
    <t>03P7518153</t>
  </si>
  <si>
    <t>03P7518161</t>
  </si>
  <si>
    <t>03P7561729</t>
  </si>
  <si>
    <t>03P7518139</t>
  </si>
  <si>
    <t>03P7518148</t>
  </si>
  <si>
    <t>03P7518156</t>
  </si>
  <si>
    <t>03P7518204</t>
  </si>
  <si>
    <t>03P7566372</t>
  </si>
  <si>
    <t>03P7518221</t>
  </si>
  <si>
    <t>03P7566369</t>
  </si>
  <si>
    <t>03P7566371</t>
  </si>
  <si>
    <t>03P7566373</t>
  </si>
  <si>
    <t>7518148</t>
  </si>
  <si>
    <t>JOSE VALDECIR CORREA</t>
  </si>
  <si>
    <t>BCO-0157</t>
  </si>
  <si>
    <t>RHR-3J00</t>
  </si>
  <si>
    <t>(44) 9 9159-5938</t>
  </si>
  <si>
    <t>MAURO FRANCISCO PEREIRA</t>
  </si>
  <si>
    <t>NZA-0F96</t>
  </si>
  <si>
    <t>SYB-9E72</t>
  </si>
  <si>
    <t>(34) 9 9916-1847</t>
  </si>
  <si>
    <t>DANIEL HENRIQUE DE SOUSA</t>
  </si>
  <si>
    <t>JDP-0H00</t>
  </si>
  <si>
    <t>QNE-8537</t>
  </si>
  <si>
    <t>B2811PWU-B825</t>
  </si>
  <si>
    <t>INTERLOG SOLUCOES LOGISTICAS LTDA</t>
  </si>
  <si>
    <t>UBERLANDIA</t>
  </si>
  <si>
    <t>03P7571346</t>
  </si>
  <si>
    <t>03P7571348</t>
  </si>
  <si>
    <t>03P7571349</t>
  </si>
  <si>
    <t>B2811PWU-B822</t>
  </si>
  <si>
    <t>03P7571419</t>
  </si>
  <si>
    <t>B2811PWU-B823</t>
  </si>
  <si>
    <t>03P7571429</t>
  </si>
  <si>
    <t>C4</t>
  </si>
  <si>
    <t>B2811PWU-B826</t>
  </si>
  <si>
    <t>03P7571516</t>
  </si>
  <si>
    <t>R4C</t>
  </si>
  <si>
    <t>03P7571517</t>
  </si>
  <si>
    <t>03P7571347</t>
  </si>
  <si>
    <t>03P7571350</t>
  </si>
  <si>
    <t>03P7571358</t>
  </si>
  <si>
    <t>R4</t>
  </si>
  <si>
    <t>03P7571362</t>
  </si>
  <si>
    <t>03P7571371</t>
  </si>
  <si>
    <t>03P7571366</t>
  </si>
  <si>
    <t>03P7571413</t>
  </si>
  <si>
    <t>03P7571430</t>
  </si>
  <si>
    <t>03P7571431</t>
  </si>
  <si>
    <t>03P7571369</t>
  </si>
  <si>
    <t>03P7571368</t>
  </si>
  <si>
    <t>03P7571414</t>
  </si>
  <si>
    <t>MAURINO DA SILVA CUSTODIO</t>
  </si>
  <si>
    <t>AWF-9A13</t>
  </si>
  <si>
    <t>SFH-0I25</t>
  </si>
  <si>
    <t>CORTEVA AGRISCIENCE DO BRASIL LTDA.</t>
  </si>
  <si>
    <t>03P7559904</t>
  </si>
  <si>
    <t>03P7566289</t>
  </si>
  <si>
    <t>03P7566293</t>
  </si>
  <si>
    <t>03P7566336</t>
  </si>
  <si>
    <t>03P7566337</t>
  </si>
  <si>
    <t>03P7566341</t>
  </si>
  <si>
    <t>03P7566352</t>
  </si>
  <si>
    <t>03P7566294</t>
  </si>
  <si>
    <t>03P7566295</t>
  </si>
  <si>
    <t>03P7566297</t>
  </si>
  <si>
    <t>03P7566351</t>
  </si>
  <si>
    <t>03P7566353</t>
  </si>
  <si>
    <t>03P7566356</t>
  </si>
  <si>
    <t>03P7573704</t>
  </si>
  <si>
    <t>03P7573707</t>
  </si>
  <si>
    <t>P3845VYHR-B847</t>
  </si>
  <si>
    <t>03P7573703</t>
  </si>
  <si>
    <t>03P7566367</t>
  </si>
  <si>
    <t>03P7571353</t>
  </si>
  <si>
    <t>03P7573800</t>
  </si>
  <si>
    <t>03P7574612</t>
  </si>
  <si>
    <t>03P7571373</t>
  </si>
  <si>
    <t>03P7571376</t>
  </si>
  <si>
    <t>03P7571518</t>
  </si>
  <si>
    <t>03P7571433</t>
  </si>
  <si>
    <t>03P7571375</t>
  </si>
  <si>
    <t>B2811PWU-B821</t>
  </si>
  <si>
    <t>03P7571391</t>
  </si>
  <si>
    <t>03P7571422</t>
  </si>
  <si>
    <t>03P7571423</t>
  </si>
  <si>
    <t>03P7602423</t>
  </si>
  <si>
    <t>03P7571432</t>
  </si>
  <si>
    <t>KLEBER ADILSON LIUTI</t>
  </si>
  <si>
    <t>ATP-2E22</t>
  </si>
  <si>
    <t>UBL-9J85</t>
  </si>
  <si>
    <t>03P7571352</t>
  </si>
  <si>
    <t>03P7571374</t>
  </si>
  <si>
    <t>P3889R-B832</t>
  </si>
  <si>
    <t>03P7600784</t>
  </si>
  <si>
    <t>03P7600780</t>
  </si>
  <si>
    <t>03P7600782</t>
  </si>
  <si>
    <t>P3889R-B826</t>
  </si>
  <si>
    <t>03P7609023</t>
  </si>
  <si>
    <t>P3889R-B835</t>
  </si>
  <si>
    <t>03P7600705</t>
  </si>
  <si>
    <t>P3889R-B836</t>
  </si>
  <si>
    <t>03P7600741</t>
  </si>
  <si>
    <t>P3889R-B831</t>
  </si>
  <si>
    <t>03P7600765</t>
  </si>
  <si>
    <t>03P7600779</t>
  </si>
  <si>
    <t>P3889R-B822</t>
  </si>
  <si>
    <t>03P7609082</t>
  </si>
  <si>
    <t>03P7600823</t>
  </si>
  <si>
    <t>03P7571351</t>
  </si>
  <si>
    <t>JOSE DOS REIS TEODORO</t>
  </si>
  <si>
    <t>PYP-8J98</t>
  </si>
  <si>
    <t>AHO-3975</t>
  </si>
  <si>
    <t>03P7600752</t>
  </si>
  <si>
    <t>03P7600767</t>
  </si>
  <si>
    <t>P3889R-B825</t>
  </si>
  <si>
    <t>03P7609046</t>
  </si>
  <si>
    <t>P3889R-B821</t>
  </si>
  <si>
    <t>03P7609070</t>
  </si>
  <si>
    <t>03P7609089</t>
  </si>
  <si>
    <t>03P7609093</t>
  </si>
  <si>
    <t>03P7609094</t>
  </si>
  <si>
    <t>03P7609117</t>
  </si>
  <si>
    <t>03P7600730</t>
  </si>
  <si>
    <t>03P7600731</t>
  </si>
  <si>
    <t>03P7609073</t>
  </si>
  <si>
    <t>03P7609075</t>
  </si>
  <si>
    <t>P3889R-B827</t>
  </si>
  <si>
    <t>03P7614093</t>
  </si>
  <si>
    <t>03P7614756</t>
  </si>
  <si>
    <t>CF2-02</t>
  </si>
  <si>
    <t>CF2-15</t>
  </si>
  <si>
    <t>MAX RICARDO PANTALEAO</t>
  </si>
  <si>
    <t>CLJ-0296</t>
  </si>
  <si>
    <t>GIN-2F15</t>
  </si>
  <si>
    <t>P3889R-B834</t>
  </si>
  <si>
    <t>03P7600718</t>
  </si>
  <si>
    <t>P3889R-B824</t>
  </si>
  <si>
    <t>03P7609035</t>
  </si>
  <si>
    <t>03P7616583</t>
  </si>
  <si>
    <t>03P7600742</t>
  </si>
  <si>
    <t>03P7600768</t>
  </si>
  <si>
    <t>03P7609071</t>
  </si>
  <si>
    <t>03P7600766</t>
  </si>
  <si>
    <t>03P7616361</t>
  </si>
  <si>
    <t>03P7600785</t>
  </si>
  <si>
    <t>03P7609050</t>
  </si>
  <si>
    <t>03P7609063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</si>
</sst>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Data: &quot;dd/mm/yyyy"/>
    <numFmt numFmtId="165" formatCode="\(00\)\ 0\ 0000\-0000"/>
  </numFmts>
  <fonts count="36" x14ac:knownFonts="1">
    <font>
      <sz val="11"/>
      <color theme="1"/>
      <name val="Calibri"/>
      <family val="2"/>
      <scheme val="minor"/>
    </font>
    <font>
      <b/>
      <sz val="12"/>
      <color rgb="FF1F4E79"/>
      <name val="Calibri"/>
      <family val="2"/>
      <scheme val="minor"/>
    </font>
    <font>
      <sz val="12"/>
      <color rgb="FF333333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595959"/>
      <name val="Calibri"/>
      <family val="2"/>
      <scheme val="minor"/>
    </font>
    <font>
      <b/>
      <sz val="12"/>
      <color rgb="FF333333"/>
      <name val="Calibri"/>
      <family val="2"/>
      <scheme val="minor"/>
    </font>
    <font>
      <b/>
      <sz val="12"/>
      <color theme="1" tint="0.34998626667073579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6"/>
      <color theme="1"/>
      <name val="Calibri"/>
      <family val="2"/>
    </font>
    <font>
      <sz val="12"/>
      <color theme="1" tint="0.34998626667073579"/>
      <name val="Calibri"/>
      <family val="2"/>
      <scheme val="minor"/>
    </font>
    <font>
      <b/>
      <sz val="13"/>
      <color rgb="FF1F4E79"/>
      <name val="Calibri"/>
      <family val="2"/>
      <scheme val="minor"/>
    </font>
    <font>
      <sz val="10"/>
      <name val="Calibri"/>
      <family val="2"/>
      <scheme val="minor"/>
    </font>
    <font>
      <sz val="10"/>
      <color rgb="FFC00000"/>
      <name val="Calibri"/>
      <family val="2"/>
      <scheme val="minor"/>
    </font>
    <font>
      <i/>
      <sz val="12"/>
      <color theme="0" tint="-0.499984740745262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F4F8F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48">
    <border>
      <left/>
      <right/>
      <top/>
      <bottom/>
      <diagonal/>
    </border>
    <border>
      <left/>
      <right/>
      <top style="medium">
        <color rgb="FF2E75B6"/>
      </top>
      <bottom/>
      <diagonal/>
    </border>
    <border>
      <left/>
      <right/>
      <top/>
      <bottom style="medium">
        <color rgb="FF2E75B6"/>
      </bottom>
      <diagonal/>
    </border>
    <border>
      <left/>
      <right/>
      <top/>
      <bottom style="thin">
        <color rgb="FFBDD7EE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rgb="FF2B6CA7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medium">
        <color rgb="FF2B6CA7"/>
      </top>
      <bottom style="thin">
        <color theme="8" tint="0.39997558519241921"/>
      </bottom>
      <diagonal/>
    </border>
    <border>
      <left/>
      <right/>
      <top style="thin">
        <color theme="8" tint="0.39997558519241921"/>
      </top>
      <bottom style="thin">
        <color theme="8" tint="0.3999755851924192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1" fillId="0" borderId="0" applyNumberFormat="0" applyFill="0" applyBorder="0" applyAlignment="0" applyProtection="0"/>
    <xf numFmtId="0" fontId="22" fillId="0" borderId="39" applyNumberFormat="0" applyFill="0" applyAlignment="0" applyProtection="0"/>
    <xf numFmtId="0" fontId="23" fillId="0" borderId="40" applyNumberFormat="0" applyFill="0" applyAlignment="0" applyProtection="0"/>
    <xf numFmtId="0" fontId="24" fillId="0" borderId="41" applyNumberFormat="0" applyFill="0" applyAlignment="0" applyProtection="0"/>
    <xf numFmtId="0" fontId="24" fillId="0" borderId="0" applyNumberFormat="0" applyFill="0" applyBorder="0" applyAlignment="0" applyProtection="0"/>
    <xf numFmtId="0" fontId="25" fillId="10" borderId="0" applyNumberFormat="0" applyBorder="0" applyAlignment="0" applyProtection="0"/>
    <xf numFmtId="0" fontId="26" fillId="11" borderId="0" applyNumberFormat="0" applyBorder="0" applyAlignment="0" applyProtection="0"/>
    <xf numFmtId="0" fontId="27" fillId="12" borderId="0" applyNumberFormat="0" applyBorder="0" applyAlignment="0" applyProtection="0"/>
    <xf numFmtId="0" fontId="28" fillId="13" borderId="42" applyNumberFormat="0" applyAlignment="0" applyProtection="0"/>
    <xf numFmtId="0" fontId="29" fillId="14" borderId="43" applyNumberFormat="0" applyAlignment="0" applyProtection="0"/>
    <xf numFmtId="0" fontId="30" fillId="14" borderId="42" applyNumberFormat="0" applyAlignment="0" applyProtection="0"/>
    <xf numFmtId="0" fontId="31" fillId="0" borderId="44" applyNumberFormat="0" applyFill="0" applyAlignment="0" applyProtection="0"/>
    <xf numFmtId="0" fontId="32" fillId="15" borderId="45" applyNumberFormat="0" applyAlignment="0" applyProtection="0"/>
    <xf numFmtId="0" fontId="33" fillId="0" borderId="0" applyNumberFormat="0" applyFill="0" applyBorder="0" applyAlignment="0" applyProtection="0"/>
    <xf numFmtId="0" fontId="20" fillId="16" borderId="46" applyNumberFormat="0" applyFont="0" applyAlignment="0" applyProtection="0"/>
    <xf numFmtId="0" fontId="34" fillId="0" borderId="0" applyNumberFormat="0" applyFill="0" applyBorder="0" applyAlignment="0" applyProtection="0"/>
    <xf numFmtId="0" fontId="7" fillId="0" borderId="47" applyNumberFormat="0" applyFill="0" applyAlignment="0" applyProtection="0"/>
    <xf numFmtId="0" fontId="35" fillId="17" borderId="0" applyNumberFormat="0" applyBorder="0" applyAlignment="0" applyProtection="0"/>
    <xf numFmtId="0" fontId="20" fillId="18" borderId="0" applyNumberFormat="0" applyBorder="0" applyAlignment="0" applyProtection="0"/>
    <xf numFmtId="0" fontId="20" fillId="19" borderId="0" applyNumberFormat="0" applyBorder="0" applyAlignment="0" applyProtection="0"/>
    <xf numFmtId="0" fontId="20" fillId="20" borderId="0" applyNumberFormat="0" applyBorder="0" applyAlignment="0" applyProtection="0"/>
    <xf numFmtId="0" fontId="35" fillId="21" borderId="0" applyNumberFormat="0" applyBorder="0" applyAlignment="0" applyProtection="0"/>
    <xf numFmtId="0" fontId="20" fillId="22" borderId="0" applyNumberFormat="0" applyBorder="0" applyAlignment="0" applyProtection="0"/>
    <xf numFmtId="0" fontId="20" fillId="23" borderId="0" applyNumberFormat="0" applyBorder="0" applyAlignment="0" applyProtection="0"/>
    <xf numFmtId="0" fontId="20" fillId="24" borderId="0" applyNumberFormat="0" applyBorder="0" applyAlignment="0" applyProtection="0"/>
    <xf numFmtId="0" fontId="35" fillId="25" borderId="0" applyNumberFormat="0" applyBorder="0" applyAlignment="0" applyProtection="0"/>
    <xf numFmtId="0" fontId="20" fillId="26" borderId="0" applyNumberFormat="0" applyBorder="0" applyAlignment="0" applyProtection="0"/>
    <xf numFmtId="0" fontId="20" fillId="27" borderId="0" applyNumberFormat="0" applyBorder="0" applyAlignment="0" applyProtection="0"/>
    <xf numFmtId="0" fontId="20" fillId="28" borderId="0" applyNumberFormat="0" applyBorder="0" applyAlignment="0" applyProtection="0"/>
    <xf numFmtId="0" fontId="35" fillId="29" borderId="0" applyNumberFormat="0" applyBorder="0" applyAlignment="0" applyProtection="0"/>
    <xf numFmtId="0" fontId="20" fillId="30" borderId="0" applyNumberFormat="0" applyBorder="0" applyAlignment="0" applyProtection="0"/>
    <xf numFmtId="0" fontId="20" fillId="31" borderId="0" applyNumberFormat="0" applyBorder="0" applyAlignment="0" applyProtection="0"/>
    <xf numFmtId="0" fontId="20" fillId="32" borderId="0" applyNumberFormat="0" applyBorder="0" applyAlignment="0" applyProtection="0"/>
    <xf numFmtId="0" fontId="35" fillId="33" borderId="0" applyNumberFormat="0" applyBorder="0" applyAlignment="0" applyProtection="0"/>
    <xf numFmtId="0" fontId="20" fillId="34" borderId="0" applyNumberFormat="0" applyBorder="0" applyAlignment="0" applyProtection="0"/>
    <xf numFmtId="0" fontId="20" fillId="35" borderId="0" applyNumberFormat="0" applyBorder="0" applyAlignment="0" applyProtection="0"/>
    <xf numFmtId="0" fontId="20" fillId="36" borderId="0" applyNumberFormat="0" applyBorder="0" applyAlignment="0" applyProtection="0"/>
    <xf numFmtId="0" fontId="35" fillId="37" borderId="0" applyNumberFormat="0" applyBorder="0" applyAlignment="0" applyProtection="0"/>
    <xf numFmtId="0" fontId="20" fillId="38" borderId="0" applyNumberFormat="0" applyBorder="0" applyAlignment="0" applyProtection="0"/>
    <xf numFmtId="0" fontId="20" fillId="39" borderId="0" applyNumberFormat="0" applyBorder="0" applyAlignment="0" applyProtection="0"/>
    <xf numFmtId="0" fontId="20" fillId="40" borderId="0" applyNumberFormat="0" applyBorder="0" applyAlignment="0" applyProtection="0"/>
  </cellStyleXfs>
  <cellXfs count="121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1" xfId="0" applyFont="1" applyBorder="1"/>
    <xf numFmtId="0" fontId="5" fillId="0" borderId="3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3" xfId="0" applyFont="1" applyBorder="1" applyAlignment="1">
      <alignment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14" fontId="7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0" fontId="7" fillId="4" borderId="5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 wrapText="1"/>
    </xf>
    <xf numFmtId="0" fontId="7" fillId="4" borderId="7" xfId="0" applyFont="1" applyFill="1" applyBorder="1" applyAlignment="1">
      <alignment horizontal="center" vertical="center" wrapText="1"/>
    </xf>
    <xf numFmtId="0" fontId="7" fillId="5" borderId="8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3" fontId="0" fillId="0" borderId="9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0" fillId="0" borderId="12" xfId="0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4" xfId="0" applyBorder="1" applyAlignment="1">
      <alignment horizontal="left" vertical="center"/>
    </xf>
    <xf numFmtId="0" fontId="11" fillId="0" borderId="26" xfId="0" applyFont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7" fillId="0" borderId="0" xfId="0" applyFont="1" applyAlignment="1">
      <alignment horizontal="left" vertical="center" indent="1"/>
    </xf>
    <xf numFmtId="3" fontId="1" fillId="0" borderId="0" xfId="0" applyNumberFormat="1" applyFont="1" applyAlignment="1">
      <alignment horizontal="center" vertical="center"/>
    </xf>
    <xf numFmtId="3" fontId="1" fillId="0" borderId="0" xfId="0" applyNumberFormat="1" applyFont="1" applyAlignment="1">
      <alignment horizontal="right" vertical="center"/>
    </xf>
    <xf numFmtId="0" fontId="4" fillId="0" borderId="1" xfId="0" applyFont="1" applyBorder="1" applyAlignment="1">
      <alignment horizontal="left"/>
    </xf>
    <xf numFmtId="165" fontId="5" fillId="0" borderId="3" xfId="0" applyNumberFormat="1" applyFont="1" applyBorder="1" applyAlignment="1">
      <alignment vertical="center"/>
    </xf>
    <xf numFmtId="0" fontId="4" fillId="0" borderId="1" xfId="0" applyFont="1" applyBorder="1"/>
    <xf numFmtId="0" fontId="3" fillId="0" borderId="1" xfId="0" applyFont="1" applyBorder="1"/>
    <xf numFmtId="165" fontId="0" fillId="0" borderId="0" xfId="0" applyNumberFormat="1" applyAlignment="1">
      <alignment horizontal="center" vertical="center"/>
    </xf>
    <xf numFmtId="0" fontId="7" fillId="8" borderId="4" xfId="0" applyFont="1" applyFill="1" applyBorder="1" applyAlignment="1">
      <alignment horizontal="center" vertical="center"/>
    </xf>
    <xf numFmtId="14" fontId="15" fillId="9" borderId="0" xfId="0" applyNumberFormat="1" applyFont="1" applyFill="1" applyAlignment="1">
      <alignment horizontal="center" vertical="center"/>
    </xf>
    <xf numFmtId="3" fontId="15" fillId="9" borderId="0" xfId="0" applyNumberFormat="1" applyFont="1" applyFill="1" applyAlignment="1">
      <alignment horizontal="center" vertical="center"/>
    </xf>
    <xf numFmtId="0" fontId="15" fillId="9" borderId="0" xfId="0" applyFont="1" applyFill="1" applyAlignment="1">
      <alignment horizontal="center" vertical="center"/>
    </xf>
    <xf numFmtId="2" fontId="15" fillId="9" borderId="0" xfId="0" applyNumberFormat="1" applyFont="1" applyFill="1" applyAlignment="1">
      <alignment horizontal="center" vertical="center"/>
    </xf>
    <xf numFmtId="165" fontId="11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0" fillId="7" borderId="4" xfId="0" applyFont="1" applyFill="1" applyBorder="1" applyAlignment="1">
      <alignment horizontal="center" vertical="center" wrapText="1"/>
    </xf>
    <xf numFmtId="0" fontId="10" fillId="6" borderId="4" xfId="0" applyFont="1" applyFill="1" applyBorder="1" applyAlignment="1">
      <alignment horizontal="center" vertical="center" wrapText="1"/>
    </xf>
    <xf numFmtId="0" fontId="10" fillId="6" borderId="0" xfId="0" applyFont="1" applyFill="1" applyAlignment="1">
      <alignment horizontal="center" vertical="center" wrapText="1"/>
    </xf>
    <xf numFmtId="0" fontId="10" fillId="8" borderId="4" xfId="0" applyFont="1" applyFill="1" applyBorder="1" applyAlignment="1">
      <alignment horizontal="center" vertical="center" wrapText="1"/>
    </xf>
    <xf numFmtId="0" fontId="1" fillId="0" borderId="35" xfId="0" applyFont="1" applyBorder="1" applyAlignment="1">
      <alignment horizontal="left" vertical="center"/>
    </xf>
    <xf numFmtId="0" fontId="1" fillId="0" borderId="35" xfId="0" applyFont="1" applyBorder="1" applyAlignment="1">
      <alignment horizontal="center" vertical="center"/>
    </xf>
    <xf numFmtId="3" fontId="1" fillId="0" borderId="35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4" fontId="1" fillId="0" borderId="35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left" indent="2"/>
    </xf>
    <xf numFmtId="0" fontId="5" fillId="0" borderId="3" xfId="0" applyFont="1" applyBorder="1" applyAlignment="1">
      <alignment horizontal="left" vertical="center" indent="2"/>
    </xf>
    <xf numFmtId="164" fontId="17" fillId="0" borderId="0" xfId="0" applyNumberFormat="1" applyFont="1" applyAlignment="1">
      <alignment horizontal="right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4" fontId="3" fillId="0" borderId="0" xfId="0" applyNumberFormat="1" applyFont="1" applyAlignment="1">
      <alignment horizontal="center" vertical="center"/>
    </xf>
    <xf numFmtId="0" fontId="13" fillId="0" borderId="37" xfId="0" applyFont="1" applyBorder="1" applyAlignment="1">
      <alignment horizontal="center" vertical="center"/>
    </xf>
    <xf numFmtId="0" fontId="6" fillId="0" borderId="37" xfId="0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4" fontId="2" fillId="0" borderId="37" xfId="0" applyNumberFormat="1" applyFont="1" applyBorder="1" applyAlignment="1">
      <alignment horizontal="center" vertical="center"/>
    </xf>
    <xf numFmtId="0" fontId="4" fillId="2" borderId="38" xfId="0" applyFont="1" applyFill="1" applyBorder="1" applyAlignment="1">
      <alignment horizontal="center" vertical="center"/>
    </xf>
    <xf numFmtId="0" fontId="6" fillId="2" borderId="38" xfId="0" applyFont="1" applyFill="1" applyBorder="1" applyAlignment="1">
      <alignment horizontal="center" vertical="center"/>
    </xf>
    <xf numFmtId="0" fontId="5" fillId="2" borderId="38" xfId="0" applyFont="1" applyFill="1" applyBorder="1" applyAlignment="1">
      <alignment horizontal="center" vertical="center"/>
    </xf>
    <xf numFmtId="3" fontId="2" fillId="2" borderId="38" xfId="0" applyNumberFormat="1" applyFont="1" applyFill="1" applyBorder="1" applyAlignment="1">
      <alignment horizontal="center" vertical="center"/>
    </xf>
    <xf numFmtId="4" fontId="3" fillId="2" borderId="38" xfId="0" applyNumberFormat="1" applyFont="1" applyFill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6" fillId="0" borderId="38" xfId="0" applyFont="1" applyBorder="1" applyAlignment="1">
      <alignment horizontal="center" vertical="center"/>
    </xf>
    <xf numFmtId="0" fontId="5" fillId="0" borderId="38" xfId="0" applyFont="1" applyBorder="1" applyAlignment="1">
      <alignment horizontal="center" vertical="center"/>
    </xf>
    <xf numFmtId="3" fontId="2" fillId="0" borderId="38" xfId="0" applyNumberFormat="1" applyFont="1" applyBorder="1" applyAlignment="1">
      <alignment horizontal="center" vertical="center"/>
    </xf>
    <xf numFmtId="4" fontId="3" fillId="0" borderId="38" xfId="0" applyNumberFormat="1" applyFont="1" applyBorder="1" applyAlignment="1">
      <alignment horizontal="center" vertical="center"/>
    </xf>
    <xf numFmtId="3" fontId="11" fillId="0" borderId="0" xfId="0" applyNumberFormat="1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18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1" fontId="15" fillId="9" borderId="0" xfId="0" applyNumberFormat="1" applyFont="1" applyFill="1" applyAlignment="1">
      <alignment horizontal="center" vertical="center"/>
    </xf>
    <xf numFmtId="0" fontId="11" fillId="41" borderId="0" xfId="0" applyFont="1" applyFill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4" fillId="0" borderId="0" xfId="0" applyFont="1" applyAlignment="1">
      <alignment horizontal="left"/>
    </xf>
    <xf numFmtId="0" fontId="1" fillId="0" borderId="2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14" fontId="7" fillId="3" borderId="0" xfId="0" applyNumberFormat="1" applyFont="1" applyFill="1" applyAlignment="1">
      <alignment horizontal="center" vertical="center"/>
    </xf>
    <xf numFmtId="0" fontId="7" fillId="3" borderId="36" xfId="0" applyFont="1" applyFill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11" fillId="0" borderId="25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0" fontId="7" fillId="0" borderId="13" xfId="0" applyFont="1" applyBorder="1" applyAlignment="1">
      <alignment horizontal="left" vertical="top"/>
    </xf>
    <xf numFmtId="0" fontId="0" fillId="0" borderId="14" xfId="0" applyBorder="1" applyAlignment="1">
      <alignment horizontal="left" vertical="top"/>
    </xf>
    <xf numFmtId="0" fontId="0" fillId="0" borderId="15" xfId="0" applyBorder="1" applyAlignment="1">
      <alignment horizontal="left" vertical="top"/>
    </xf>
    <xf numFmtId="0" fontId="0" fillId="0" borderId="30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31" xfId="0" applyBorder="1" applyAlignment="1">
      <alignment horizontal="left" vertical="top"/>
    </xf>
    <xf numFmtId="0" fontId="0" fillId="0" borderId="32" xfId="0" applyBorder="1" applyAlignment="1">
      <alignment horizontal="left" vertical="top"/>
    </xf>
    <xf numFmtId="0" fontId="0" fillId="0" borderId="33" xfId="0" applyBorder="1" applyAlignment="1">
      <alignment horizontal="left" vertical="top"/>
    </xf>
    <xf numFmtId="0" fontId="0" fillId="0" borderId="34" xfId="0" applyBorder="1" applyAlignment="1">
      <alignment horizontal="left" vertical="top"/>
    </xf>
    <xf numFmtId="0" fontId="11" fillId="0" borderId="27" xfId="0" applyFont="1" applyBorder="1" applyAlignment="1">
      <alignment horizontal="center" vertic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27">
    <dxf>
      <font>
        <b val="0"/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b val="0"/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2B6CA7"/>
      <color rgb="FF2E75B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microsoft.com/office/2017/10/relationships/person" Target="persons/person.xml"/><Relationship Id="rId18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sheetMetadata" Target="metadata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2026_Inverno_Modelo_Report_Operacional_Carregamento_Corteva.xlsx" TargetMode="External"/><Relationship Id="rId2" Type="http://schemas.openxmlformats.org/officeDocument/2006/relationships/externalLinkPath" Target="https://valoremagronegocios.sharepoint.com/sites/whptm/PlanLogis/01%20-%20Expedi&#231;&#245;es/2026_Inverno_Modelo_Report_Operacional_Carregamento_Corteva.xlsx" TargetMode="External"/><Relationship Id="rId1" Type="http://schemas.openxmlformats.org/officeDocument/2006/relationships/externalLinkPath" Target="/sites/whptm/PlanLogis/01%20-%20Expedi&#231;&#245;es/2026_Inverno_Modelo_Report_Operacional_Carregamento_Corteva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00%20-%20Geral/INFORMATIVOS%20-%20CORTEVA%20-%20INVERNO%202026.xlsx" TargetMode="External"/><Relationship Id="rId2" Type="http://schemas.openxmlformats.org/officeDocument/2006/relationships/externalLinkPath" Target="https://valoremagronegocios.sharepoint.com/sites/whptm/PlanLogis/00%20-%20Geral/INFORMATIVOS%20-%20CORTEVA%20-%20INVERNO%202026.xlsx" TargetMode="External"/><Relationship Id="rId1" Type="http://schemas.openxmlformats.org/officeDocument/2006/relationships/externalLinkPath" Target="/sites/whptm/PlanLogis/00%20-%20Geral/INFORMATIVOS%20-%20CORTEVA%20-%20INVERNO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Report"/>
      <sheetName val="BKP - FORMULA"/>
      <sheetName val="Espelho"/>
      <sheetName val="Report.bkp"/>
    </sheetNames>
    <sheetDataSet>
      <sheetData sheetId="0">
        <row r="2">
          <cell r="B2" t="e">
            <v>#VALUE!</v>
          </cell>
        </row>
        <row r="4">
          <cell r="B4" t="str">
            <v>AGENDAMENTO (DATA/HORA)</v>
          </cell>
          <cell r="G4" t="str">
            <v>N° CARGA</v>
          </cell>
        </row>
        <row r="5">
          <cell r="B5">
            <v>46260.333333333336</v>
          </cell>
          <cell r="G5">
            <v>7240103</v>
          </cell>
        </row>
        <row r="6">
          <cell r="B6">
            <v>46260.333333333336</v>
          </cell>
          <cell r="G6">
            <v>7240104</v>
          </cell>
        </row>
        <row r="7">
          <cell r="B7">
            <v>46260.375</v>
          </cell>
          <cell r="G7">
            <v>7240105</v>
          </cell>
        </row>
        <row r="8">
          <cell r="B8">
            <v>46261.375</v>
          </cell>
          <cell r="G8">
            <v>7240106</v>
          </cell>
        </row>
        <row r="9">
          <cell r="B9">
            <v>46261.416666666664</v>
          </cell>
          <cell r="G9">
            <v>7240107</v>
          </cell>
        </row>
        <row r="10">
          <cell r="B10">
            <v>46261.416666666664</v>
          </cell>
          <cell r="G10">
            <v>7240108</v>
          </cell>
        </row>
        <row r="11">
          <cell r="B11">
            <v>46262.375</v>
          </cell>
          <cell r="G11">
            <v>7240109</v>
          </cell>
        </row>
        <row r="12">
          <cell r="B12">
            <v>46262.416666666664</v>
          </cell>
          <cell r="G12">
            <v>7240110</v>
          </cell>
        </row>
        <row r="13">
          <cell r="B13">
            <v>46262.416666666664</v>
          </cell>
          <cell r="G13">
            <v>7240111</v>
          </cell>
        </row>
        <row r="14">
          <cell r="B14">
            <v>46265.333333333336</v>
          </cell>
          <cell r="G14">
            <v>7241110</v>
          </cell>
        </row>
        <row r="15">
          <cell r="B15">
            <v>46265.333333333336</v>
          </cell>
          <cell r="G15">
            <v>7241111</v>
          </cell>
        </row>
        <row r="16">
          <cell r="B16">
            <v>46265.375</v>
          </cell>
          <cell r="G16">
            <v>7241113</v>
          </cell>
        </row>
        <row r="17">
          <cell r="B17">
            <v>46265.375</v>
          </cell>
          <cell r="G17">
            <v>7241116</v>
          </cell>
        </row>
        <row r="18">
          <cell r="B18">
            <v>46266.333333333336</v>
          </cell>
          <cell r="G18">
            <v>7241123</v>
          </cell>
        </row>
        <row r="19">
          <cell r="B19">
            <v>46266.333333333336</v>
          </cell>
          <cell r="G19">
            <v>7241124</v>
          </cell>
        </row>
        <row r="20">
          <cell r="B20">
            <v>46266.375</v>
          </cell>
          <cell r="G20">
            <v>7241125</v>
          </cell>
        </row>
        <row r="21">
          <cell r="B21">
            <v>46266.375</v>
          </cell>
          <cell r="G21">
            <v>7241127</v>
          </cell>
        </row>
        <row r="22">
          <cell r="B22">
            <v>46267.333333333336</v>
          </cell>
          <cell r="G22">
            <v>7241131</v>
          </cell>
        </row>
        <row r="23">
          <cell r="B23">
            <v>46267.333333333336</v>
          </cell>
          <cell r="G23">
            <v>7241132</v>
          </cell>
        </row>
        <row r="24">
          <cell r="B24">
            <v>46267.375</v>
          </cell>
          <cell r="G24">
            <v>7241134</v>
          </cell>
        </row>
        <row r="25">
          <cell r="B25">
            <v>46267.375</v>
          </cell>
          <cell r="G25">
            <v>7241135</v>
          </cell>
        </row>
        <row r="26">
          <cell r="B26">
            <v>46268.333333333336</v>
          </cell>
          <cell r="G26">
            <v>7241136</v>
          </cell>
        </row>
        <row r="27">
          <cell r="B27">
            <v>46268.333333333336</v>
          </cell>
          <cell r="G27">
            <v>7241962</v>
          </cell>
        </row>
        <row r="28">
          <cell r="B28">
            <v>46268.375</v>
          </cell>
          <cell r="G28">
            <v>7241137</v>
          </cell>
        </row>
        <row r="29">
          <cell r="B29">
            <v>46268.375</v>
          </cell>
          <cell r="G29">
            <v>7241139</v>
          </cell>
        </row>
        <row r="30">
          <cell r="B30">
            <v>46273.333333333336</v>
          </cell>
          <cell r="G30">
            <v>7241141</v>
          </cell>
        </row>
        <row r="31">
          <cell r="B31">
            <v>46273.333333333336</v>
          </cell>
          <cell r="G31">
            <v>7241939</v>
          </cell>
        </row>
        <row r="32">
          <cell r="B32">
            <v>46273.375</v>
          </cell>
          <cell r="G32">
            <v>7241940</v>
          </cell>
        </row>
        <row r="33">
          <cell r="B33">
            <v>46273.375</v>
          </cell>
          <cell r="G33">
            <v>7241941</v>
          </cell>
        </row>
        <row r="34">
          <cell r="B34">
            <v>46274.333333333336</v>
          </cell>
          <cell r="G34">
            <v>7241943</v>
          </cell>
        </row>
        <row r="35">
          <cell r="B35">
            <v>46274.333333333336</v>
          </cell>
          <cell r="G35">
            <v>7241944</v>
          </cell>
        </row>
        <row r="36">
          <cell r="B36">
            <v>46274.375</v>
          </cell>
          <cell r="G36">
            <v>7241945</v>
          </cell>
        </row>
        <row r="37">
          <cell r="B37">
            <v>46274.375</v>
          </cell>
          <cell r="G37">
            <v>7241946</v>
          </cell>
        </row>
        <row r="38">
          <cell r="B38">
            <v>46275.333333333336</v>
          </cell>
          <cell r="G38">
            <v>7241954</v>
          </cell>
        </row>
        <row r="39">
          <cell r="B39">
            <v>46275.333333333336</v>
          </cell>
          <cell r="G39">
            <v>7241989</v>
          </cell>
        </row>
        <row r="40">
          <cell r="B40">
            <v>46275.375</v>
          </cell>
          <cell r="G40">
            <v>7241990</v>
          </cell>
        </row>
        <row r="41">
          <cell r="B41">
            <v>46275.375</v>
          </cell>
          <cell r="G41">
            <v>7241991</v>
          </cell>
        </row>
        <row r="42">
          <cell r="B42">
            <v>46276.333333333336</v>
          </cell>
          <cell r="G42">
            <v>7241993</v>
          </cell>
        </row>
        <row r="43">
          <cell r="B43">
            <v>46276.333333333336</v>
          </cell>
          <cell r="G43">
            <v>7241994</v>
          </cell>
        </row>
        <row r="44">
          <cell r="B44">
            <v>46276.375</v>
          </cell>
          <cell r="G44">
            <v>7241996</v>
          </cell>
        </row>
        <row r="45">
          <cell r="B45">
            <v>46276.375</v>
          </cell>
          <cell r="G45">
            <v>7241997</v>
          </cell>
        </row>
        <row r="46">
          <cell r="B46">
            <v>46279.333333333336</v>
          </cell>
          <cell r="G46">
            <v>7242802</v>
          </cell>
        </row>
        <row r="47">
          <cell r="B47">
            <v>46279.333333333336</v>
          </cell>
          <cell r="G47">
            <v>7242804</v>
          </cell>
        </row>
        <row r="48">
          <cell r="B48">
            <v>46279.375</v>
          </cell>
          <cell r="G48">
            <v>7242805</v>
          </cell>
        </row>
        <row r="49">
          <cell r="B49">
            <v>46279.375</v>
          </cell>
          <cell r="G49">
            <v>7242807</v>
          </cell>
        </row>
        <row r="50">
          <cell r="B50">
            <v>46280.333333333336</v>
          </cell>
          <cell r="G50">
            <v>7242808</v>
          </cell>
        </row>
        <row r="51">
          <cell r="B51">
            <v>46280.333333333336</v>
          </cell>
          <cell r="G51">
            <v>7242811</v>
          </cell>
        </row>
        <row r="52">
          <cell r="B52">
            <v>46280.375</v>
          </cell>
          <cell r="G52">
            <v>7242816</v>
          </cell>
        </row>
        <row r="53">
          <cell r="B53">
            <v>46280.375</v>
          </cell>
          <cell r="G53">
            <v>7242819</v>
          </cell>
        </row>
        <row r="54">
          <cell r="B54">
            <v>46281.333333333336</v>
          </cell>
          <cell r="G54">
            <v>7242822</v>
          </cell>
        </row>
        <row r="55">
          <cell r="B55">
            <v>46281.333333333336</v>
          </cell>
          <cell r="G55">
            <v>7242827</v>
          </cell>
        </row>
        <row r="56">
          <cell r="B56">
            <v>46281.375</v>
          </cell>
          <cell r="G56">
            <v>7242830</v>
          </cell>
        </row>
        <row r="57">
          <cell r="B57">
            <v>46281.375</v>
          </cell>
          <cell r="G57">
            <v>7242833</v>
          </cell>
        </row>
        <row r="58">
          <cell r="B58">
            <v>46282.333333333336</v>
          </cell>
          <cell r="G58">
            <v>7242836</v>
          </cell>
        </row>
        <row r="59">
          <cell r="B59">
            <v>46282.333333333336</v>
          </cell>
          <cell r="G59">
            <v>7242839</v>
          </cell>
        </row>
        <row r="60">
          <cell r="B60">
            <v>46282.375</v>
          </cell>
          <cell r="G60">
            <v>7242843</v>
          </cell>
        </row>
        <row r="61">
          <cell r="B61">
            <v>46282.375</v>
          </cell>
          <cell r="G61">
            <v>7242844</v>
          </cell>
        </row>
        <row r="62">
          <cell r="B62">
            <v>46283.333333333336</v>
          </cell>
          <cell r="G62">
            <v>7242847</v>
          </cell>
        </row>
        <row r="63">
          <cell r="B63">
            <v>46283.333333333336</v>
          </cell>
          <cell r="G63">
            <v>7242848</v>
          </cell>
        </row>
        <row r="64">
          <cell r="B64">
            <v>46283.375</v>
          </cell>
          <cell r="G64">
            <v>7242850</v>
          </cell>
        </row>
        <row r="65">
          <cell r="B65">
            <v>46283.375</v>
          </cell>
          <cell r="G65">
            <v>7242853</v>
          </cell>
        </row>
        <row r="66">
          <cell r="B66">
            <v>46286.333333333336</v>
          </cell>
          <cell r="G66">
            <v>7244328</v>
          </cell>
        </row>
        <row r="67">
          <cell r="B67">
            <v>46286.333333333336</v>
          </cell>
          <cell r="G67">
            <v>7244330</v>
          </cell>
        </row>
        <row r="68">
          <cell r="B68">
            <v>46286.375</v>
          </cell>
          <cell r="G68">
            <v>7244331</v>
          </cell>
        </row>
        <row r="69">
          <cell r="B69">
            <v>46286.375</v>
          </cell>
          <cell r="G69">
            <v>7244332</v>
          </cell>
        </row>
        <row r="70">
          <cell r="B70">
            <v>46287.333333333336</v>
          </cell>
          <cell r="G70">
            <v>7244334</v>
          </cell>
        </row>
        <row r="71">
          <cell r="B71">
            <v>46287.333333333336</v>
          </cell>
          <cell r="G71">
            <v>7244335</v>
          </cell>
        </row>
        <row r="72">
          <cell r="B72">
            <v>46287.375</v>
          </cell>
          <cell r="G72">
            <v>7244336</v>
          </cell>
        </row>
        <row r="73">
          <cell r="B73">
            <v>46287.375</v>
          </cell>
          <cell r="G73">
            <v>7244337</v>
          </cell>
        </row>
        <row r="74">
          <cell r="B74">
            <v>46288.333333333336</v>
          </cell>
          <cell r="G74">
            <v>7244338</v>
          </cell>
        </row>
        <row r="75">
          <cell r="B75">
            <v>46288.333333333336</v>
          </cell>
          <cell r="G75">
            <v>7244339</v>
          </cell>
        </row>
        <row r="76">
          <cell r="B76">
            <v>46288.375</v>
          </cell>
          <cell r="G76">
            <v>7244340</v>
          </cell>
        </row>
        <row r="77">
          <cell r="B77">
            <v>46288.375</v>
          </cell>
          <cell r="G77">
            <v>7244341</v>
          </cell>
        </row>
        <row r="78">
          <cell r="B78">
            <v>46289.333333333336</v>
          </cell>
          <cell r="G78">
            <v>7242701</v>
          </cell>
        </row>
        <row r="79">
          <cell r="B79">
            <v>46289.375</v>
          </cell>
          <cell r="G79">
            <v>7242702</v>
          </cell>
        </row>
        <row r="80">
          <cell r="B80">
            <v>46289.375</v>
          </cell>
          <cell r="G80">
            <v>7242703</v>
          </cell>
        </row>
        <row r="81">
          <cell r="B81">
            <v>46289.416666666664</v>
          </cell>
          <cell r="G81">
            <v>7242699</v>
          </cell>
        </row>
        <row r="82">
          <cell r="B82">
            <v>46290.333333333336</v>
          </cell>
          <cell r="G82">
            <v>7242704</v>
          </cell>
        </row>
        <row r="83">
          <cell r="B83">
            <v>46290.333333333336</v>
          </cell>
          <cell r="G83">
            <v>7244342</v>
          </cell>
        </row>
        <row r="84">
          <cell r="B84">
            <v>46290.333333333336</v>
          </cell>
          <cell r="G84">
            <v>7244343</v>
          </cell>
        </row>
        <row r="85">
          <cell r="B85">
            <v>46290.333333333336</v>
          </cell>
          <cell r="G85">
            <v>7242700</v>
          </cell>
        </row>
        <row r="86">
          <cell r="B86">
            <v>46293.333333333336</v>
          </cell>
          <cell r="G86">
            <v>7246790</v>
          </cell>
        </row>
        <row r="87">
          <cell r="B87">
            <v>46293.333333333336</v>
          </cell>
          <cell r="G87">
            <v>7246858</v>
          </cell>
        </row>
        <row r="88">
          <cell r="B88">
            <v>46293.333333333336</v>
          </cell>
          <cell r="G88">
            <v>7246859</v>
          </cell>
        </row>
        <row r="89">
          <cell r="B89">
            <v>46293.375</v>
          </cell>
          <cell r="G89">
            <v>7246860</v>
          </cell>
        </row>
        <row r="90">
          <cell r="B90">
            <v>46294.333333333336</v>
          </cell>
          <cell r="G90">
            <v>7251557</v>
          </cell>
        </row>
        <row r="91">
          <cell r="B91">
            <v>46294.333333333336</v>
          </cell>
          <cell r="G91">
            <v>7246861</v>
          </cell>
        </row>
        <row r="92">
          <cell r="B92">
            <v>46294.375</v>
          </cell>
          <cell r="G92">
            <v>7246862</v>
          </cell>
        </row>
        <row r="93">
          <cell r="B93">
            <v>46294.375</v>
          </cell>
          <cell r="G93">
            <v>7246864</v>
          </cell>
        </row>
        <row r="94">
          <cell r="B94">
            <v>46295.333333333336</v>
          </cell>
          <cell r="G94">
            <v>7246865</v>
          </cell>
        </row>
        <row r="95">
          <cell r="B95">
            <v>46295.333333333336</v>
          </cell>
          <cell r="G95">
            <v>7248712</v>
          </cell>
        </row>
        <row r="96">
          <cell r="B96">
            <v>46295.375</v>
          </cell>
          <cell r="G96">
            <v>7248673</v>
          </cell>
        </row>
        <row r="97">
          <cell r="B97">
            <v>46295.375</v>
          </cell>
          <cell r="G97">
            <v>7248679</v>
          </cell>
        </row>
        <row r="98">
          <cell r="B98">
            <v>46296.333333333336</v>
          </cell>
          <cell r="G98">
            <v>7248680</v>
          </cell>
        </row>
        <row r="99">
          <cell r="B99">
            <v>46296.333333333336</v>
          </cell>
          <cell r="G99">
            <v>7248682</v>
          </cell>
        </row>
        <row r="100">
          <cell r="B100">
            <v>46296.375</v>
          </cell>
          <cell r="G100">
            <v>7248684</v>
          </cell>
        </row>
        <row r="101">
          <cell r="B101">
            <v>46296.375</v>
          </cell>
          <cell r="G101">
            <v>7248685</v>
          </cell>
        </row>
        <row r="102">
          <cell r="B102">
            <v>46297.333333333336</v>
          </cell>
          <cell r="G102">
            <v>7253432</v>
          </cell>
        </row>
        <row r="103">
          <cell r="B103">
            <v>46297.333333333336</v>
          </cell>
          <cell r="G103">
            <v>7248688</v>
          </cell>
        </row>
        <row r="104">
          <cell r="B104">
            <v>46297.375</v>
          </cell>
          <cell r="G104">
            <v>7253434</v>
          </cell>
        </row>
        <row r="105">
          <cell r="B105">
            <v>46297.375</v>
          </cell>
          <cell r="G105">
            <v>7253436</v>
          </cell>
        </row>
        <row r="106">
          <cell r="B106">
            <v>46300.333333333336</v>
          </cell>
          <cell r="G106">
            <v>7253439</v>
          </cell>
        </row>
        <row r="107">
          <cell r="B107">
            <v>46300.333333333336</v>
          </cell>
          <cell r="G107">
            <v>7253442</v>
          </cell>
        </row>
        <row r="108">
          <cell r="B108">
            <v>46300.375</v>
          </cell>
          <cell r="G108">
            <v>7253445</v>
          </cell>
        </row>
        <row r="109">
          <cell r="B109">
            <v>46300.375</v>
          </cell>
          <cell r="G109">
            <v>7253448</v>
          </cell>
        </row>
      </sheetData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ados"/>
      <sheetName val="Status Informativos"/>
    </sheetNames>
    <sheetDataSet>
      <sheetData sheetId="0">
        <row r="1">
          <cell r="K1" t="str">
            <v>Mín: 11,26 | Máx: 22,38</v>
          </cell>
        </row>
        <row r="2">
          <cell r="D2" t="str">
            <v>Lote Final</v>
          </cell>
          <cell r="K2" t="str">
            <v>Peso Impressão</v>
          </cell>
          <cell r="Q2" t="str">
            <v>Tipo de Produto</v>
          </cell>
          <cell r="R2" t="str">
            <v>Quantidade Sacos/Palete</v>
          </cell>
        </row>
        <row r="3">
          <cell r="D3" t="str">
            <v>03P7520918</v>
          </cell>
          <cell r="K3">
            <v>12.16</v>
          </cell>
          <cell r="Q3" t="str">
            <v>PAS - Produto Acabado em Sacos</v>
          </cell>
          <cell r="R3">
            <v>75</v>
          </cell>
        </row>
        <row r="4">
          <cell r="D4" t="str">
            <v>03P7518186</v>
          </cell>
          <cell r="K4">
            <v>13.77</v>
          </cell>
          <cell r="Q4" t="str">
            <v>PBT - Produto Acabado em Big Bag Tratado</v>
          </cell>
          <cell r="R4">
            <v>40</v>
          </cell>
        </row>
        <row r="5">
          <cell r="D5" t="str">
            <v>03P7520947</v>
          </cell>
          <cell r="K5">
            <v>13.77</v>
          </cell>
          <cell r="Q5" t="str">
            <v>PAS - Produto Acabado em Sacos</v>
          </cell>
          <cell r="R5">
            <v>70</v>
          </cell>
        </row>
        <row r="6">
          <cell r="D6" t="str">
            <v>03P7518210</v>
          </cell>
          <cell r="K6">
            <v>16.690000000000001</v>
          </cell>
          <cell r="Q6" t="str">
            <v>PBT - Produto Acabado em Big Bag Tratado</v>
          </cell>
          <cell r="R6">
            <v>40</v>
          </cell>
        </row>
        <row r="7">
          <cell r="D7" t="str">
            <v>03P7520951</v>
          </cell>
          <cell r="K7">
            <v>16.690000000000001</v>
          </cell>
          <cell r="Q7" t="str">
            <v>PAS - Produto Acabado em Sacos</v>
          </cell>
          <cell r="R7">
            <v>60</v>
          </cell>
        </row>
        <row r="8">
          <cell r="D8" t="str">
            <v>03P7518117</v>
          </cell>
          <cell r="K8">
            <v>14.69</v>
          </cell>
          <cell r="Q8" t="str">
            <v>PBT - Produto Acabado em Big Bag Tratado</v>
          </cell>
          <cell r="R8">
            <v>40</v>
          </cell>
        </row>
        <row r="9">
          <cell r="D9" t="str">
            <v>03P7520927</v>
          </cell>
          <cell r="K9">
            <v>14.69</v>
          </cell>
          <cell r="Q9" t="str">
            <v>PAS - Produto Acabado em Sacos</v>
          </cell>
          <cell r="R9">
            <v>60</v>
          </cell>
        </row>
        <row r="10">
          <cell r="D10" t="str">
            <v>03P7518118</v>
          </cell>
          <cell r="K10">
            <v>14.13</v>
          </cell>
          <cell r="Q10" t="str">
            <v>PBT - Produto Acabado em Big Bag Tratado</v>
          </cell>
          <cell r="R10">
            <v>40</v>
          </cell>
        </row>
        <row r="11">
          <cell r="D11" t="str">
            <v>03P7520929</v>
          </cell>
          <cell r="K11">
            <v>14.13</v>
          </cell>
          <cell r="Q11" t="str">
            <v>PAS - Produto Acabado em Sacos</v>
          </cell>
          <cell r="R11">
            <v>70</v>
          </cell>
        </row>
        <row r="12">
          <cell r="D12" t="str">
            <v>03P7518120</v>
          </cell>
          <cell r="K12">
            <v>14.11</v>
          </cell>
          <cell r="Q12" t="str">
            <v>PBT - Produto Acabado em Big Bag Tratado</v>
          </cell>
          <cell r="R12">
            <v>40</v>
          </cell>
        </row>
        <row r="13">
          <cell r="D13" t="str">
            <v>03P7518121</v>
          </cell>
          <cell r="K13">
            <v>14.56</v>
          </cell>
          <cell r="Q13" t="str">
            <v>PBT - Produto Acabado em Big Bag Tratado</v>
          </cell>
          <cell r="R13">
            <v>40</v>
          </cell>
        </row>
        <row r="14">
          <cell r="D14" t="str">
            <v>03P7520933</v>
          </cell>
          <cell r="K14">
            <v>14.56</v>
          </cell>
          <cell r="Q14" t="str">
            <v>PAS - Produto Acabado em Sacos</v>
          </cell>
          <cell r="R14">
            <v>60</v>
          </cell>
        </row>
        <row r="15">
          <cell r="D15" t="str">
            <v>03P7518135</v>
          </cell>
          <cell r="K15">
            <v>16.91</v>
          </cell>
          <cell r="Q15" t="str">
            <v>PBT - Produto Acabado em Big Bag Tratado</v>
          </cell>
          <cell r="R15">
            <v>40</v>
          </cell>
        </row>
        <row r="16">
          <cell r="D16" t="str">
            <v>03P7520935</v>
          </cell>
          <cell r="K16">
            <v>16.91</v>
          </cell>
          <cell r="Q16" t="str">
            <v>PAS - Produto Acabado em Sacos</v>
          </cell>
          <cell r="R16">
            <v>60</v>
          </cell>
        </row>
        <row r="17">
          <cell r="D17" t="str">
            <v>03P7518137</v>
          </cell>
          <cell r="K17">
            <v>16.18</v>
          </cell>
          <cell r="Q17" t="str">
            <v>PBT - Produto Acabado em Big Bag Tratado</v>
          </cell>
          <cell r="R17">
            <v>40</v>
          </cell>
        </row>
        <row r="18">
          <cell r="D18" t="str">
            <v>03P7520936</v>
          </cell>
          <cell r="K18">
            <v>16.18</v>
          </cell>
          <cell r="Q18" t="str">
            <v>PAS - Produto Acabado em Sacos</v>
          </cell>
          <cell r="R18">
            <v>60</v>
          </cell>
        </row>
        <row r="19">
          <cell r="D19" t="str">
            <v>03P7520891</v>
          </cell>
          <cell r="K19">
            <v>13.11</v>
          </cell>
          <cell r="Q19" t="str">
            <v>PAS - Produto Acabado em Sacos</v>
          </cell>
          <cell r="R19">
            <v>70</v>
          </cell>
        </row>
        <row r="20">
          <cell r="D20" t="str">
            <v>03P7518187</v>
          </cell>
          <cell r="K20">
            <v>14.06</v>
          </cell>
          <cell r="Q20" t="str">
            <v>PBT - Produto Acabado em Big Bag Tratado</v>
          </cell>
          <cell r="R20">
            <v>40</v>
          </cell>
        </row>
        <row r="21">
          <cell r="D21" t="str">
            <v>03P7520948</v>
          </cell>
          <cell r="K21">
            <v>14.06</v>
          </cell>
          <cell r="Q21" t="str">
            <v>PAS - Produto Acabado em Sacos</v>
          </cell>
          <cell r="R21">
            <v>70</v>
          </cell>
        </row>
        <row r="22">
          <cell r="D22" t="str">
            <v>03P7520952</v>
          </cell>
          <cell r="K22">
            <v>17.09</v>
          </cell>
          <cell r="Q22" t="str">
            <v>PAS - Produto Acabado em Sacos</v>
          </cell>
          <cell r="R22">
            <v>60</v>
          </cell>
        </row>
        <row r="23">
          <cell r="D23" t="str">
            <v>03P7518212</v>
          </cell>
          <cell r="K23">
            <v>17.09</v>
          </cell>
          <cell r="Q23" t="str">
            <v>PBT - Produto Acabado em Big Bag Tratado</v>
          </cell>
          <cell r="R23">
            <v>40</v>
          </cell>
        </row>
        <row r="24">
          <cell r="D24" t="str">
            <v>03P7518123</v>
          </cell>
          <cell r="K24">
            <v>14.89</v>
          </cell>
          <cell r="Q24" t="str">
            <v>PBT - Produto Acabado em Big Bag Tratado</v>
          </cell>
          <cell r="R24">
            <v>40</v>
          </cell>
        </row>
        <row r="25">
          <cell r="D25" t="str">
            <v>03P7550836</v>
          </cell>
          <cell r="K25">
            <v>14.89</v>
          </cell>
          <cell r="Q25" t="str">
            <v>PAS - Produto Acabado em Sacos</v>
          </cell>
          <cell r="R25">
            <v>60</v>
          </cell>
        </row>
        <row r="26">
          <cell r="D26" t="str">
            <v>03P7518125</v>
          </cell>
          <cell r="K26">
            <v>14.51</v>
          </cell>
          <cell r="Q26" t="str">
            <v>PBT - Produto Acabado em Big Bag Tratado</v>
          </cell>
          <cell r="R26">
            <v>40</v>
          </cell>
        </row>
        <row r="27">
          <cell r="D27" t="str">
            <v>03P7550840</v>
          </cell>
          <cell r="K27">
            <v>14.51</v>
          </cell>
          <cell r="Q27" t="str">
            <v>PAS - Produto Acabado em Sacos</v>
          </cell>
          <cell r="R27">
            <v>60</v>
          </cell>
        </row>
        <row r="28">
          <cell r="D28" t="str">
            <v>03P7518128</v>
          </cell>
          <cell r="K28">
            <v>15.09</v>
          </cell>
          <cell r="Q28" t="str">
            <v>PBT - Produto Acabado em Big Bag Tratado</v>
          </cell>
          <cell r="R28">
            <v>40</v>
          </cell>
        </row>
        <row r="29">
          <cell r="D29" t="str">
            <v>03P7550842</v>
          </cell>
          <cell r="K29">
            <v>15.09</v>
          </cell>
          <cell r="Q29" t="str">
            <v>PAS - Produto Acabado em Sacos</v>
          </cell>
          <cell r="R29">
            <v>60</v>
          </cell>
        </row>
        <row r="30">
          <cell r="D30" t="str">
            <v>03P7550845</v>
          </cell>
          <cell r="K30">
            <v>14.94</v>
          </cell>
          <cell r="Q30" t="str">
            <v>PAS - Produto Acabado em Sacos</v>
          </cell>
          <cell r="R30">
            <v>60</v>
          </cell>
        </row>
        <row r="31">
          <cell r="D31" t="str">
            <v>03P7518130</v>
          </cell>
          <cell r="K31">
            <v>14.94</v>
          </cell>
          <cell r="Q31" t="str">
            <v>PBT - Produto Acabado em Big Bag Tratado</v>
          </cell>
          <cell r="R31">
            <v>40</v>
          </cell>
        </row>
        <row r="32">
          <cell r="D32" t="str">
            <v>03P7518131</v>
          </cell>
          <cell r="K32">
            <v>15.04</v>
          </cell>
          <cell r="Q32" t="str">
            <v>PBT - Produto Acabado em Big Bag Tratado</v>
          </cell>
          <cell r="R32">
            <v>40</v>
          </cell>
        </row>
        <row r="33">
          <cell r="D33" t="str">
            <v>03P7550846</v>
          </cell>
          <cell r="K33">
            <v>15.04</v>
          </cell>
          <cell r="Q33" t="str">
            <v>PAS - Produto Acabado em Sacos</v>
          </cell>
          <cell r="R33">
            <v>60</v>
          </cell>
        </row>
        <row r="34">
          <cell r="D34" t="str">
            <v>03P7520939</v>
          </cell>
          <cell r="K34">
            <v>16.84</v>
          </cell>
          <cell r="Q34" t="str">
            <v>PAS - Produto Acabado em Sacos</v>
          </cell>
          <cell r="R34">
            <v>60</v>
          </cell>
        </row>
        <row r="35">
          <cell r="D35" t="str">
            <v>03P7518139</v>
          </cell>
          <cell r="K35">
            <v>16.84</v>
          </cell>
          <cell r="Q35" t="str">
            <v>PBT - Produto Acabado em Big Bag Tratado</v>
          </cell>
          <cell r="R35">
            <v>40</v>
          </cell>
        </row>
        <row r="36">
          <cell r="D36" t="str">
            <v>03P7518141</v>
          </cell>
          <cell r="K36">
            <v>17.46</v>
          </cell>
          <cell r="Q36" t="str">
            <v>PBT - Produto Acabado em Big Bag Tratado</v>
          </cell>
          <cell r="R36">
            <v>40</v>
          </cell>
        </row>
        <row r="37">
          <cell r="D37" t="str">
            <v>03P7550832</v>
          </cell>
          <cell r="K37">
            <v>17.46</v>
          </cell>
          <cell r="Q37" t="str">
            <v>PAS - Produto Acabado em Sacos</v>
          </cell>
          <cell r="R37">
            <v>60</v>
          </cell>
        </row>
        <row r="38">
          <cell r="D38" t="str">
            <v>03P7518192</v>
          </cell>
          <cell r="K38">
            <v>14.3</v>
          </cell>
          <cell r="Q38" t="str">
            <v>PBT - Produto Acabado em Big Bag Tratado</v>
          </cell>
          <cell r="R38">
            <v>40</v>
          </cell>
        </row>
        <row r="39">
          <cell r="D39" t="str">
            <v>03P7559900</v>
          </cell>
          <cell r="K39">
            <v>14.3</v>
          </cell>
          <cell r="Q39" t="str">
            <v>PAS - Produto Acabado em Sacos</v>
          </cell>
          <cell r="R39">
            <v>70</v>
          </cell>
        </row>
        <row r="40">
          <cell r="D40" t="str">
            <v>03P7518190</v>
          </cell>
          <cell r="K40">
            <v>14.71</v>
          </cell>
          <cell r="Q40" t="str">
            <v>PBT - Produto Acabado em Big Bag Tratado</v>
          </cell>
          <cell r="R40">
            <v>40</v>
          </cell>
        </row>
        <row r="41">
          <cell r="D41" t="str">
            <v>03P7520949</v>
          </cell>
          <cell r="K41">
            <v>14.71</v>
          </cell>
          <cell r="Q41" t="str">
            <v>PAS - Produto Acabado em Sacos</v>
          </cell>
          <cell r="R41">
            <v>60</v>
          </cell>
        </row>
        <row r="42">
          <cell r="D42" t="str">
            <v>03P7518195</v>
          </cell>
          <cell r="K42">
            <v>14.92</v>
          </cell>
          <cell r="Q42" t="str">
            <v>PBT - Produto Acabado em Big Bag Tratado</v>
          </cell>
          <cell r="R42">
            <v>40</v>
          </cell>
        </row>
        <row r="43">
          <cell r="D43" t="str">
            <v>03P7559901</v>
          </cell>
          <cell r="K43">
            <v>14.92</v>
          </cell>
          <cell r="Q43" t="str">
            <v>PAS - Produto Acabado em Sacos</v>
          </cell>
          <cell r="R43">
            <v>60</v>
          </cell>
        </row>
        <row r="44">
          <cell r="D44" t="str">
            <v>03P7518198</v>
          </cell>
          <cell r="K44">
            <v>16.53</v>
          </cell>
          <cell r="Q44" t="str">
            <v>PBT - Produto Acabado em Big Bag Tratado</v>
          </cell>
          <cell r="R44">
            <v>40</v>
          </cell>
        </row>
        <row r="45">
          <cell r="D45" t="str">
            <v>03P7559902</v>
          </cell>
          <cell r="K45">
            <v>16.53</v>
          </cell>
          <cell r="Q45" t="str">
            <v>PAS - Produto Acabado em Sacos</v>
          </cell>
          <cell r="R45">
            <v>60</v>
          </cell>
        </row>
        <row r="46">
          <cell r="D46" t="str">
            <v>03P7518215</v>
          </cell>
          <cell r="K46">
            <v>17.16</v>
          </cell>
          <cell r="Q46" t="str">
            <v>PBT - Produto Acabado em Big Bag Tratado</v>
          </cell>
          <cell r="R46">
            <v>40</v>
          </cell>
        </row>
        <row r="47">
          <cell r="D47" t="str">
            <v>03P7520956</v>
          </cell>
          <cell r="K47">
            <v>17.16</v>
          </cell>
          <cell r="Q47" t="str">
            <v>PAS - Produto Acabado em Sacos</v>
          </cell>
          <cell r="R47">
            <v>60</v>
          </cell>
        </row>
        <row r="48">
          <cell r="D48" t="str">
            <v>03P7518037</v>
          </cell>
          <cell r="K48">
            <v>20.99</v>
          </cell>
          <cell r="Q48" t="str">
            <v>PBT - Produto Acabado em Big Bag Tratado</v>
          </cell>
          <cell r="R48">
            <v>40</v>
          </cell>
        </row>
        <row r="49">
          <cell r="D49" t="str">
            <v>03P7520960</v>
          </cell>
          <cell r="K49">
            <v>20.99</v>
          </cell>
          <cell r="Q49" t="str">
            <v>PAS - Produto Acabado em Sacos</v>
          </cell>
          <cell r="R49">
            <v>45</v>
          </cell>
        </row>
        <row r="50">
          <cell r="D50" t="str">
            <v>03P7520886</v>
          </cell>
          <cell r="K50">
            <v>11.26</v>
          </cell>
          <cell r="Q50" t="str">
            <v>PAS - Produto Acabado em Sacos</v>
          </cell>
          <cell r="R50">
            <v>75</v>
          </cell>
        </row>
        <row r="51">
          <cell r="D51" t="str">
            <v>03P7520919</v>
          </cell>
          <cell r="K51">
            <v>12.19</v>
          </cell>
          <cell r="Q51" t="str">
            <v>PAS - Produto Acabado em Sacos</v>
          </cell>
          <cell r="R51">
            <v>75</v>
          </cell>
        </row>
        <row r="52">
          <cell r="D52" t="str">
            <v>03P7520924</v>
          </cell>
          <cell r="K52">
            <v>13.26</v>
          </cell>
          <cell r="Q52" t="str">
            <v>PAS - Produto Acabado em Sacos</v>
          </cell>
          <cell r="R52">
            <v>70</v>
          </cell>
        </row>
        <row r="53">
          <cell r="D53" t="str">
            <v>03P7518134</v>
          </cell>
          <cell r="K53">
            <v>14.79</v>
          </cell>
          <cell r="Q53" t="str">
            <v>PBT - Produto Acabado em Big Bag Tratado</v>
          </cell>
          <cell r="R53">
            <v>40</v>
          </cell>
        </row>
        <row r="54">
          <cell r="D54" t="str">
            <v>03P7559905</v>
          </cell>
          <cell r="K54">
            <v>14.79</v>
          </cell>
          <cell r="Q54" t="str">
            <v>PAS - Produto Acabado em Sacos</v>
          </cell>
          <cell r="R54">
            <v>60</v>
          </cell>
        </row>
        <row r="55">
          <cell r="D55" t="str">
            <v>03P7518145</v>
          </cell>
          <cell r="K55">
            <v>16.96</v>
          </cell>
          <cell r="Q55" t="str">
            <v>PBT - Produto Acabado em Big Bag Tratado</v>
          </cell>
          <cell r="R55">
            <v>40</v>
          </cell>
        </row>
        <row r="56">
          <cell r="D56" t="str">
            <v>03P7550834</v>
          </cell>
          <cell r="K56">
            <v>16.96</v>
          </cell>
          <cell r="Q56" t="str">
            <v>PAS - Produto Acabado em Sacos</v>
          </cell>
          <cell r="R56">
            <v>60</v>
          </cell>
        </row>
        <row r="57">
          <cell r="D57" t="str">
            <v>03P7518147</v>
          </cell>
          <cell r="K57">
            <v>17.32</v>
          </cell>
          <cell r="Q57" t="str">
            <v>PBT - Produto Acabado em Big Bag Tratado</v>
          </cell>
          <cell r="R57">
            <v>40</v>
          </cell>
        </row>
        <row r="58">
          <cell r="D58" t="str">
            <v>03P7559896</v>
          </cell>
          <cell r="K58">
            <v>17.32</v>
          </cell>
          <cell r="Q58" t="str">
            <v>PAS - Produto Acabado em Sacos</v>
          </cell>
          <cell r="R58">
            <v>60</v>
          </cell>
        </row>
        <row r="59">
          <cell r="D59" t="str">
            <v>03P7518148</v>
          </cell>
          <cell r="K59">
            <v>19.690000000000001</v>
          </cell>
          <cell r="Q59" t="str">
            <v>PBT - Produto Acabado em Big Bag Tratado</v>
          </cell>
          <cell r="R59">
            <v>40</v>
          </cell>
        </row>
        <row r="60">
          <cell r="D60" t="str">
            <v>03P7559903</v>
          </cell>
          <cell r="K60">
            <v>19.690000000000001</v>
          </cell>
          <cell r="Q60" t="str">
            <v>PAS - Produto Acabado em Sacos</v>
          </cell>
          <cell r="R60">
            <v>50</v>
          </cell>
        </row>
        <row r="61">
          <cell r="D61" t="str">
            <v>03P7520893</v>
          </cell>
          <cell r="K61">
            <v>13.3</v>
          </cell>
          <cell r="Q61" t="str">
            <v>PAS - Produto Acabado em Sacos</v>
          </cell>
          <cell r="R61">
            <v>70</v>
          </cell>
        </row>
        <row r="62">
          <cell r="D62" t="str">
            <v>03P7566291</v>
          </cell>
          <cell r="K62">
            <v>16.670000000000002</v>
          </cell>
          <cell r="Q62" t="str">
            <v>PAS - Produto Acabado em Sacos</v>
          </cell>
          <cell r="R62">
            <v>60</v>
          </cell>
        </row>
        <row r="63">
          <cell r="D63" t="str">
            <v>03P7518200</v>
          </cell>
          <cell r="K63">
            <v>16.670000000000002</v>
          </cell>
          <cell r="Q63" t="str">
            <v>PBT - Produto Acabado em Big Bag Tratado</v>
          </cell>
          <cell r="R63">
            <v>40</v>
          </cell>
        </row>
        <row r="64">
          <cell r="D64" t="str">
            <v>03P7518216</v>
          </cell>
          <cell r="K64">
            <v>19.2</v>
          </cell>
          <cell r="Q64" t="str">
            <v>PBT - Produto Acabado em Big Bag Tratado</v>
          </cell>
          <cell r="R64">
            <v>40</v>
          </cell>
        </row>
        <row r="65">
          <cell r="D65" t="str">
            <v>03P7566290</v>
          </cell>
          <cell r="K65">
            <v>19.2</v>
          </cell>
          <cell r="Q65" t="str">
            <v>PAS - Produto Acabado em Sacos</v>
          </cell>
          <cell r="R65">
            <v>50</v>
          </cell>
        </row>
        <row r="66">
          <cell r="D66" t="str">
            <v>03P7559911</v>
          </cell>
          <cell r="K66">
            <v>12.57</v>
          </cell>
          <cell r="Q66" t="str">
            <v>PAS - Produto Acabado em Sacos</v>
          </cell>
          <cell r="R66">
            <v>70</v>
          </cell>
        </row>
        <row r="67">
          <cell r="D67" t="str">
            <v>03P7559908</v>
          </cell>
          <cell r="K67">
            <v>14.97</v>
          </cell>
          <cell r="Q67" t="str">
            <v>PAS - Produto Acabado em Sacos</v>
          </cell>
          <cell r="R67">
            <v>60</v>
          </cell>
        </row>
        <row r="68">
          <cell r="D68" t="str">
            <v>03P7561715</v>
          </cell>
          <cell r="K68">
            <v>14.97</v>
          </cell>
          <cell r="Q68" t="str">
            <v>PBT - Produto Acabado em Big Bag Tratado</v>
          </cell>
          <cell r="R68">
            <v>40</v>
          </cell>
        </row>
        <row r="69">
          <cell r="D69" t="str">
            <v>03P7559910</v>
          </cell>
          <cell r="K69">
            <v>15</v>
          </cell>
          <cell r="Q69" t="str">
            <v>PAS - Produto Acabado em Sacos</v>
          </cell>
          <cell r="R69">
            <v>60</v>
          </cell>
        </row>
        <row r="70">
          <cell r="D70" t="str">
            <v>03P7561723</v>
          </cell>
          <cell r="K70">
            <v>15</v>
          </cell>
          <cell r="Q70" t="str">
            <v>PBT - Produto Acabado em Big Bag Tratado</v>
          </cell>
          <cell r="R70">
            <v>40</v>
          </cell>
        </row>
        <row r="71">
          <cell r="D71" t="str">
            <v>03P7561729</v>
          </cell>
          <cell r="K71">
            <v>17.47</v>
          </cell>
          <cell r="Q71" t="str">
            <v>PBT - Produto Acabado em Big Bag Tratado</v>
          </cell>
          <cell r="R71">
            <v>40</v>
          </cell>
        </row>
        <row r="72">
          <cell r="D72" t="str">
            <v>03P7566301</v>
          </cell>
          <cell r="K72">
            <v>17.47</v>
          </cell>
          <cell r="Q72" t="str">
            <v>PAS - Produto Acabado em Sacos</v>
          </cell>
          <cell r="R72">
            <v>60</v>
          </cell>
        </row>
        <row r="73">
          <cell r="D73" t="str">
            <v>03P7566302</v>
          </cell>
          <cell r="K73">
            <v>17.600000000000001</v>
          </cell>
          <cell r="Q73" t="str">
            <v>PAS - Produto Acabado em Sacos</v>
          </cell>
          <cell r="R73">
            <v>50</v>
          </cell>
        </row>
        <row r="74">
          <cell r="D74" t="str">
            <v>03P7561731</v>
          </cell>
          <cell r="K74">
            <v>17.600000000000001</v>
          </cell>
          <cell r="Q74" t="str">
            <v>PBT - Produto Acabado em Big Bag Tratado</v>
          </cell>
          <cell r="R74">
            <v>40</v>
          </cell>
        </row>
        <row r="75">
          <cell r="D75" t="str">
            <v>03P7518153</v>
          </cell>
          <cell r="K75">
            <v>19.91</v>
          </cell>
          <cell r="Q75" t="str">
            <v>PBT - Produto Acabado em Big Bag Tratado</v>
          </cell>
          <cell r="R75">
            <v>40</v>
          </cell>
        </row>
        <row r="76">
          <cell r="D76" t="str">
            <v>03P7559904</v>
          </cell>
          <cell r="K76">
            <v>19.91</v>
          </cell>
          <cell r="Q76" t="str">
            <v>PAS - Produto Acabado em Sacos</v>
          </cell>
          <cell r="R76">
            <v>45</v>
          </cell>
        </row>
        <row r="77">
          <cell r="D77" t="str">
            <v>03P7518156</v>
          </cell>
          <cell r="K77">
            <v>19.739999999999998</v>
          </cell>
          <cell r="Q77" t="str">
            <v>PBT - Produto Acabado em Big Bag Tratado</v>
          </cell>
          <cell r="R77">
            <v>40</v>
          </cell>
        </row>
        <row r="78">
          <cell r="D78" t="str">
            <v>03P7566289</v>
          </cell>
          <cell r="K78">
            <v>19.739999999999998</v>
          </cell>
          <cell r="Q78" t="str">
            <v>PAS - Produto Acabado em Sacos</v>
          </cell>
          <cell r="R78">
            <v>45</v>
          </cell>
        </row>
        <row r="79">
          <cell r="D79" t="str">
            <v>03P7566293</v>
          </cell>
          <cell r="K79">
            <v>19.7</v>
          </cell>
          <cell r="Q79" t="str">
            <v>PAS - Produto Acabado em Sacos</v>
          </cell>
          <cell r="R79">
            <v>50</v>
          </cell>
        </row>
        <row r="80">
          <cell r="D80" t="str">
            <v>03P7518161</v>
          </cell>
          <cell r="K80">
            <v>19.7</v>
          </cell>
          <cell r="Q80" t="str">
            <v>PBT - Produto Acabado em Big Bag Tratado</v>
          </cell>
          <cell r="R80">
            <v>40</v>
          </cell>
        </row>
        <row r="81">
          <cell r="D81" t="str">
            <v>03P7566341</v>
          </cell>
          <cell r="K81">
            <v>16.690000000000001</v>
          </cell>
          <cell r="Q81" t="str">
            <v>PAS - Produto Acabado em Sacos</v>
          </cell>
          <cell r="R81">
            <v>60</v>
          </cell>
        </row>
        <row r="82">
          <cell r="D82" t="str">
            <v>03P7518204</v>
          </cell>
          <cell r="K82">
            <v>16.690000000000001</v>
          </cell>
          <cell r="Q82" t="str">
            <v>PBT - Produto Acabado em Big Bag Tratado</v>
          </cell>
          <cell r="R82">
            <v>40</v>
          </cell>
        </row>
        <row r="83">
          <cell r="D83" t="str">
            <v>03P7566337</v>
          </cell>
          <cell r="K83">
            <v>18.920000000000002</v>
          </cell>
          <cell r="Q83" t="str">
            <v>PAS - Produto Acabado em Sacos</v>
          </cell>
          <cell r="R83">
            <v>50</v>
          </cell>
        </row>
        <row r="84">
          <cell r="D84" t="str">
            <v>03P7518218</v>
          </cell>
          <cell r="K84">
            <v>18.920000000000002</v>
          </cell>
          <cell r="Q84" t="str">
            <v>PBT - Produto Acabado em Big Bag Tratado</v>
          </cell>
          <cell r="R84">
            <v>40</v>
          </cell>
        </row>
        <row r="85">
          <cell r="D85" t="str">
            <v>03P7566336</v>
          </cell>
          <cell r="K85">
            <v>19.05</v>
          </cell>
          <cell r="Q85" t="str">
            <v>PAS - Produto Acabado em Sacos</v>
          </cell>
          <cell r="R85">
            <v>50</v>
          </cell>
        </row>
        <row r="86">
          <cell r="D86" t="str">
            <v>03P7518221</v>
          </cell>
          <cell r="K86">
            <v>19.05</v>
          </cell>
          <cell r="Q86" t="str">
            <v>PBT - Produto Acabado em Big Bag Tratado</v>
          </cell>
          <cell r="R86">
            <v>40</v>
          </cell>
        </row>
        <row r="87">
          <cell r="D87" t="str">
            <v>03P7520962</v>
          </cell>
          <cell r="K87">
            <v>22.38</v>
          </cell>
          <cell r="Q87" t="str">
            <v>PAS - Produto Acabado em Sacos</v>
          </cell>
          <cell r="R87">
            <v>45</v>
          </cell>
        </row>
        <row r="88">
          <cell r="D88" t="str">
            <v>03P7518229</v>
          </cell>
          <cell r="K88">
            <v>22.38</v>
          </cell>
          <cell r="Q88" t="str">
            <v>PBT - Produto Acabado em Big Bag Tratado</v>
          </cell>
          <cell r="R88">
            <v>40</v>
          </cell>
        </row>
        <row r="89">
          <cell r="D89" t="str">
            <v>03P7566369</v>
          </cell>
          <cell r="K89">
            <v>17.68</v>
          </cell>
          <cell r="Q89" t="str">
            <v>PBT - Produto Acabado em Big Bag Tratado</v>
          </cell>
          <cell r="R89">
            <v>40</v>
          </cell>
        </row>
        <row r="90">
          <cell r="D90" t="str">
            <v>03P7566351</v>
          </cell>
          <cell r="K90">
            <v>17.68</v>
          </cell>
          <cell r="Q90" t="str">
            <v>PAS - Produto Acabado em Sacos</v>
          </cell>
          <cell r="R90">
            <v>50</v>
          </cell>
        </row>
        <row r="91">
          <cell r="D91" t="str">
            <v>03P7566352</v>
          </cell>
          <cell r="K91">
            <v>17.68</v>
          </cell>
          <cell r="Q91" t="str">
            <v>PAS - Produto Acabado em Sacos</v>
          </cell>
          <cell r="R91">
            <v>50</v>
          </cell>
        </row>
        <row r="92">
          <cell r="D92" t="str">
            <v>03P7566370</v>
          </cell>
          <cell r="K92">
            <v>17.68</v>
          </cell>
          <cell r="Q92" t="str">
            <v>PBT - Produto Acabado em Big Bag Tratado</v>
          </cell>
          <cell r="R92">
            <v>40</v>
          </cell>
        </row>
        <row r="93">
          <cell r="D93" t="str">
            <v>03P7566353</v>
          </cell>
          <cell r="K93">
            <v>17.52</v>
          </cell>
          <cell r="Q93" t="str">
            <v>PAS - Produto Acabado em Sacos</v>
          </cell>
          <cell r="R93">
            <v>50</v>
          </cell>
        </row>
        <row r="94">
          <cell r="D94" t="str">
            <v>03P7566371</v>
          </cell>
          <cell r="K94">
            <v>17.52</v>
          </cell>
          <cell r="Q94" t="str">
            <v>PBT - Produto Acabado em Big Bag Tratado</v>
          </cell>
          <cell r="R94">
            <v>40</v>
          </cell>
        </row>
        <row r="95">
          <cell r="D95" t="str">
            <v>03P7566372</v>
          </cell>
          <cell r="K95">
            <v>17.27</v>
          </cell>
          <cell r="Q95" t="str">
            <v>PBT - Produto Acabado em Big Bag Tratado</v>
          </cell>
          <cell r="R95">
            <v>40</v>
          </cell>
        </row>
        <row r="96">
          <cell r="D96" t="str">
            <v>03P7566354</v>
          </cell>
          <cell r="K96">
            <v>17.27</v>
          </cell>
          <cell r="Q96" t="str">
            <v>PAS - Produto Acabado em Sacos</v>
          </cell>
          <cell r="R96">
            <v>60</v>
          </cell>
        </row>
        <row r="97">
          <cell r="D97" t="str">
            <v>03P7566373</v>
          </cell>
          <cell r="K97">
            <v>17.510000000000002</v>
          </cell>
          <cell r="Q97" t="str">
            <v>PBT - Produto Acabado em Big Bag Tratado</v>
          </cell>
          <cell r="R97">
            <v>40</v>
          </cell>
        </row>
        <row r="98">
          <cell r="D98" t="str">
            <v>03P7566355</v>
          </cell>
          <cell r="K98">
            <v>17.510000000000002</v>
          </cell>
          <cell r="Q98" t="str">
            <v>PAS - Produto Acabado em Sacos</v>
          </cell>
          <cell r="R98">
            <v>50</v>
          </cell>
        </row>
        <row r="99">
          <cell r="D99" t="str">
            <v>03P7573707</v>
          </cell>
          <cell r="K99">
            <v>17.23</v>
          </cell>
          <cell r="Q99" t="str">
            <v>PBT - Produto Acabado em Big Bag Tratado</v>
          </cell>
          <cell r="R99">
            <v>40</v>
          </cell>
        </row>
        <row r="100">
          <cell r="D100" t="str">
            <v>03P7566356</v>
          </cell>
          <cell r="K100">
            <v>17.23</v>
          </cell>
          <cell r="Q100" t="str">
            <v>PAS - Produto Acabado em Sacos</v>
          </cell>
          <cell r="R100">
            <v>60</v>
          </cell>
        </row>
        <row r="101">
          <cell r="D101" t="str">
            <v>03P7566294</v>
          </cell>
          <cell r="K101">
            <v>19.57</v>
          </cell>
          <cell r="Q101" t="str">
            <v>PAS - Produto Acabado em Sacos</v>
          </cell>
          <cell r="R101">
            <v>50</v>
          </cell>
        </row>
        <row r="102">
          <cell r="D102" t="str">
            <v>03P7566367</v>
          </cell>
          <cell r="K102">
            <v>19.57</v>
          </cell>
          <cell r="Q102" t="str">
            <v>PBT - Produto Acabado em Big Bag Tratado</v>
          </cell>
          <cell r="R102">
            <v>40</v>
          </cell>
        </row>
        <row r="103">
          <cell r="D103" t="str">
            <v>03P7566295</v>
          </cell>
          <cell r="K103">
            <v>19.57</v>
          </cell>
          <cell r="Q103" t="str">
            <v>PAS - Produto Acabado em Sacos</v>
          </cell>
          <cell r="R103">
            <v>50</v>
          </cell>
        </row>
        <row r="104">
          <cell r="D104" t="str">
            <v>03P7573703</v>
          </cell>
          <cell r="K104">
            <v>19.57</v>
          </cell>
          <cell r="Q104" t="str">
            <v>PBT - Produto Acabado em Big Bag Tratado</v>
          </cell>
          <cell r="R104">
            <v>40</v>
          </cell>
        </row>
        <row r="105">
          <cell r="D105" t="str">
            <v>03P7573704</v>
          </cell>
          <cell r="K105">
            <v>19.649999999999999</v>
          </cell>
          <cell r="Q105" t="str">
            <v>PBT - Produto Acabado em Big Bag Tratado</v>
          </cell>
          <cell r="R105">
            <v>40</v>
          </cell>
        </row>
        <row r="106">
          <cell r="D106" t="str">
            <v>03P7566297</v>
          </cell>
          <cell r="K106">
            <v>19.649999999999999</v>
          </cell>
          <cell r="Q106" t="str">
            <v>PAS - Produto Acabado em Sacos</v>
          </cell>
          <cell r="R106">
            <v>50</v>
          </cell>
        </row>
        <row r="107">
          <cell r="D107" t="str">
            <v>03P7573800</v>
          </cell>
          <cell r="K107">
            <v>14.19</v>
          </cell>
          <cell r="Q107" t="str">
            <v>PBT - Produto Acabado em Big Bag Tratado</v>
          </cell>
          <cell r="R107">
            <v>40</v>
          </cell>
        </row>
        <row r="108">
          <cell r="D108" t="str">
            <v>03P7569103</v>
          </cell>
          <cell r="K108">
            <v>14.19</v>
          </cell>
          <cell r="Q108" t="str">
            <v>PAS - Produto Acabado em Sacos</v>
          </cell>
          <cell r="R108">
            <v>70</v>
          </cell>
        </row>
        <row r="109">
          <cell r="D109" t="str">
            <v>03P7574612</v>
          </cell>
          <cell r="K109">
            <v>14.9</v>
          </cell>
          <cell r="Q109" t="str">
            <v>PBT - Produto Acabado em Big Bag Tratado</v>
          </cell>
          <cell r="R109">
            <v>40</v>
          </cell>
        </row>
        <row r="110">
          <cell r="D110" t="str">
            <v>03P7571358</v>
          </cell>
          <cell r="K110">
            <v>13.89</v>
          </cell>
          <cell r="Q110" t="str">
            <v>PAS - Produto Acabado em Sacos</v>
          </cell>
          <cell r="R110">
            <v>70</v>
          </cell>
        </row>
        <row r="111">
          <cell r="D111" t="str">
            <v>03P7571362</v>
          </cell>
          <cell r="K111">
            <v>13.85</v>
          </cell>
          <cell r="Q111" t="str">
            <v>PAS - Produto Acabado em Sacos</v>
          </cell>
          <cell r="R111">
            <v>70</v>
          </cell>
        </row>
        <row r="112">
          <cell r="D112" t="str">
            <v>03P7571366</v>
          </cell>
          <cell r="K112">
            <v>13.77</v>
          </cell>
          <cell r="Q112" t="str">
            <v>PAS - Produto Acabado em Sacos</v>
          </cell>
          <cell r="R112">
            <v>70</v>
          </cell>
        </row>
        <row r="113">
          <cell r="D113" t="str">
            <v>03P7571368</v>
          </cell>
          <cell r="K113">
            <v>13.8</v>
          </cell>
          <cell r="Q113" t="str">
            <v>PAS - Produto Acabado em Sacos</v>
          </cell>
          <cell r="R113">
            <v>70</v>
          </cell>
        </row>
        <row r="114">
          <cell r="D114" t="str">
            <v>03P7571346</v>
          </cell>
          <cell r="K114">
            <v>16.12</v>
          </cell>
          <cell r="Q114" t="str">
            <v>PAS - Produto Acabado em Sacos</v>
          </cell>
          <cell r="R114">
            <v>60</v>
          </cell>
        </row>
        <row r="115">
          <cell r="D115" t="str">
            <v>03P7571348</v>
          </cell>
          <cell r="K115">
            <v>15.86</v>
          </cell>
          <cell r="Q115" t="str">
            <v>PAS - Produto Acabado em Sacos</v>
          </cell>
          <cell r="R115">
            <v>60</v>
          </cell>
        </row>
        <row r="116">
          <cell r="D116" t="str">
            <v>03P7571516</v>
          </cell>
          <cell r="K116">
            <v>12.88</v>
          </cell>
          <cell r="Q116" t="str">
            <v>PAS - Produto Acabado em Sacos</v>
          </cell>
          <cell r="R116">
            <v>70</v>
          </cell>
        </row>
        <row r="117">
          <cell r="D117" t="str">
            <v>03P7571517</v>
          </cell>
          <cell r="K117">
            <v>12.62</v>
          </cell>
          <cell r="Q117" t="str">
            <v>PAS - Produto Acabado em Sacos</v>
          </cell>
          <cell r="R117">
            <v>70</v>
          </cell>
        </row>
        <row r="118">
          <cell r="D118" t="str">
            <v>03P7571369</v>
          </cell>
          <cell r="K118">
            <v>13.76</v>
          </cell>
          <cell r="Q118" t="str">
            <v>PAS - Produto Acabado em Sacos</v>
          </cell>
          <cell r="R118">
            <v>70</v>
          </cell>
        </row>
        <row r="119">
          <cell r="D119" t="str">
            <v>03P7571371</v>
          </cell>
          <cell r="K119">
            <v>13.57</v>
          </cell>
          <cell r="Q119" t="str">
            <v>PAS - Produto Acabado em Sacos</v>
          </cell>
          <cell r="R119">
            <v>70</v>
          </cell>
        </row>
        <row r="120">
          <cell r="D120" t="str">
            <v>03P7571347</v>
          </cell>
          <cell r="K120">
            <v>16.04</v>
          </cell>
          <cell r="Q120" t="str">
            <v>PAS - Produto Acabado em Sacos</v>
          </cell>
          <cell r="R120">
            <v>60</v>
          </cell>
        </row>
        <row r="121">
          <cell r="D121" t="str">
            <v>03P7571349</v>
          </cell>
          <cell r="K121">
            <v>16.05</v>
          </cell>
          <cell r="Q121" t="str">
            <v>PAS - Produto Acabado em Sacos</v>
          </cell>
          <cell r="R121">
            <v>60</v>
          </cell>
        </row>
        <row r="122">
          <cell r="D122" t="str">
            <v>03P7571350</v>
          </cell>
          <cell r="K122">
            <v>16.010000000000002</v>
          </cell>
          <cell r="Q122" t="str">
            <v>PAS - Produto Acabado em Sacos</v>
          </cell>
          <cell r="R122">
            <v>60</v>
          </cell>
        </row>
        <row r="123">
          <cell r="D123" t="str">
            <v>03P7571429</v>
          </cell>
          <cell r="K123">
            <v>12.39</v>
          </cell>
          <cell r="Q123" t="str">
            <v>PAS - Produto Acabado em Sacos</v>
          </cell>
          <cell r="R123">
            <v>75</v>
          </cell>
        </row>
        <row r="124">
          <cell r="D124" t="str">
            <v>03P7571430</v>
          </cell>
          <cell r="K124">
            <v>12.25</v>
          </cell>
          <cell r="Q124" t="str">
            <v>PAS - Produto Acabado em Sacos</v>
          </cell>
          <cell r="R124">
            <v>75</v>
          </cell>
        </row>
        <row r="125">
          <cell r="D125" t="str">
            <v>03P7571431</v>
          </cell>
          <cell r="K125">
            <v>12.14</v>
          </cell>
          <cell r="Q125" t="str">
            <v>PAS - Produto Acabado em Sacos</v>
          </cell>
          <cell r="R125">
            <v>75</v>
          </cell>
        </row>
        <row r="126">
          <cell r="D126" t="str">
            <v>03P7571413</v>
          </cell>
          <cell r="K126">
            <v>14.19</v>
          </cell>
          <cell r="Q126" t="str">
            <v>PAS - Produto Acabado em Sacos</v>
          </cell>
          <cell r="R126">
            <v>70</v>
          </cell>
        </row>
        <row r="127">
          <cell r="D127" t="str">
            <v>03P7571414</v>
          </cell>
          <cell r="K127">
            <v>14.06</v>
          </cell>
          <cell r="Q127" t="str">
            <v>PAS - Produto Acabado em Sacos</v>
          </cell>
          <cell r="R127">
            <v>70</v>
          </cell>
        </row>
        <row r="128">
          <cell r="D128" t="str">
            <v>03P7571419</v>
          </cell>
          <cell r="K128">
            <v>14.04</v>
          </cell>
          <cell r="Q128" t="str">
            <v>PAS - Produto Acabado em Sacos</v>
          </cell>
          <cell r="R128">
            <v>70</v>
          </cell>
        </row>
        <row r="129">
          <cell r="D129" t="str">
            <v>03P7571373</v>
          </cell>
          <cell r="K129">
            <v>13.68</v>
          </cell>
          <cell r="Q129" t="str">
            <v>PAS - Produto Acabado em Sacos</v>
          </cell>
          <cell r="R129">
            <v>70</v>
          </cell>
        </row>
        <row r="130">
          <cell r="D130" t="str">
            <v>03P7571374</v>
          </cell>
          <cell r="K130">
            <v>13.65</v>
          </cell>
          <cell r="Q130" t="str">
            <v>PAS - Produto Acabado em Sacos</v>
          </cell>
          <cell r="R130">
            <v>70</v>
          </cell>
        </row>
        <row r="131">
          <cell r="D131" t="str">
            <v>03P7571375</v>
          </cell>
          <cell r="K131">
            <v>13.59</v>
          </cell>
          <cell r="Q131" t="str">
            <v>PAS - Produto Acabado em Sacos</v>
          </cell>
          <cell r="R131">
            <v>70</v>
          </cell>
        </row>
        <row r="132">
          <cell r="D132" t="str">
            <v>03P7571376</v>
          </cell>
          <cell r="K132">
            <v>13.63</v>
          </cell>
          <cell r="Q132" t="str">
            <v>PAS - Produto Acabado em Sacos</v>
          </cell>
          <cell r="R132">
            <v>70</v>
          </cell>
        </row>
        <row r="133">
          <cell r="D133" t="str">
            <v>03P7571351</v>
          </cell>
          <cell r="K133">
            <v>15.87</v>
          </cell>
          <cell r="Q133" t="str">
            <v>PAS - Produto Acabado em Sacos</v>
          </cell>
          <cell r="R133">
            <v>60</v>
          </cell>
        </row>
        <row r="134">
          <cell r="D134" t="str">
            <v>03P7571352</v>
          </cell>
          <cell r="K134">
            <v>16.12</v>
          </cell>
          <cell r="Q134" t="str">
            <v>PAS - Produto Acabado em Sacos</v>
          </cell>
          <cell r="R134">
            <v>60</v>
          </cell>
        </row>
        <row r="135">
          <cell r="D135" t="str">
            <v>03P7571432</v>
          </cell>
          <cell r="K135">
            <v>12.17</v>
          </cell>
          <cell r="Q135" t="str">
            <v>PAS - Produto Acabado em Sacos</v>
          </cell>
          <cell r="R135">
            <v>75</v>
          </cell>
        </row>
        <row r="136">
          <cell r="D136" t="str">
            <v>03P7571422</v>
          </cell>
          <cell r="K136">
            <v>14.06</v>
          </cell>
          <cell r="Q136" t="str">
            <v>PAS - Produto Acabado em Sacos</v>
          </cell>
          <cell r="R136">
            <v>70</v>
          </cell>
        </row>
        <row r="137">
          <cell r="D137" t="str">
            <v>03P7571518</v>
          </cell>
          <cell r="K137">
            <v>12.56</v>
          </cell>
          <cell r="Q137" t="str">
            <v>PAS - Produto Acabado em Sacos</v>
          </cell>
          <cell r="R137">
            <v>70</v>
          </cell>
        </row>
        <row r="138">
          <cell r="D138" t="str">
            <v>03P7602423</v>
          </cell>
          <cell r="K138">
            <v>13.54</v>
          </cell>
          <cell r="Q138" t="str">
            <v>PAS - Produto Acabado em Sacos</v>
          </cell>
          <cell r="R138">
            <v>70</v>
          </cell>
        </row>
        <row r="139">
          <cell r="D139" t="str">
            <v>03P7571353</v>
          </cell>
          <cell r="K139">
            <v>16.29</v>
          </cell>
          <cell r="Q139" t="str">
            <v>PAS - Produto Acabado em Sacos</v>
          </cell>
          <cell r="R139">
            <v>60</v>
          </cell>
        </row>
        <row r="140">
          <cell r="D140" t="str">
            <v>03P7571433</v>
          </cell>
          <cell r="K140">
            <v>11.76</v>
          </cell>
          <cell r="Q140" t="str">
            <v>PAS - Produto Acabado em Sacos</v>
          </cell>
          <cell r="R140">
            <v>75</v>
          </cell>
        </row>
        <row r="141">
          <cell r="D141" t="str">
            <v>03P7571423</v>
          </cell>
          <cell r="K141">
            <v>14.23</v>
          </cell>
          <cell r="Q141" t="str">
            <v>PAS - Produto Acabado em Sacos</v>
          </cell>
          <cell r="R141">
            <v>70</v>
          </cell>
        </row>
        <row r="142">
          <cell r="D142" t="str">
            <v>03P7571391</v>
          </cell>
          <cell r="K142">
            <v>16.739999999999998</v>
          </cell>
          <cell r="Q142" t="str">
            <v>PAS - Produto Acabado em Sacos</v>
          </cell>
          <cell r="R142">
            <v>60</v>
          </cell>
        </row>
        <row r="143">
          <cell r="D143" t="str">
            <v>03P7600741</v>
          </cell>
          <cell r="K143">
            <v>13.74</v>
          </cell>
          <cell r="Q143" t="str">
            <v>PBT - Produto Acabado em Big Bag Tratado</v>
          </cell>
          <cell r="R143">
            <v>50</v>
          </cell>
        </row>
        <row r="144">
          <cell r="D144" t="str">
            <v>03P7609023</v>
          </cell>
          <cell r="K144">
            <v>13.74</v>
          </cell>
          <cell r="Q144" t="str">
            <v>PAS - Produto Acabado em Sacos</v>
          </cell>
          <cell r="R144">
            <v>70</v>
          </cell>
        </row>
        <row r="145">
          <cell r="D145" t="str">
            <v>03P7600823</v>
          </cell>
          <cell r="K145">
            <v>14.15</v>
          </cell>
          <cell r="Q145" t="str">
            <v>PBT - Produto Acabado em Big Bag Tratado</v>
          </cell>
          <cell r="R145">
            <v>50</v>
          </cell>
        </row>
        <row r="146">
          <cell r="D146" t="str">
            <v>03P7609117</v>
          </cell>
          <cell r="K146">
            <v>14.15</v>
          </cell>
          <cell r="Q146" t="str">
            <v>PAS - Produto Acabado em Sacos</v>
          </cell>
          <cell r="R146">
            <v>70</v>
          </cell>
        </row>
        <row r="147">
          <cell r="D147" t="str">
            <v>03P7609046</v>
          </cell>
          <cell r="K147">
            <v>15.2</v>
          </cell>
          <cell r="Q147" t="str">
            <v>PAS - Produto Acabado em Sacos</v>
          </cell>
          <cell r="R147">
            <v>60</v>
          </cell>
        </row>
        <row r="148">
          <cell r="D148" t="str">
            <v>03P7600705</v>
          </cell>
          <cell r="K148">
            <v>15.2</v>
          </cell>
          <cell r="Q148" t="str">
            <v>PBT - Produto Acabado em Big Bag Tratado</v>
          </cell>
          <cell r="R148">
            <v>50</v>
          </cell>
        </row>
        <row r="149">
          <cell r="D149" t="str">
            <v>03P7600730</v>
          </cell>
          <cell r="K149">
            <v>14.97</v>
          </cell>
          <cell r="Q149" t="str">
            <v>PBT - Produto Acabado em Big Bag Tratado</v>
          </cell>
          <cell r="R149">
            <v>50</v>
          </cell>
        </row>
        <row r="150">
          <cell r="D150" t="str">
            <v>03P7609050</v>
          </cell>
          <cell r="K150">
            <v>14.97</v>
          </cell>
          <cell r="Q150" t="str">
            <v>PAS - Produto Acabado em Sacos</v>
          </cell>
          <cell r="R150">
            <v>60</v>
          </cell>
        </row>
        <row r="151">
          <cell r="D151" t="str">
            <v>03P7600779</v>
          </cell>
          <cell r="K151">
            <v>13.57</v>
          </cell>
          <cell r="Q151" t="str">
            <v>PBT - Produto Acabado em Big Bag Tratado</v>
          </cell>
          <cell r="R151">
            <v>50</v>
          </cell>
        </row>
        <row r="152">
          <cell r="D152" t="str">
            <v>03P7609082</v>
          </cell>
          <cell r="K152">
            <v>13.57</v>
          </cell>
          <cell r="Q152" t="str">
            <v>PAS - Produto Acabado em Sacos</v>
          </cell>
          <cell r="R152">
            <v>70</v>
          </cell>
        </row>
        <row r="153">
          <cell r="D153" t="str">
            <v>03P7609089</v>
          </cell>
          <cell r="K153">
            <v>13.53</v>
          </cell>
          <cell r="Q153" t="str">
            <v>PAS - Produto Acabado em Sacos</v>
          </cell>
          <cell r="R153">
            <v>70</v>
          </cell>
        </row>
        <row r="154">
          <cell r="D154" t="str">
            <v>03P7600780</v>
          </cell>
          <cell r="K154">
            <v>13.53</v>
          </cell>
          <cell r="Q154" t="str">
            <v>PBT - Produto Acabado em Big Bag Tratado</v>
          </cell>
          <cell r="R154">
            <v>50</v>
          </cell>
        </row>
        <row r="155">
          <cell r="D155" t="str">
            <v>03P7609093</v>
          </cell>
          <cell r="K155">
            <v>13.61</v>
          </cell>
          <cell r="Q155" t="str">
            <v>PAS - Produto Acabado em Sacos</v>
          </cell>
          <cell r="R155">
            <v>70</v>
          </cell>
        </row>
        <row r="156">
          <cell r="D156" t="str">
            <v>03P7600782</v>
          </cell>
          <cell r="K156">
            <v>13.61</v>
          </cell>
          <cell r="Q156" t="str">
            <v>PBT - Produto Acabado em Big Bag Tratado</v>
          </cell>
          <cell r="R156">
            <v>50</v>
          </cell>
        </row>
        <row r="157">
          <cell r="D157" t="str">
            <v>03P7600784</v>
          </cell>
          <cell r="K157">
            <v>13.48</v>
          </cell>
          <cell r="Q157" t="str">
            <v>PBT - Produto Acabado em Big Bag Tratado</v>
          </cell>
          <cell r="R157">
            <v>50</v>
          </cell>
        </row>
        <row r="158">
          <cell r="D158" t="str">
            <v>03P7609094</v>
          </cell>
          <cell r="K158">
            <v>13.48</v>
          </cell>
          <cell r="Q158" t="str">
            <v>PAS - Produto Acabado em Sacos</v>
          </cell>
          <cell r="R158">
            <v>70</v>
          </cell>
        </row>
        <row r="159">
          <cell r="D159" t="str">
            <v>03P7600765</v>
          </cell>
          <cell r="K159">
            <v>15.13</v>
          </cell>
          <cell r="Q159" t="str">
            <v>PBT - Produto Acabado em Big Bag Tratado</v>
          </cell>
          <cell r="R159">
            <v>50</v>
          </cell>
        </row>
        <row r="160">
          <cell r="D160" t="str">
            <v>03P7609070</v>
          </cell>
          <cell r="K160">
            <v>15.13</v>
          </cell>
          <cell r="Q160" t="str">
            <v>PAS - Produto Acabado em Sacos</v>
          </cell>
          <cell r="R160">
            <v>60</v>
          </cell>
        </row>
        <row r="161">
          <cell r="D161" t="str">
            <v>03P7600766</v>
          </cell>
          <cell r="K161">
            <v>14.97</v>
          </cell>
          <cell r="Q161" t="str">
            <v>PBT - Produto Acabado em Big Bag Tratado</v>
          </cell>
          <cell r="R161">
            <v>50</v>
          </cell>
        </row>
        <row r="162">
          <cell r="D162" t="str">
            <v>03P7609071</v>
          </cell>
          <cell r="K162">
            <v>14.97</v>
          </cell>
          <cell r="Q162" t="str">
            <v>PAS - Produto Acabado em Sacos</v>
          </cell>
          <cell r="R162">
            <v>60</v>
          </cell>
        </row>
        <row r="163">
          <cell r="D163" t="str">
            <v>03P7609073</v>
          </cell>
          <cell r="K163">
            <v>15.06</v>
          </cell>
          <cell r="Q163" t="str">
            <v>PAS - Produto Acabado em Sacos</v>
          </cell>
          <cell r="R163">
            <v>60</v>
          </cell>
        </row>
        <row r="164">
          <cell r="D164" t="str">
            <v>03P7600767</v>
          </cell>
          <cell r="K164">
            <v>15.06</v>
          </cell>
          <cell r="Q164" t="str">
            <v>PBT - Produto Acabado em Big Bag Tratado</v>
          </cell>
          <cell r="R164">
            <v>50</v>
          </cell>
        </row>
        <row r="165">
          <cell r="D165" t="str">
            <v>03P7609075</v>
          </cell>
          <cell r="K165">
            <v>14.96</v>
          </cell>
          <cell r="Q165" t="str">
            <v>PAS - Produto Acabado em Sacos</v>
          </cell>
          <cell r="R165">
            <v>60</v>
          </cell>
        </row>
        <row r="166">
          <cell r="D166" t="str">
            <v>03P7600768</v>
          </cell>
          <cell r="K166">
            <v>14.96</v>
          </cell>
          <cell r="Q166" t="str">
            <v>PBT - Produto Acabado em Big Bag Tratado</v>
          </cell>
          <cell r="R166">
            <v>50</v>
          </cell>
        </row>
        <row r="167">
          <cell r="D167" t="str">
            <v>03P7609055</v>
          </cell>
          <cell r="K167">
            <v>13.49</v>
          </cell>
          <cell r="Q167" t="str">
            <v>PAS - Produto Acabado em Sacos</v>
          </cell>
          <cell r="R167">
            <v>70</v>
          </cell>
        </row>
        <row r="168">
          <cell r="D168" t="str">
            <v>03P7600742</v>
          </cell>
          <cell r="K168">
            <v>13.49</v>
          </cell>
          <cell r="Q168" t="str">
            <v>PBT - Produto Acabado em Big Bag Tratado</v>
          </cell>
          <cell r="R168">
            <v>50</v>
          </cell>
        </row>
        <row r="169">
          <cell r="D169" t="str">
            <v>03P7600718</v>
          </cell>
          <cell r="K169">
            <v>17.260000000000002</v>
          </cell>
          <cell r="Q169" t="str">
            <v>PBT - Produto Acabado em Big Bag Tratado</v>
          </cell>
          <cell r="R169">
            <v>50</v>
          </cell>
        </row>
        <row r="170">
          <cell r="D170" t="str">
            <v>03P7609035</v>
          </cell>
          <cell r="K170">
            <v>17.260000000000002</v>
          </cell>
          <cell r="Q170" t="str">
            <v>PAS - Produto Acabado em Sacos</v>
          </cell>
          <cell r="R170">
            <v>60</v>
          </cell>
        </row>
        <row r="171">
          <cell r="D171" t="str">
            <v>03P7609095</v>
          </cell>
          <cell r="K171">
            <v>13.76</v>
          </cell>
          <cell r="Q171" t="str">
            <v>PAS - Produto Acabado em Sacos</v>
          </cell>
          <cell r="R171">
            <v>70</v>
          </cell>
        </row>
        <row r="172">
          <cell r="D172" t="str">
            <v>03P7600785</v>
          </cell>
          <cell r="K172">
            <v>13.76</v>
          </cell>
          <cell r="Q172" t="str">
            <v>PBT - Produto Acabado em Big Bag Tratado</v>
          </cell>
          <cell r="R172">
            <v>50</v>
          </cell>
        </row>
        <row r="173">
          <cell r="D173" t="str">
            <v>03P7600752</v>
          </cell>
          <cell r="K173">
            <v>16.690000000000001</v>
          </cell>
          <cell r="Q173" t="str">
            <v>PBT - Produto Acabado em Big Bag Tratado</v>
          </cell>
          <cell r="R173">
            <v>50</v>
          </cell>
        </row>
        <row r="174">
          <cell r="D174" t="str">
            <v>03P7609063</v>
          </cell>
          <cell r="K174">
            <v>16.690000000000001</v>
          </cell>
          <cell r="Q174" t="str">
            <v>PAS - Produto Acabado em Sacos</v>
          </cell>
          <cell r="R174">
            <v>60</v>
          </cell>
        </row>
        <row r="175">
          <cell r="D175" t="str">
            <v>03P7614093</v>
          </cell>
          <cell r="K175">
            <v>12.44</v>
          </cell>
          <cell r="Q175" t="str">
            <v>PAS - Produto Acabado em Sacos</v>
          </cell>
          <cell r="R175">
            <v>75</v>
          </cell>
        </row>
        <row r="176">
          <cell r="D176" t="str">
            <v>03P7614756</v>
          </cell>
          <cell r="K176">
            <v>12.33</v>
          </cell>
          <cell r="Q176" t="str">
            <v>PAS - Produto Acabado em Sacos</v>
          </cell>
          <cell r="R176">
            <v>75</v>
          </cell>
        </row>
        <row r="177">
          <cell r="D177" t="str">
            <v>03P7616361</v>
          </cell>
          <cell r="K177">
            <v>12.4</v>
          </cell>
          <cell r="Q177" t="str">
            <v>PAS - Produto Acabado em Sacos</v>
          </cell>
          <cell r="R177">
            <v>75</v>
          </cell>
        </row>
        <row r="178">
          <cell r="D178" t="str">
            <v>03P7616583</v>
          </cell>
          <cell r="K178">
            <v>11.32</v>
          </cell>
          <cell r="Q178" t="str">
            <v>PAS - Produto Acabado em Sacos</v>
          </cell>
          <cell r="R178">
            <v>75</v>
          </cell>
        </row>
        <row r="179">
          <cell r="D179" t="str">
            <v>03P7600731</v>
          </cell>
          <cell r="K179">
            <v>14.97</v>
          </cell>
          <cell r="Q179" t="str">
            <v>PBT - Produto Acabado em Big Bag Tratado</v>
          </cell>
          <cell r="R179">
            <v>50</v>
          </cell>
        </row>
        <row r="180">
          <cell r="D180" t="str">
            <v>05P7626459</v>
          </cell>
          <cell r="K180">
            <v>17.97</v>
          </cell>
          <cell r="Q180" t="str">
            <v>PAS - Produto Acabado em Sacos</v>
          </cell>
          <cell r="R180">
            <v>50</v>
          </cell>
        </row>
        <row r="181">
          <cell r="D181" t="str">
            <v>05P7622520</v>
          </cell>
          <cell r="K181">
            <v>17.97</v>
          </cell>
          <cell r="Q181" t="str">
            <v>PBT - Produto Acabado em Big Bag Tratado</v>
          </cell>
          <cell r="R181">
            <v>40</v>
          </cell>
        </row>
        <row r="182">
          <cell r="D182" t="str">
            <v>05P7622521</v>
          </cell>
          <cell r="K182">
            <v>18.010000000000002</v>
          </cell>
          <cell r="Q182" t="str">
            <v>PBT - Produto Acabado em Big Bag Tratado</v>
          </cell>
          <cell r="R182">
            <v>40</v>
          </cell>
        </row>
        <row r="183">
          <cell r="D183" t="str">
            <v>05P7626460</v>
          </cell>
          <cell r="K183">
            <v>18.010000000000002</v>
          </cell>
          <cell r="Q183" t="str">
            <v>PAS - Produto Acabado em Sacos</v>
          </cell>
          <cell r="R183">
            <v>50</v>
          </cell>
        </row>
        <row r="184">
          <cell r="D184" t="str">
            <v>05P7626461</v>
          </cell>
          <cell r="K184">
            <v>18.010000000000002</v>
          </cell>
          <cell r="Q184" t="str">
            <v>PAS - Produto Acabado em Sacos</v>
          </cell>
          <cell r="R184">
            <v>50</v>
          </cell>
        </row>
        <row r="185">
          <cell r="D185" t="str">
            <v>05P7622522</v>
          </cell>
          <cell r="K185">
            <v>18.010000000000002</v>
          </cell>
          <cell r="Q185" t="str">
            <v>PBT - Produto Acabado em Big Bag Tratado</v>
          </cell>
          <cell r="R185">
            <v>40</v>
          </cell>
        </row>
        <row r="186">
          <cell r="D186" t="str">
            <v>05P7622510</v>
          </cell>
          <cell r="K186">
            <v>20.23</v>
          </cell>
          <cell r="Q186" t="str">
            <v>PBT - Produto Acabado em Big Bag Tratado</v>
          </cell>
          <cell r="R186">
            <v>40</v>
          </cell>
        </row>
        <row r="187">
          <cell r="D187" t="str">
            <v>05P7626451</v>
          </cell>
          <cell r="K187">
            <v>20.23</v>
          </cell>
          <cell r="Q187" t="str">
            <v>PAS - Produto Acabado em Sacos</v>
          </cell>
          <cell r="R187">
            <v>45</v>
          </cell>
        </row>
        <row r="188">
          <cell r="D188" t="str">
            <v>05P7622511</v>
          </cell>
          <cell r="K188">
            <v>20.329999999999998</v>
          </cell>
          <cell r="Q188" t="str">
            <v>PBT - Produto Acabado em Big Bag Tratado</v>
          </cell>
          <cell r="R188">
            <v>40</v>
          </cell>
        </row>
        <row r="189">
          <cell r="D189" t="str">
            <v>05P7626450</v>
          </cell>
          <cell r="K189">
            <v>20.329999999999998</v>
          </cell>
          <cell r="Q189" t="str">
            <v>PAS - Produto Acabado em Sacos</v>
          </cell>
          <cell r="R189">
            <v>50</v>
          </cell>
        </row>
        <row r="190">
          <cell r="D190" t="str">
            <v>05P7626455</v>
          </cell>
          <cell r="K190">
            <v>20.22</v>
          </cell>
          <cell r="Q190" t="str">
            <v>PAS - Produto Acabado em Sacos</v>
          </cell>
          <cell r="R190">
            <v>45</v>
          </cell>
        </row>
        <row r="191">
          <cell r="D191" t="str">
            <v>05P7622512</v>
          </cell>
          <cell r="K191">
            <v>20.22</v>
          </cell>
          <cell r="Q191" t="str">
            <v>PBT - Produto Acabado em Big Bag Tratado</v>
          </cell>
          <cell r="R191">
            <v>40</v>
          </cell>
        </row>
        <row r="192">
          <cell r="D192" t="str">
            <v>05P7626424</v>
          </cell>
          <cell r="K192">
            <v>19.690000000000001</v>
          </cell>
          <cell r="Q192" t="str">
            <v>PAS - Produto Acabado em Sacos</v>
          </cell>
          <cell r="R192">
            <v>50</v>
          </cell>
        </row>
        <row r="193">
          <cell r="D193" t="str">
            <v>05P7622450</v>
          </cell>
          <cell r="K193">
            <v>19.690000000000001</v>
          </cell>
          <cell r="Q193" t="str">
            <v>PBT - Produto Acabado em Big Bag Tratado</v>
          </cell>
          <cell r="R193">
            <v>40</v>
          </cell>
        </row>
        <row r="194">
          <cell r="D194" t="str">
            <v>05P7626423</v>
          </cell>
          <cell r="K194">
            <v>19.86</v>
          </cell>
          <cell r="Q194" t="str">
            <v>PAS - Produto Acabado em Sacos</v>
          </cell>
          <cell r="R194">
            <v>45</v>
          </cell>
        </row>
        <row r="195">
          <cell r="D195" t="str">
            <v>05P7622449</v>
          </cell>
          <cell r="K195">
            <v>19.86</v>
          </cell>
          <cell r="Q195" t="str">
            <v>PBT - Produto Acabado em Big Bag Tratado</v>
          </cell>
          <cell r="R195">
            <v>40</v>
          </cell>
        </row>
        <row r="196">
          <cell r="D196" t="str">
            <v>05P7626462</v>
          </cell>
          <cell r="K196">
            <v>18.149999999999999</v>
          </cell>
          <cell r="Q196" t="str">
            <v>PAS - Produto Acabado em Sacos</v>
          </cell>
          <cell r="R196">
            <v>50</v>
          </cell>
        </row>
        <row r="197">
          <cell r="D197" t="str">
            <v>05P7622525</v>
          </cell>
          <cell r="K197">
            <v>18.149999999999999</v>
          </cell>
          <cell r="Q197" t="str">
            <v>PBT - Produto Acabado em Big Bag Tratado</v>
          </cell>
          <cell r="R197">
            <v>40</v>
          </cell>
        </row>
        <row r="198">
          <cell r="D198" t="str">
            <v>05P7626452</v>
          </cell>
          <cell r="K198">
            <v>20.079999999999998</v>
          </cell>
          <cell r="Q198" t="str">
            <v>PAS - Produto Acabado em Sacos</v>
          </cell>
          <cell r="R198">
            <v>45</v>
          </cell>
        </row>
        <row r="199">
          <cell r="D199" t="str">
            <v>05P7622513</v>
          </cell>
          <cell r="K199">
            <v>20.079999999999998</v>
          </cell>
          <cell r="Q199" t="str">
            <v>PBT - Produto Acabado em Big Bag Tratado</v>
          </cell>
          <cell r="R199">
            <v>40</v>
          </cell>
        </row>
        <row r="200">
          <cell r="D200" t="str">
            <v>05P7626429</v>
          </cell>
          <cell r="K200">
            <v>17.46</v>
          </cell>
          <cell r="Q200" t="str">
            <v>PAS - Produto Acabado em Sacos</v>
          </cell>
          <cell r="R200">
            <v>60</v>
          </cell>
        </row>
        <row r="201">
          <cell r="D201" t="str">
            <v>05P7622468</v>
          </cell>
          <cell r="K201">
            <v>17.46</v>
          </cell>
          <cell r="Q201" t="str">
            <v>PBT - Produto Acabado em Big Bag Tratado</v>
          </cell>
          <cell r="R201">
            <v>40</v>
          </cell>
        </row>
        <row r="202">
          <cell r="D202" t="str">
            <v>05P7626464</v>
          </cell>
          <cell r="K202">
            <v>18.22</v>
          </cell>
          <cell r="Q202" t="str">
            <v>PAS - Produto Acabado em Sacos</v>
          </cell>
          <cell r="R202">
            <v>50</v>
          </cell>
        </row>
        <row r="203">
          <cell r="D203" t="str">
            <v>05P7622528</v>
          </cell>
          <cell r="K203">
            <v>18.22</v>
          </cell>
          <cell r="Q203" t="str">
            <v>PBT - Produto Acabado em Big Bag Tratado</v>
          </cell>
          <cell r="R203">
            <v>40</v>
          </cell>
        </row>
        <row r="204">
          <cell r="D204" t="str">
            <v>05P7626426</v>
          </cell>
          <cell r="K204">
            <v>19.82</v>
          </cell>
          <cell r="Q204" t="str">
            <v>PAS - Produto Acabado em Sacos</v>
          </cell>
          <cell r="R204">
            <v>45</v>
          </cell>
        </row>
        <row r="205">
          <cell r="D205" t="str">
            <v>05P7622451</v>
          </cell>
          <cell r="K205">
            <v>19.82</v>
          </cell>
          <cell r="Q205" t="str">
            <v>PBT - Produto Acabado em Big Bag Tratado</v>
          </cell>
          <cell r="R205">
            <v>40</v>
          </cell>
        </row>
        <row r="206">
          <cell r="D206" t="str">
            <v>05P7626478</v>
          </cell>
          <cell r="K206">
            <v>18.28</v>
          </cell>
          <cell r="Q206" t="str">
            <v>PAS - Produto Acabado em Sacos</v>
          </cell>
          <cell r="R206">
            <v>50</v>
          </cell>
        </row>
        <row r="207">
          <cell r="D207" t="str">
            <v>05P7622557</v>
          </cell>
          <cell r="K207">
            <v>18.28</v>
          </cell>
          <cell r="Q207" t="str">
            <v>PBT - Produto Acabado em Big Bag Tratado</v>
          </cell>
          <cell r="R207">
            <v>40</v>
          </cell>
        </row>
        <row r="208">
          <cell r="D208" t="str">
            <v>05P7626458</v>
          </cell>
          <cell r="K208">
            <v>20.329999999999998</v>
          </cell>
          <cell r="Q208" t="str">
            <v>PAS - Produto Acabado em Sacos</v>
          </cell>
          <cell r="R208">
            <v>45</v>
          </cell>
        </row>
        <row r="209">
          <cell r="D209" t="str">
            <v>05P7622514</v>
          </cell>
          <cell r="K209">
            <v>20.329999999999998</v>
          </cell>
          <cell r="Q209" t="str">
            <v>PBT - Produto Acabado em Big Bag Tratado</v>
          </cell>
          <cell r="R209">
            <v>40</v>
          </cell>
        </row>
        <row r="210">
          <cell r="D210" t="str">
            <v>05P7643440</v>
          </cell>
          <cell r="K210">
            <v>19.8</v>
          </cell>
          <cell r="Q210" t="str">
            <v>PAS - Produto Acabado em Sacos</v>
          </cell>
          <cell r="R210">
            <v>45</v>
          </cell>
        </row>
        <row r="211">
          <cell r="D211" t="str">
            <v>05P7622515</v>
          </cell>
          <cell r="K211">
            <v>19.8</v>
          </cell>
          <cell r="Q211" t="str">
            <v>PBT - Produto Acabado em Big Bag Tratado</v>
          </cell>
          <cell r="R211">
            <v>40</v>
          </cell>
        </row>
        <row r="212">
          <cell r="D212" t="str">
            <v>05P7643456</v>
          </cell>
          <cell r="K212">
            <v>17.690000000000001</v>
          </cell>
          <cell r="Q212" t="str">
            <v>PAS - Produto Acabado em Sacos</v>
          </cell>
          <cell r="R212">
            <v>50</v>
          </cell>
        </row>
        <row r="213">
          <cell r="D213" t="str">
            <v>05P7622532</v>
          </cell>
          <cell r="K213">
            <v>17.690000000000001</v>
          </cell>
          <cell r="Q213" t="str">
            <v>PBT - Produto Acabado em Big Bag Tratado</v>
          </cell>
          <cell r="R213">
            <v>40</v>
          </cell>
        </row>
        <row r="214">
          <cell r="D214" t="str">
            <v>05P7626427</v>
          </cell>
          <cell r="K214">
            <v>19.649999999999999</v>
          </cell>
          <cell r="Q214" t="str">
            <v>PAS - Produto Acabado em Sacos</v>
          </cell>
          <cell r="R214">
            <v>50</v>
          </cell>
        </row>
        <row r="215">
          <cell r="D215" t="str">
            <v>05P7622452</v>
          </cell>
          <cell r="K215">
            <v>19.649999999999999</v>
          </cell>
          <cell r="Q215" t="str">
            <v>PBT - Produto Acabado em Big Bag Tratado</v>
          </cell>
          <cell r="R215">
            <v>40</v>
          </cell>
        </row>
        <row r="216">
          <cell r="D216" t="str">
            <v>05P7643458</v>
          </cell>
          <cell r="K216">
            <v>17.78</v>
          </cell>
          <cell r="Q216" t="str">
            <v>PAS - Produto Acabado em Sacos</v>
          </cell>
          <cell r="R216">
            <v>50</v>
          </cell>
        </row>
        <row r="217">
          <cell r="D217" t="str">
            <v>05P7622533</v>
          </cell>
          <cell r="K217">
            <v>17.78</v>
          </cell>
          <cell r="Q217" t="str">
            <v>PBT - Produto Acabado em Big Bag Tratado</v>
          </cell>
          <cell r="R217">
            <v>40</v>
          </cell>
        </row>
        <row r="218">
          <cell r="D218" t="str">
            <v>05P7626428</v>
          </cell>
          <cell r="K218">
            <v>19.510000000000002</v>
          </cell>
          <cell r="Q218" t="str">
            <v>PAS - Produto Acabado em Sacos</v>
          </cell>
          <cell r="R218">
            <v>50</v>
          </cell>
        </row>
        <row r="219">
          <cell r="D219" t="str">
            <v>05P7622453</v>
          </cell>
          <cell r="K219">
            <v>19.510000000000002</v>
          </cell>
          <cell r="Q219" t="str">
            <v>PBT - Produto Acabado em Big Bag Tratado</v>
          </cell>
          <cell r="R219">
            <v>40</v>
          </cell>
        </row>
        <row r="220">
          <cell r="D220" t="str">
            <v>05P7643441</v>
          </cell>
          <cell r="K220">
            <v>19.87</v>
          </cell>
          <cell r="Q220" t="str">
            <v>PAS - Produto Acabado em Sacos</v>
          </cell>
          <cell r="R220">
            <v>45</v>
          </cell>
        </row>
        <row r="221">
          <cell r="D221" t="str">
            <v>05P7622518</v>
          </cell>
          <cell r="K221">
            <v>19.87</v>
          </cell>
          <cell r="Q221" t="str">
            <v>PBT - Produto Acabado em Big Bag Tratado</v>
          </cell>
          <cell r="R221">
            <v>40</v>
          </cell>
        </row>
        <row r="222">
          <cell r="D222" t="str">
            <v>05P7622516</v>
          </cell>
          <cell r="K222">
            <v>19.87</v>
          </cell>
          <cell r="Q222" t="str">
            <v>PBT - Produto Acabado em Big Bag Tratado</v>
          </cell>
          <cell r="R222">
            <v>40</v>
          </cell>
        </row>
        <row r="223">
          <cell r="D223" t="str">
            <v>05P7643448</v>
          </cell>
          <cell r="K223">
            <v>19.96</v>
          </cell>
          <cell r="Q223" t="str">
            <v>PAS - Produto Acabado em Sacos</v>
          </cell>
          <cell r="R223">
            <v>45</v>
          </cell>
        </row>
        <row r="224">
          <cell r="D224" t="str">
            <v>05P7622517</v>
          </cell>
          <cell r="K224">
            <v>19.96</v>
          </cell>
          <cell r="Q224" t="str">
            <v>PBT - Produto Acabado em Big Bag Tratado</v>
          </cell>
          <cell r="R224">
            <v>40</v>
          </cell>
        </row>
        <row r="225">
          <cell r="D225" t="str">
            <v>05P7626435</v>
          </cell>
          <cell r="K225">
            <v>15.56</v>
          </cell>
          <cell r="Q225" t="str">
            <v>PAS - Produto Acabado em Sacos</v>
          </cell>
          <cell r="R225">
            <v>60</v>
          </cell>
        </row>
        <row r="226">
          <cell r="D226" t="str">
            <v>05P7622470</v>
          </cell>
          <cell r="K226">
            <v>15.56</v>
          </cell>
          <cell r="Q226" t="str">
            <v>PBT - Produto Acabado em Big Bag Tratado</v>
          </cell>
          <cell r="R226">
            <v>40</v>
          </cell>
        </row>
        <row r="227">
          <cell r="D227" t="str">
            <v>05P7626432</v>
          </cell>
          <cell r="K227">
            <v>17.27</v>
          </cell>
          <cell r="Q227" t="str">
            <v>PAS - Produto Acabado em Sacos</v>
          </cell>
          <cell r="R227">
            <v>60</v>
          </cell>
        </row>
        <row r="228">
          <cell r="D228" t="str">
            <v>05P7622469</v>
          </cell>
          <cell r="K228">
            <v>17.27</v>
          </cell>
          <cell r="Q228" t="str">
            <v>PBT - Produto Acabado em Big Bag Tratado</v>
          </cell>
          <cell r="R228">
            <v>40</v>
          </cell>
        </row>
        <row r="229">
          <cell r="D229" t="str">
            <v>05P7622560</v>
          </cell>
          <cell r="K229">
            <v>18.149999999999999</v>
          </cell>
          <cell r="Q229" t="str">
            <v>PBT - Produto Acabado em Big Bag Tratado</v>
          </cell>
          <cell r="R229">
            <v>40</v>
          </cell>
        </row>
        <row r="230">
          <cell r="D230" t="str">
            <v>05P7626476</v>
          </cell>
          <cell r="K230">
            <v>18.149999999999999</v>
          </cell>
          <cell r="Q230" t="str">
            <v>PAS - Produto Acabado em Sacos</v>
          </cell>
          <cell r="R230">
            <v>50</v>
          </cell>
        </row>
        <row r="231">
          <cell r="D231" t="str">
            <v>05P7622455</v>
          </cell>
          <cell r="K231">
            <v>19.47</v>
          </cell>
          <cell r="Q231" t="str">
            <v>PBT - Produto Acabado em Big Bag Tratado</v>
          </cell>
          <cell r="R231">
            <v>40</v>
          </cell>
        </row>
        <row r="232">
          <cell r="D232" t="str">
            <v>05P7648104</v>
          </cell>
          <cell r="K232">
            <v>19.47</v>
          </cell>
          <cell r="Q232" t="str">
            <v>PAS - Produto Acabado em Sacos</v>
          </cell>
          <cell r="R232">
            <v>50</v>
          </cell>
        </row>
        <row r="233">
          <cell r="D233" t="str">
            <v>05P7626418</v>
          </cell>
          <cell r="K233">
            <v>22.36</v>
          </cell>
          <cell r="Q233" t="str">
            <v>PAS - Produto Acabado em Sacos</v>
          </cell>
          <cell r="R233">
            <v>45</v>
          </cell>
        </row>
        <row r="234">
          <cell r="D234" t="str">
            <v>05P7622437</v>
          </cell>
          <cell r="K234">
            <v>22.36</v>
          </cell>
          <cell r="Q234" t="str">
            <v>PBT - Produto Acabado em Big Bag Tratado</v>
          </cell>
          <cell r="R234">
            <v>40</v>
          </cell>
        </row>
        <row r="235">
          <cell r="D235" t="str">
            <v>05P7622582</v>
          </cell>
          <cell r="K235">
            <v>15.49</v>
          </cell>
          <cell r="Q235" t="str">
            <v>PBT - Produto Acabado em Big Bag Tratado</v>
          </cell>
          <cell r="R235">
            <v>40</v>
          </cell>
        </row>
        <row r="236">
          <cell r="D236" t="str">
            <v>05P7626482</v>
          </cell>
          <cell r="K236">
            <v>15.49</v>
          </cell>
          <cell r="Q236" t="str">
            <v>PAS - Produto Acabado em Sacos</v>
          </cell>
          <cell r="R236">
            <v>60</v>
          </cell>
        </row>
        <row r="237">
          <cell r="D237" t="str">
            <v>05P7622534</v>
          </cell>
          <cell r="K237">
            <v>17.489999999999998</v>
          </cell>
          <cell r="Q237" t="str">
            <v>PBT - Produto Acabado em Big Bag Tratado</v>
          </cell>
          <cell r="R237">
            <v>40</v>
          </cell>
        </row>
        <row r="238">
          <cell r="D238" t="str">
            <v>05P7648096</v>
          </cell>
          <cell r="K238">
            <v>17.489999999999998</v>
          </cell>
          <cell r="Q238" t="str">
            <v>PAS - Produto Acabado em Sacos</v>
          </cell>
          <cell r="R238">
            <v>60</v>
          </cell>
        </row>
      </sheetData>
      <sheetData sheetId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backgroundRefresh="0" growShrinkType="overwriteClear" adjustColumnWidth="0" connectionId="1" xr16:uid="{E734A929-F8A4-49A0-8868-0564E89658E3}" autoFormatId="16" applyNumberFormats="0" applyBorderFormats="0" applyFontFormats="0" applyPatternFormats="0" applyAlignmentFormats="0" applyWidthHeightFormats="0">
  <queryTableRefresh preserveSortFilterLayout="0" nextId="24" unboundColumnsLeft="1" unboundColumnsRight="10">
    <queryTableFields count="23">
      <queryTableField id="23" dataBound="0" tableColumnId="1"/>
      <queryTableField id="1" name="Shipment" tableColumnId="2"/>
      <queryTableField id="2" name="Delivery" tableColumnId="3"/>
      <queryTableField id="3" name="Item" tableColumnId="4"/>
      <queryTableField id="4" name="Material" tableColumnId="5"/>
      <queryTableField id="5" name="Qtd." tableColumnId="6"/>
      <queryTableField id="6" name="Descr. Cliente" tableColumnId="7"/>
      <queryTableField id="7" name="Cidade" tableColumnId="8"/>
      <queryTableField id="8" name="Estado" tableColumnId="9"/>
      <queryTableField id="9" name="Qtde. Sel." tableColumnId="10"/>
      <queryTableField id="10" name="Lote" tableColumnId="11"/>
      <queryTableField id="11" name="CLN" tableColumnId="12"/>
      <queryTableField id="12" name="Peneira" tableColumnId="13"/>
      <queryTableField id="13" dataBound="0" tableColumnId="14"/>
      <queryTableField id="14" dataBound="0" tableColumnId="15"/>
      <queryTableField id="15" dataBound="0" tableColumnId="16"/>
      <queryTableField id="16" dataBound="0" tableColumnId="17"/>
      <queryTableField id="17" dataBound="0" tableColumnId="18"/>
      <queryTableField id="18" dataBound="0" tableColumnId="19"/>
      <queryTableField id="19" dataBound="0" tableColumnId="20"/>
      <queryTableField id="20" dataBound="0" tableColumnId="21"/>
      <queryTableField id="21" dataBound="0" tableColumnId="22"/>
      <queryTableField id="22" dataBound="0" tableColumnId="2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6AF1B2-836B-4725-A340-25B4320CB137}" name="_Shipments" displayName="_Shipments" ref="A1:W226" tableType="queryTable" totalsRowShown="0" headerRowDxfId="26" dataDxfId="24" headerRowBorderDxfId="25">
  <autoFilter ref="A1:W226" xr:uid="{AA6AF1B2-836B-4725-A340-25B4320CB137}"/>
  <tableColumns count="23">
    <tableColumn id="1" xr3:uid="{A05C2F64-B737-4B19-9048-B36860B33844}" uniqueName="1" name="Data" queryTableFieldId="23" dataDxfId="22"/>
    <tableColumn id="2" xr3:uid="{0F9168E5-926E-498F-B216-92D752D8B09A}" uniqueName="2" name="Shipment" queryTableFieldId="1" dataDxfId="21"/>
    <tableColumn id="3" xr3:uid="{DCED3EAA-565F-477E-888E-AEA864B7DAA1}" uniqueName="3" name="Delivery" queryTableFieldId="2" dataDxfId="20"/>
    <tableColumn id="4" xr3:uid="{56B7EF2A-148E-442A-8F0A-3861DC8DC4E1}" uniqueName="4" name="Item" queryTableFieldId="3" dataDxfId="19"/>
    <tableColumn id="5" xr3:uid="{CC8535CD-8C29-47BA-BBA6-303B8E6A25DE}" uniqueName="5" name="Material" queryTableFieldId="4" dataDxfId="18"/>
    <tableColumn id="6" xr3:uid="{AB2C0F27-538F-4DCF-B664-9B40309DABB8}" uniqueName="6" name="Qtd." queryTableFieldId="5" dataDxfId="17"/>
    <tableColumn id="7" xr3:uid="{17E832BB-6587-4674-9270-11EB45A9D541}" uniqueName="7" name="Descr. Cliente" queryTableFieldId="6" dataDxfId="16"/>
    <tableColumn id="8" xr3:uid="{1251FBD4-A091-4D84-BF8B-9C0E66478B2D}" uniqueName="8" name="Cidade" queryTableFieldId="7" dataDxfId="15"/>
    <tableColumn id="9" xr3:uid="{6B474037-0C93-41FC-B92E-173DCE738BDD}" uniqueName="9" name="Estado" queryTableFieldId="8" dataDxfId="14"/>
    <tableColumn id="10" xr3:uid="{60CAFD35-CAF2-4134-AF0F-A463D38107BE}" uniqueName="10" name="Qtde. Sel." queryTableFieldId="9" dataDxfId="13"/>
    <tableColumn id="11" xr3:uid="{818C314B-94B7-4E46-96EC-998DC0007D5F}" uniqueName="11" name="Lote" queryTableFieldId="10" dataDxfId="12"/>
    <tableColumn id="12" xr3:uid="{8160C11F-6D2D-4BCD-BC93-B201C8909F3D}" uniqueName="12" name="CLN" queryTableFieldId="11" dataDxfId="11"/>
    <tableColumn id="13" xr3:uid="{C14F31B7-0344-49B6-8646-A2D46D520191}" uniqueName="13" name="Peneira" queryTableFieldId="12" dataDxfId="10"/>
    <tableColumn id="14" xr3:uid="{C1FDA600-0684-4B19-B1C4-AAF1BAF527BB}" uniqueName="14" name="Sacos total (Jumbo Convertidos)" queryTableFieldId="13" dataDxfId="9"/>
    <tableColumn id="15" xr3:uid="{A954A7D4-A73B-4D2E-927D-B906DB2B80DE}" uniqueName="15" name="Qtde. sacos/palete" queryTableFieldId="14" dataDxfId="8"/>
    <tableColumn id="16" xr3:uid="{4716E7EC-FAA3-46D7-8EDB-08D081BCFE08}" uniqueName="16" name="Embalagem" queryTableFieldId="15" dataDxfId="7"/>
    <tableColumn id="17" xr3:uid="{1047C898-6C10-4A6D-AA3D-8603175E0BEA}" uniqueName="17" name="Peso" queryTableFieldId="16" dataDxfId="6"/>
    <tableColumn id="18" xr3:uid="{D4DE04CC-C8E2-48D6-8E8E-66DCCF332685}" uniqueName="18" name="Qtde. Total de Paletes" queryTableFieldId="17" dataDxfId="5"/>
    <tableColumn id="19" xr3:uid="{5F7269B7-0843-42F0-8125-0AB638E53E89}" uniqueName="19" name="Motorista" queryTableFieldId="18" dataDxfId="4"/>
    <tableColumn id="20" xr3:uid="{50BE865E-B737-483E-8232-67CCD2356A80}" uniqueName="20" name="Telefone" queryTableFieldId="19" dataDxfId="3"/>
    <tableColumn id="21" xr3:uid="{DE3C2B95-77AE-42CD-AA93-DAF04B8EDBCB}" uniqueName="21" name="Placa Cavalo" queryTableFieldId="20" dataDxfId="2"/>
    <tableColumn id="22" xr3:uid="{FEFB7CFD-4F5C-491C-A464-6E88A79FBE99}" uniqueName="22" name="Placa Carreta" queryTableFieldId="21" dataDxfId="1"/>
    <tableColumn id="23" xr3:uid="{C8E93C6D-BA05-43CF-9AE8-FE272950CC07}" uniqueName="23" name="Transportadora" queryTableFieldId="22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9">
    <wetp:webextensionref xmlns:r="http://schemas.openxmlformats.org/officeDocument/2006/relationships" r:id="rId1"/>
  </wetp:taskpane>
  <wetp:taskpane dockstate="right" visibility="0" width="350" row="9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3C91D4DB-110A-4D57-A230-9B0733FD709E}">
  <we:reference id="WA200010725" version="1.0.0.1" store="Omex" storeType="OMEX"/>
  <we:alternateReferences>
    <we:reference id="WA200010725" version="1.0.0.1" store="WA200010725" storeType="OMEX"/>
  </we:alternateReferences>
  <we:properties>
    <we:property name="claude.fileId" value="&quot;7f15494c-ea7a-4bc1-908d-f572287974b9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7185246D-B2F1-4760-9F4F-FC43505FC21D}">
  <we:reference id="WA200010215" version="2.0.0.0" store="Omex" storeType="OMEX"/>
  <we:alternateReferences>
    <we:reference id="WA200010215" version="2.0.0.0" store="WA200010215" storeType="OMEX"/>
  </we:alternateReferences>
  <we:properties>
    <we:property name="bps.codex_control.document_id" value="&quot;ab1252de-2ef4-4bca-8f08-a5f73ae6293c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2B8A9-1C98-46FD-83C4-0129DAFC8439}">
  <dimension ref="A1:AB199"/>
  <sheetViews>
    <sheetView showGridLines="0" workbookViewId="0">
      <pane ySplit="1" topLeftCell="A173" activePane="bottomLeft" state="frozen"/>
      <selection pane="bottomLeft" activeCell="G209" sqref="G209"/>
    </sheetView>
  </sheetViews>
  <sheetFormatPr defaultRowHeight="12.75" x14ac:dyDescent="0.25"/>
  <cols>
    <col min="1" max="1" width="13" style="26" customWidth="1"/>
    <col min="2" max="2" width="13.140625" style="26" bestFit="1" customWidth="1"/>
    <col min="3" max="3" width="12" style="26" bestFit="1" customWidth="1"/>
    <col min="4" max="4" width="9.28515625" style="26" bestFit="1" customWidth="1"/>
    <col min="5" max="5" width="14.7109375" style="26" bestFit="1" customWidth="1"/>
    <col min="6" max="6" width="9" style="26" bestFit="1" customWidth="1"/>
    <col min="7" max="7" width="31.140625" style="26" bestFit="1" customWidth="1"/>
    <col min="8" max="8" width="19.42578125" style="26" bestFit="1" customWidth="1"/>
    <col min="9" max="9" width="10.7109375" style="26" bestFit="1" customWidth="1"/>
    <col min="10" max="10" width="13.140625" style="26" bestFit="1" customWidth="1"/>
    <col min="11" max="11" width="9.140625" style="26" bestFit="1"/>
    <col min="12" max="12" width="11" style="26" bestFit="1" customWidth="1"/>
    <col min="13" max="13" width="11.5703125" style="26" bestFit="1" customWidth="1"/>
    <col min="14" max="14" width="15.5703125" style="26" customWidth="1"/>
    <col min="15" max="15" width="11.85546875" style="26" customWidth="1"/>
    <col min="16" max="16" width="14.5703125" style="26" bestFit="1" customWidth="1"/>
    <col min="17" max="17" width="9.28515625" style="26" bestFit="1" customWidth="1"/>
    <col min="18" max="18" width="13.28515625" style="26" customWidth="1"/>
    <col min="19" max="19" width="35.85546875" style="26" bestFit="1" customWidth="1"/>
    <col min="20" max="20" width="14.7109375" style="26" bestFit="1" customWidth="1"/>
    <col min="21" max="21" width="14.85546875" style="26" bestFit="1" customWidth="1"/>
    <col min="22" max="22" width="15.7109375" style="26" bestFit="1" customWidth="1"/>
    <col min="23" max="23" width="18.28515625" style="26" bestFit="1" customWidth="1"/>
    <col min="24" max="24" width="20.85546875" style="26" bestFit="1" customWidth="1"/>
    <col min="25" max="25" width="10.140625" style="26" bestFit="1" customWidth="1"/>
    <col min="26" max="26" width="12.28515625" style="26" bestFit="1" customWidth="1"/>
    <col min="27" max="27" width="11.140625" style="26" bestFit="1" customWidth="1"/>
    <col min="28" max="28" width="12.28515625" style="52" bestFit="1" customWidth="1"/>
    <col min="29" max="29" width="11.140625" style="26" bestFit="1" customWidth="1"/>
    <col min="30" max="30" width="13.140625" style="26" bestFit="1" customWidth="1"/>
    <col min="31" max="31" width="26.28515625" style="26" bestFit="1" customWidth="1"/>
    <col min="32" max="32" width="11.28515625" style="26" bestFit="1" customWidth="1"/>
    <col min="33" max="33" width="7" style="26" bestFit="1" customWidth="1"/>
    <col min="34" max="16384" width="9.140625" style="26"/>
  </cols>
  <sheetData>
    <row r="1" spans="1:28" s="21" customFormat="1" ht="29.25" customHeight="1" x14ac:dyDescent="0.25">
      <c r="A1" s="53" t="s">
        <v>125</v>
      </c>
      <c r="B1" s="54" t="s">
        <v>77</v>
      </c>
      <c r="C1" s="54" t="s">
        <v>17</v>
      </c>
      <c r="D1" s="54" t="s">
        <v>6</v>
      </c>
      <c r="E1" s="54" t="s">
        <v>12</v>
      </c>
      <c r="F1" s="55" t="s">
        <v>80</v>
      </c>
      <c r="G1" s="54" t="s">
        <v>19</v>
      </c>
      <c r="H1" s="54" t="s">
        <v>20</v>
      </c>
      <c r="I1" s="54" t="s">
        <v>21</v>
      </c>
      <c r="J1" s="54" t="s">
        <v>22</v>
      </c>
      <c r="K1" s="54" t="s">
        <v>7</v>
      </c>
      <c r="L1" s="54" t="s">
        <v>23</v>
      </c>
      <c r="M1" s="54" t="s">
        <v>24</v>
      </c>
      <c r="N1" s="53" t="s">
        <v>219</v>
      </c>
      <c r="O1" s="53" t="s">
        <v>115</v>
      </c>
      <c r="P1" s="53" t="s">
        <v>118</v>
      </c>
      <c r="Q1" s="53" t="s">
        <v>122</v>
      </c>
      <c r="R1" s="53" t="s">
        <v>192</v>
      </c>
      <c r="S1" s="56" t="s">
        <v>1</v>
      </c>
      <c r="T1" s="56" t="s">
        <v>9</v>
      </c>
      <c r="U1" s="56" t="s">
        <v>2</v>
      </c>
      <c r="V1" s="56" t="s">
        <v>3</v>
      </c>
      <c r="W1" s="56" t="s">
        <v>10</v>
      </c>
      <c r="Y1" s="87" t="s">
        <v>114</v>
      </c>
    </row>
    <row r="2" spans="1:28" x14ac:dyDescent="0.25">
      <c r="A2" s="47">
        <f>_xlfn.XLOOKUP(_Shipments[[#This Row],[Shipment]],[1]Report!$G:$G,[1]Report!$B:$B,"-")</f>
        <v>46260.333333333336</v>
      </c>
      <c r="B2" s="26">
        <v>7240103</v>
      </c>
      <c r="C2" s="26">
        <v>5541981925</v>
      </c>
      <c r="D2" s="26">
        <v>1</v>
      </c>
      <c r="E2" s="26" t="s">
        <v>25</v>
      </c>
      <c r="F2" s="85">
        <v>987</v>
      </c>
      <c r="G2" s="26" t="s">
        <v>283</v>
      </c>
      <c r="H2" s="26" t="s">
        <v>26</v>
      </c>
      <c r="I2" s="26" t="s">
        <v>27</v>
      </c>
      <c r="J2" s="26">
        <v>987</v>
      </c>
      <c r="K2" s="26">
        <v>7520918</v>
      </c>
      <c r="L2" s="26" t="s">
        <v>28</v>
      </c>
      <c r="M2" s="26" t="s">
        <v>29</v>
      </c>
      <c r="N2" s="48">
        <f>IF(_Shipments[[#This Row],[Embalagem]]="Big Bag",_Shipments[[#This Row],[Qtd.]]*_Shipments[[#This Row],[Qtde. sacos/palete]],_Shipments[[#This Row],[Qtd.]])</f>
        <v>987</v>
      </c>
      <c r="O2" s="49">
        <f>_xlfn.XLOOKUP(_Shipments[[#This Row],[CLN]],[2]Dados!$D:$D,[2]Dados!$R:$R,"-")</f>
        <v>75</v>
      </c>
      <c r="P2" s="49" t="str" cm="1">
        <f t="array" ref="P2">_xlfn.LET(_xlpm.t,_xlfn.XLOOKUP(_Shipments[[#This Row],[CLN]],[2]Dados!$D:$D,[2]Dados!$Q:$Q,"-"),_xlfn.IFS(LEFT(_xlpm.t,3)="PAS","Saco",LEFT(_xlpm.t,3)="PBT","Big Bag",TRUE,"-"))</f>
        <v>Saco</v>
      </c>
      <c r="Q2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12.16</v>
      </c>
      <c r="R2" s="89">
        <f>IF(_Shipments[[#This Row],[Embalagem]]="Big Bag",_Shipments[[#This Row],[Qtd.]],ROUNDUP(_Shipments[[#This Row],[Qtd.]]/_Shipments[[#This Row],[Qtde. sacos/palete]],0))</f>
        <v>14</v>
      </c>
      <c r="S2" s="26" t="s">
        <v>158</v>
      </c>
      <c r="T2" s="51">
        <v>34992119997</v>
      </c>
      <c r="U2" s="26" t="s">
        <v>134</v>
      </c>
      <c r="V2" s="26" t="s">
        <v>135</v>
      </c>
      <c r="W2" s="26" t="s">
        <v>126</v>
      </c>
      <c r="Y2" s="88">
        <v>7240103</v>
      </c>
      <c r="AB2" s="26"/>
    </row>
    <row r="3" spans="1:28" x14ac:dyDescent="0.25">
      <c r="A3" s="47">
        <f>_xlfn.XLOOKUP(_Shipments[[#This Row],[Shipment]],[1]Report!$G:$G,[1]Report!$B:$B,"-")</f>
        <v>46260.333333333336</v>
      </c>
      <c r="B3" s="26">
        <v>7240103</v>
      </c>
      <c r="C3" s="26">
        <v>5541981925</v>
      </c>
      <c r="D3" s="26">
        <v>2</v>
      </c>
      <c r="E3" s="26" t="s">
        <v>30</v>
      </c>
      <c r="F3" s="85">
        <v>36</v>
      </c>
      <c r="G3" s="26" t="s">
        <v>283</v>
      </c>
      <c r="H3" s="26" t="s">
        <v>26</v>
      </c>
      <c r="I3" s="26" t="s">
        <v>27</v>
      </c>
      <c r="J3" s="26">
        <v>36</v>
      </c>
      <c r="K3" s="26">
        <v>7520947</v>
      </c>
      <c r="L3" s="26" t="s">
        <v>31</v>
      </c>
      <c r="M3" s="26" t="s">
        <v>32</v>
      </c>
      <c r="N3" s="48">
        <f>IF(_Shipments[[#This Row],[Embalagem]]="Big Bag",_Shipments[[#This Row],[Qtd.]]*_Shipments[[#This Row],[Qtde. sacos/palete]],_Shipments[[#This Row],[Qtd.]])</f>
        <v>36</v>
      </c>
      <c r="O3" s="49">
        <f>_xlfn.XLOOKUP(_Shipments[[#This Row],[CLN]],[2]Dados!$D:$D,[2]Dados!$R:$R,"-")</f>
        <v>70</v>
      </c>
      <c r="P3" s="49" t="str" cm="1">
        <f t="array" ref="P3">_xlfn.LET(_xlpm.t,_xlfn.XLOOKUP(_Shipments[[#This Row],[CLN]],[2]Dados!$D:$D,[2]Dados!$Q:$Q,"-"),_xlfn.IFS(LEFT(_xlpm.t,3)="PAS","Saco",LEFT(_xlpm.t,3)="PBT","Big Bag",TRUE,"-"))</f>
        <v>Saco</v>
      </c>
      <c r="Q3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13.77</v>
      </c>
      <c r="R3" s="89">
        <f>IF(_Shipments[[#This Row],[Embalagem]]="Big Bag",_Shipments[[#This Row],[Qtd.]],ROUNDUP(_Shipments[[#This Row],[Qtd.]]/_Shipments[[#This Row],[Qtde. sacos/palete]],0))</f>
        <v>1</v>
      </c>
      <c r="S3" s="26" t="s">
        <v>158</v>
      </c>
      <c r="T3" s="51">
        <v>34992119997</v>
      </c>
      <c r="U3" s="26" t="s">
        <v>134</v>
      </c>
      <c r="V3" s="26" t="s">
        <v>135</v>
      </c>
      <c r="W3" s="26" t="s">
        <v>126</v>
      </c>
      <c r="Y3" s="88">
        <v>7240104</v>
      </c>
      <c r="AB3" s="26"/>
    </row>
    <row r="4" spans="1:28" x14ac:dyDescent="0.25">
      <c r="A4" s="47">
        <f>_xlfn.XLOOKUP(_Shipments[[#This Row],[Shipment]],[1]Report!$G:$G,[1]Report!$B:$B,"-")</f>
        <v>46260.333333333336</v>
      </c>
      <c r="B4" s="26">
        <v>7240103</v>
      </c>
      <c r="C4" s="26">
        <v>5541981925</v>
      </c>
      <c r="D4" s="26">
        <v>3</v>
      </c>
      <c r="E4" s="26" t="s">
        <v>33</v>
      </c>
      <c r="F4" s="85">
        <v>16</v>
      </c>
      <c r="G4" s="26" t="s">
        <v>283</v>
      </c>
      <c r="H4" s="26" t="s">
        <v>26</v>
      </c>
      <c r="I4" s="26" t="s">
        <v>27</v>
      </c>
      <c r="J4" s="26">
        <v>16</v>
      </c>
      <c r="K4" s="26">
        <v>7520951</v>
      </c>
      <c r="L4" s="26" t="s">
        <v>34</v>
      </c>
      <c r="M4" s="26" t="s">
        <v>35</v>
      </c>
      <c r="N4" s="48">
        <f>IF(_Shipments[[#This Row],[Embalagem]]="Big Bag",_Shipments[[#This Row],[Qtd.]]*_Shipments[[#This Row],[Qtde. sacos/palete]],_Shipments[[#This Row],[Qtd.]])</f>
        <v>16</v>
      </c>
      <c r="O4" s="49">
        <f>_xlfn.XLOOKUP(_Shipments[[#This Row],[CLN]],[2]Dados!$D:$D,[2]Dados!$R:$R,"-")</f>
        <v>60</v>
      </c>
      <c r="P4" s="49" t="str" cm="1">
        <f t="array" ref="P4">_xlfn.LET(_xlpm.t,_xlfn.XLOOKUP(_Shipments[[#This Row],[CLN]],[2]Dados!$D:$D,[2]Dados!$Q:$Q,"-"),_xlfn.IFS(LEFT(_xlpm.t,3)="PAS","Saco",LEFT(_xlpm.t,3)="PBT","Big Bag",TRUE,"-"))</f>
        <v>Saco</v>
      </c>
      <c r="Q4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16.690000000000001</v>
      </c>
      <c r="R4" s="89">
        <f>IF(_Shipments[[#This Row],[Embalagem]]="Big Bag",_Shipments[[#This Row],[Qtd.]],ROUNDUP(_Shipments[[#This Row],[Qtd.]]/_Shipments[[#This Row],[Qtde. sacos/palete]],0))</f>
        <v>1</v>
      </c>
      <c r="S4" s="26" t="s">
        <v>158</v>
      </c>
      <c r="T4" s="51">
        <v>34992119997</v>
      </c>
      <c r="U4" s="26" t="s">
        <v>134</v>
      </c>
      <c r="V4" s="26" t="s">
        <v>135</v>
      </c>
      <c r="W4" s="26" t="s">
        <v>126</v>
      </c>
      <c r="Y4" s="88">
        <v>7240105</v>
      </c>
      <c r="AB4" s="26"/>
    </row>
    <row r="5" spans="1:28" x14ac:dyDescent="0.25">
      <c r="A5" s="47">
        <f>_xlfn.XLOOKUP(_Shipments[[#This Row],[Shipment]],[1]Report!$G:$G,[1]Report!$B:$B,"-")</f>
        <v>46260.333333333336</v>
      </c>
      <c r="B5" s="26">
        <v>7240103</v>
      </c>
      <c r="C5" s="26">
        <v>5541981925</v>
      </c>
      <c r="D5" s="26">
        <v>4</v>
      </c>
      <c r="E5" s="26" t="s">
        <v>36</v>
      </c>
      <c r="F5" s="85">
        <v>27</v>
      </c>
      <c r="G5" s="26" t="s">
        <v>283</v>
      </c>
      <c r="H5" s="26" t="s">
        <v>26</v>
      </c>
      <c r="I5" s="26" t="s">
        <v>27</v>
      </c>
      <c r="J5" s="26">
        <v>27</v>
      </c>
      <c r="K5" s="26">
        <v>7520927</v>
      </c>
      <c r="L5" s="26" t="s">
        <v>37</v>
      </c>
      <c r="M5" s="26" t="s">
        <v>38</v>
      </c>
      <c r="N5" s="48">
        <f>IF(_Shipments[[#This Row],[Embalagem]]="Big Bag",_Shipments[[#This Row],[Qtd.]]*_Shipments[[#This Row],[Qtde. sacos/palete]],_Shipments[[#This Row],[Qtd.]])</f>
        <v>27</v>
      </c>
      <c r="O5" s="49">
        <f>_xlfn.XLOOKUP(_Shipments[[#This Row],[CLN]],[2]Dados!$D:$D,[2]Dados!$R:$R,"-")</f>
        <v>60</v>
      </c>
      <c r="P5" s="49" t="str" cm="1">
        <f t="array" ref="P5">_xlfn.LET(_xlpm.t,_xlfn.XLOOKUP(_Shipments[[#This Row],[CLN]],[2]Dados!$D:$D,[2]Dados!$Q:$Q,"-"),_xlfn.IFS(LEFT(_xlpm.t,3)="PAS","Saco",LEFT(_xlpm.t,3)="PBT","Big Bag",TRUE,"-"))</f>
        <v>Saco</v>
      </c>
      <c r="Q5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14.69</v>
      </c>
      <c r="R5" s="89">
        <f>IF(_Shipments[[#This Row],[Embalagem]]="Big Bag",_Shipments[[#This Row],[Qtd.]],ROUNDUP(_Shipments[[#This Row],[Qtd.]]/_Shipments[[#This Row],[Qtde. sacos/palete]],0))</f>
        <v>1</v>
      </c>
      <c r="S5" s="26" t="s">
        <v>158</v>
      </c>
      <c r="T5" s="51">
        <v>34992119997</v>
      </c>
      <c r="U5" s="26" t="s">
        <v>134</v>
      </c>
      <c r="V5" s="26" t="s">
        <v>135</v>
      </c>
      <c r="W5" s="26" t="s">
        <v>126</v>
      </c>
      <c r="Y5" s="88">
        <v>7240106</v>
      </c>
      <c r="AB5" s="26"/>
    </row>
    <row r="6" spans="1:28" x14ac:dyDescent="0.25">
      <c r="A6" s="47">
        <f>_xlfn.XLOOKUP(_Shipments[[#This Row],[Shipment]],[1]Report!$G:$G,[1]Report!$B:$B,"-")</f>
        <v>46260.333333333336</v>
      </c>
      <c r="B6" s="26">
        <v>7240103</v>
      </c>
      <c r="C6" s="26">
        <v>5541981925</v>
      </c>
      <c r="D6" s="26">
        <v>5</v>
      </c>
      <c r="E6" s="26" t="s">
        <v>36</v>
      </c>
      <c r="F6" s="85">
        <v>31</v>
      </c>
      <c r="G6" s="26" t="s">
        <v>283</v>
      </c>
      <c r="H6" s="26" t="s">
        <v>26</v>
      </c>
      <c r="I6" s="26" t="s">
        <v>27</v>
      </c>
      <c r="J6" s="26">
        <v>31</v>
      </c>
      <c r="K6" s="26">
        <v>7520929</v>
      </c>
      <c r="L6" s="26" t="s">
        <v>39</v>
      </c>
      <c r="M6" s="26" t="s">
        <v>38</v>
      </c>
      <c r="N6" s="48">
        <f>IF(_Shipments[[#This Row],[Embalagem]]="Big Bag",_Shipments[[#This Row],[Qtd.]]*_Shipments[[#This Row],[Qtde. sacos/palete]],_Shipments[[#This Row],[Qtd.]])</f>
        <v>31</v>
      </c>
      <c r="O6" s="49">
        <f>_xlfn.XLOOKUP(_Shipments[[#This Row],[CLN]],[2]Dados!$D:$D,[2]Dados!$R:$R,"-")</f>
        <v>70</v>
      </c>
      <c r="P6" s="49" t="str" cm="1">
        <f t="array" ref="P6">_xlfn.LET(_xlpm.t,_xlfn.XLOOKUP(_Shipments[[#This Row],[CLN]],[2]Dados!$D:$D,[2]Dados!$Q:$Q,"-"),_xlfn.IFS(LEFT(_xlpm.t,3)="PAS","Saco",LEFT(_xlpm.t,3)="PBT","Big Bag",TRUE,"-"))</f>
        <v>Saco</v>
      </c>
      <c r="Q6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14.13</v>
      </c>
      <c r="R6" s="89">
        <f>IF(_Shipments[[#This Row],[Embalagem]]="Big Bag",_Shipments[[#This Row],[Qtd.]],ROUNDUP(_Shipments[[#This Row],[Qtd.]]/_Shipments[[#This Row],[Qtde. sacos/palete]],0))</f>
        <v>1</v>
      </c>
      <c r="S6" s="26" t="s">
        <v>158</v>
      </c>
      <c r="T6" s="51">
        <v>34992119997</v>
      </c>
      <c r="U6" s="26" t="s">
        <v>134</v>
      </c>
      <c r="V6" s="26" t="s">
        <v>135</v>
      </c>
      <c r="W6" s="26" t="s">
        <v>126</v>
      </c>
      <c r="Y6" s="88">
        <v>7240107</v>
      </c>
      <c r="AB6" s="26"/>
    </row>
    <row r="7" spans="1:28" x14ac:dyDescent="0.25">
      <c r="A7" s="47">
        <f>_xlfn.XLOOKUP(_Shipments[[#This Row],[Shipment]],[1]Report!$G:$G,[1]Report!$B:$B,"-")</f>
        <v>46260.333333333336</v>
      </c>
      <c r="B7" s="26">
        <v>7240103</v>
      </c>
      <c r="C7" s="26">
        <v>5541981925</v>
      </c>
      <c r="D7" s="26">
        <v>6</v>
      </c>
      <c r="E7" s="26" t="s">
        <v>25</v>
      </c>
      <c r="F7" s="85">
        <v>195</v>
      </c>
      <c r="G7" s="26" t="s">
        <v>283</v>
      </c>
      <c r="H7" s="26" t="s">
        <v>26</v>
      </c>
      <c r="I7" s="26" t="s">
        <v>27</v>
      </c>
      <c r="J7" s="26">
        <v>195</v>
      </c>
      <c r="K7" s="26">
        <v>7520886</v>
      </c>
      <c r="L7" s="26" t="s">
        <v>40</v>
      </c>
      <c r="M7" s="26" t="s">
        <v>41</v>
      </c>
      <c r="N7" s="48">
        <f>IF(_Shipments[[#This Row],[Embalagem]]="Big Bag",_Shipments[[#This Row],[Qtd.]]*_Shipments[[#This Row],[Qtde. sacos/palete]],_Shipments[[#This Row],[Qtd.]])</f>
        <v>195</v>
      </c>
      <c r="O7" s="49">
        <f>_xlfn.XLOOKUP(_Shipments[[#This Row],[CLN]],[2]Dados!$D:$D,[2]Dados!$R:$R,"-")</f>
        <v>75</v>
      </c>
      <c r="P7" s="49" t="str" cm="1">
        <f t="array" ref="P7">_xlfn.LET(_xlpm.t,_xlfn.XLOOKUP(_Shipments[[#This Row],[CLN]],[2]Dados!$D:$D,[2]Dados!$Q:$Q,"-"),_xlfn.IFS(LEFT(_xlpm.t,3)="PAS","Saco",LEFT(_xlpm.t,3)="PBT","Big Bag",TRUE,"-"))</f>
        <v>Saco</v>
      </c>
      <c r="Q7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11.26</v>
      </c>
      <c r="R7" s="89">
        <f>IF(_Shipments[[#This Row],[Embalagem]]="Big Bag",_Shipments[[#This Row],[Qtd.]],ROUNDUP(_Shipments[[#This Row],[Qtd.]]/_Shipments[[#This Row],[Qtde. sacos/palete]],0))</f>
        <v>3</v>
      </c>
      <c r="S7" s="26" t="s">
        <v>158</v>
      </c>
      <c r="T7" s="51">
        <v>34992119997</v>
      </c>
      <c r="U7" s="26" t="s">
        <v>134</v>
      </c>
      <c r="V7" s="26" t="s">
        <v>135</v>
      </c>
      <c r="W7" s="26" t="s">
        <v>126</v>
      </c>
      <c r="Y7" s="88">
        <v>7240108</v>
      </c>
      <c r="AB7" s="26"/>
    </row>
    <row r="8" spans="1:28" x14ac:dyDescent="0.25">
      <c r="A8" s="47">
        <f>_xlfn.XLOOKUP(_Shipments[[#This Row],[Shipment]],[1]Report!$G:$G,[1]Report!$B:$B,"-")</f>
        <v>46260.333333333336</v>
      </c>
      <c r="B8" s="26">
        <v>7240104</v>
      </c>
      <c r="C8" s="26">
        <v>5541981926</v>
      </c>
      <c r="D8" s="26">
        <v>1</v>
      </c>
      <c r="E8" s="26" t="s">
        <v>30</v>
      </c>
      <c r="F8" s="85">
        <v>925</v>
      </c>
      <c r="G8" s="26" t="s">
        <v>283</v>
      </c>
      <c r="H8" s="26" t="s">
        <v>26</v>
      </c>
      <c r="I8" s="26" t="s">
        <v>27</v>
      </c>
      <c r="J8" s="26">
        <v>925</v>
      </c>
      <c r="K8" s="26">
        <v>7520891</v>
      </c>
      <c r="L8" s="26" t="s">
        <v>42</v>
      </c>
      <c r="M8" s="26" t="s">
        <v>43</v>
      </c>
      <c r="N8" s="48">
        <f>IF(_Shipments[[#This Row],[Embalagem]]="Big Bag",_Shipments[[#This Row],[Qtd.]]*_Shipments[[#This Row],[Qtde. sacos/palete]],_Shipments[[#This Row],[Qtd.]])</f>
        <v>925</v>
      </c>
      <c r="O8" s="49">
        <f>_xlfn.XLOOKUP(_Shipments[[#This Row],[CLN]],[2]Dados!$D:$D,[2]Dados!$R:$R,"-")</f>
        <v>70</v>
      </c>
      <c r="P8" s="49" t="str" cm="1">
        <f t="array" ref="P8">_xlfn.LET(_xlpm.t,_xlfn.XLOOKUP(_Shipments[[#This Row],[CLN]],[2]Dados!$D:$D,[2]Dados!$Q:$Q,"-"),_xlfn.IFS(LEFT(_xlpm.t,3)="PAS","Saco",LEFT(_xlpm.t,3)="PBT","Big Bag",TRUE,"-"))</f>
        <v>Saco</v>
      </c>
      <c r="Q8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13.11</v>
      </c>
      <c r="R8" s="89">
        <f>IF(_Shipments[[#This Row],[Embalagem]]="Big Bag",_Shipments[[#This Row],[Qtd.]],ROUNDUP(_Shipments[[#This Row],[Qtd.]]/_Shipments[[#This Row],[Qtde. sacos/palete]],0))</f>
        <v>14</v>
      </c>
      <c r="S8" s="26" t="s">
        <v>159</v>
      </c>
      <c r="T8" s="51">
        <v>38999337997</v>
      </c>
      <c r="U8" s="26" t="s">
        <v>144</v>
      </c>
      <c r="V8" s="26" t="s">
        <v>145</v>
      </c>
      <c r="W8" s="26" t="s">
        <v>126</v>
      </c>
      <c r="Y8" s="88">
        <v>7240109</v>
      </c>
      <c r="AB8" s="26"/>
    </row>
    <row r="9" spans="1:28" x14ac:dyDescent="0.25">
      <c r="A9" s="47">
        <f>_xlfn.XLOOKUP(_Shipments[[#This Row],[Shipment]],[1]Report!$G:$G,[1]Report!$B:$B,"-")</f>
        <v>46260.333333333336</v>
      </c>
      <c r="B9" s="26">
        <v>7240104</v>
      </c>
      <c r="C9" s="26">
        <v>5541981926</v>
      </c>
      <c r="D9" s="26">
        <v>2</v>
      </c>
      <c r="E9" s="26" t="s">
        <v>36</v>
      </c>
      <c r="F9" s="85">
        <v>39</v>
      </c>
      <c r="G9" s="26" t="s">
        <v>283</v>
      </c>
      <c r="H9" s="26" t="s">
        <v>26</v>
      </c>
      <c r="I9" s="26" t="s">
        <v>27</v>
      </c>
      <c r="J9" s="26">
        <v>39</v>
      </c>
      <c r="K9" s="26">
        <v>7520933</v>
      </c>
      <c r="L9" s="26" t="s">
        <v>44</v>
      </c>
      <c r="M9" s="26" t="s">
        <v>38</v>
      </c>
      <c r="N9" s="48">
        <f>IF(_Shipments[[#This Row],[Embalagem]]="Big Bag",_Shipments[[#This Row],[Qtd.]]*_Shipments[[#This Row],[Qtde. sacos/palete]],_Shipments[[#This Row],[Qtd.]])</f>
        <v>39</v>
      </c>
      <c r="O9" s="49">
        <f>_xlfn.XLOOKUP(_Shipments[[#This Row],[CLN]],[2]Dados!$D:$D,[2]Dados!$R:$R,"-")</f>
        <v>60</v>
      </c>
      <c r="P9" s="49" t="str" cm="1">
        <f t="array" ref="P9">_xlfn.LET(_xlpm.t,_xlfn.XLOOKUP(_Shipments[[#This Row],[CLN]],[2]Dados!$D:$D,[2]Dados!$Q:$Q,"-"),_xlfn.IFS(LEFT(_xlpm.t,3)="PAS","Saco",LEFT(_xlpm.t,3)="PBT","Big Bag",TRUE,"-"))</f>
        <v>Saco</v>
      </c>
      <c r="Q9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14.56</v>
      </c>
      <c r="R9" s="89">
        <f>IF(_Shipments[[#This Row],[Embalagem]]="Big Bag",_Shipments[[#This Row],[Qtd.]],ROUNDUP(_Shipments[[#This Row],[Qtd.]]/_Shipments[[#This Row],[Qtde. sacos/palete]],0))</f>
        <v>1</v>
      </c>
      <c r="S9" s="26" t="s">
        <v>159</v>
      </c>
      <c r="T9" s="51">
        <v>38999337997</v>
      </c>
      <c r="U9" s="26" t="s">
        <v>144</v>
      </c>
      <c r="V9" s="26" t="s">
        <v>145</v>
      </c>
      <c r="W9" s="26" t="s">
        <v>126</v>
      </c>
      <c r="Y9" s="88">
        <v>7240110</v>
      </c>
      <c r="AB9" s="26"/>
    </row>
    <row r="10" spans="1:28" x14ac:dyDescent="0.25">
      <c r="A10" s="47">
        <f>_xlfn.XLOOKUP(_Shipments[[#This Row],[Shipment]],[1]Report!$G:$G,[1]Report!$B:$B,"-")</f>
        <v>46260.333333333336</v>
      </c>
      <c r="B10" s="26">
        <v>7240104</v>
      </c>
      <c r="C10" s="26">
        <v>5541981926</v>
      </c>
      <c r="D10" s="26">
        <v>3</v>
      </c>
      <c r="E10" s="26" t="s">
        <v>36</v>
      </c>
      <c r="F10" s="85">
        <v>27</v>
      </c>
      <c r="G10" s="26" t="s">
        <v>283</v>
      </c>
      <c r="H10" s="26" t="s">
        <v>26</v>
      </c>
      <c r="I10" s="26" t="s">
        <v>27</v>
      </c>
      <c r="J10" s="26">
        <v>27</v>
      </c>
      <c r="K10" s="26">
        <v>7520936</v>
      </c>
      <c r="L10" s="26" t="s">
        <v>45</v>
      </c>
      <c r="M10" s="26" t="s">
        <v>46</v>
      </c>
      <c r="N10" s="48">
        <f>IF(_Shipments[[#This Row],[Embalagem]]="Big Bag",_Shipments[[#This Row],[Qtd.]]*_Shipments[[#This Row],[Qtde. sacos/palete]],_Shipments[[#This Row],[Qtd.]])</f>
        <v>27</v>
      </c>
      <c r="O10" s="49">
        <f>_xlfn.XLOOKUP(_Shipments[[#This Row],[CLN]],[2]Dados!$D:$D,[2]Dados!$R:$R,"-")</f>
        <v>60</v>
      </c>
      <c r="P10" s="49" t="str" cm="1">
        <f t="array" ref="P10">_xlfn.LET(_xlpm.t,_xlfn.XLOOKUP(_Shipments[[#This Row],[CLN]],[2]Dados!$D:$D,[2]Dados!$Q:$Q,"-"),_xlfn.IFS(LEFT(_xlpm.t,3)="PAS","Saco",LEFT(_xlpm.t,3)="PBT","Big Bag",TRUE,"-"))</f>
        <v>Saco</v>
      </c>
      <c r="Q10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16.18</v>
      </c>
      <c r="R10" s="89">
        <f>IF(_Shipments[[#This Row],[Embalagem]]="Big Bag",_Shipments[[#This Row],[Qtd.]],ROUNDUP(_Shipments[[#This Row],[Qtd.]]/_Shipments[[#This Row],[Qtde. sacos/palete]],0))</f>
        <v>1</v>
      </c>
      <c r="S10" s="26" t="s">
        <v>159</v>
      </c>
      <c r="T10" s="51">
        <v>38999337997</v>
      </c>
      <c r="U10" s="26" t="s">
        <v>144</v>
      </c>
      <c r="V10" s="26" t="s">
        <v>145</v>
      </c>
      <c r="W10" s="26" t="s">
        <v>126</v>
      </c>
      <c r="Y10" s="88">
        <v>7240111</v>
      </c>
      <c r="AB10" s="26"/>
    </row>
    <row r="11" spans="1:28" x14ac:dyDescent="0.25">
      <c r="A11" s="47">
        <f>_xlfn.XLOOKUP(_Shipments[[#This Row],[Shipment]],[1]Report!$G:$G,[1]Report!$B:$B,"-")</f>
        <v>46260.333333333336</v>
      </c>
      <c r="B11" s="26">
        <v>7240104</v>
      </c>
      <c r="C11" s="26">
        <v>5541981926</v>
      </c>
      <c r="D11" s="26">
        <v>4</v>
      </c>
      <c r="E11" s="26" t="s">
        <v>36</v>
      </c>
      <c r="F11" s="85">
        <v>39</v>
      </c>
      <c r="G11" s="26" t="s">
        <v>283</v>
      </c>
      <c r="H11" s="26" t="s">
        <v>26</v>
      </c>
      <c r="I11" s="26" t="s">
        <v>27</v>
      </c>
      <c r="J11" s="26">
        <v>39</v>
      </c>
      <c r="K11" s="26">
        <v>7520939</v>
      </c>
      <c r="L11" s="26" t="s">
        <v>47</v>
      </c>
      <c r="M11" s="26" t="s">
        <v>46</v>
      </c>
      <c r="N11" s="48">
        <f>IF(_Shipments[[#This Row],[Embalagem]]="Big Bag",_Shipments[[#This Row],[Qtd.]]*_Shipments[[#This Row],[Qtde. sacos/palete]],_Shipments[[#This Row],[Qtd.]])</f>
        <v>39</v>
      </c>
      <c r="O11" s="49">
        <f>_xlfn.XLOOKUP(_Shipments[[#This Row],[CLN]],[2]Dados!$D:$D,[2]Dados!$R:$R,"-")</f>
        <v>60</v>
      </c>
      <c r="P11" s="49" t="str" cm="1">
        <f t="array" ref="P11">_xlfn.LET(_xlpm.t,_xlfn.XLOOKUP(_Shipments[[#This Row],[CLN]],[2]Dados!$D:$D,[2]Dados!$Q:$Q,"-"),_xlfn.IFS(LEFT(_xlpm.t,3)="PAS","Saco",LEFT(_xlpm.t,3)="PBT","Big Bag",TRUE,"-"))</f>
        <v>Saco</v>
      </c>
      <c r="Q11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16.84</v>
      </c>
      <c r="R11" s="89">
        <f>IF(_Shipments[[#This Row],[Embalagem]]="Big Bag",_Shipments[[#This Row],[Qtd.]],ROUNDUP(_Shipments[[#This Row],[Qtd.]]/_Shipments[[#This Row],[Qtde. sacos/palete]],0))</f>
        <v>1</v>
      </c>
      <c r="S11" s="26" t="s">
        <v>159</v>
      </c>
      <c r="T11" s="51">
        <v>38999337997</v>
      </c>
      <c r="U11" s="26" t="s">
        <v>144</v>
      </c>
      <c r="V11" s="26" t="s">
        <v>145</v>
      </c>
      <c r="W11" s="26" t="s">
        <v>126</v>
      </c>
      <c r="Y11" s="88">
        <v>7241110</v>
      </c>
      <c r="AB11" s="26"/>
    </row>
    <row r="12" spans="1:28" x14ac:dyDescent="0.25">
      <c r="A12" s="47">
        <f>_xlfn.XLOOKUP(_Shipments[[#This Row],[Shipment]],[1]Report!$G:$G,[1]Report!$B:$B,"-")</f>
        <v>46260.333333333336</v>
      </c>
      <c r="B12" s="26">
        <v>7240104</v>
      </c>
      <c r="C12" s="26">
        <v>5541981926</v>
      </c>
      <c r="D12" s="26">
        <v>5</v>
      </c>
      <c r="E12" s="26" t="s">
        <v>30</v>
      </c>
      <c r="F12" s="85">
        <v>37</v>
      </c>
      <c r="G12" s="26" t="s">
        <v>283</v>
      </c>
      <c r="H12" s="26" t="s">
        <v>26</v>
      </c>
      <c r="I12" s="26" t="s">
        <v>27</v>
      </c>
      <c r="J12" s="26">
        <v>37</v>
      </c>
      <c r="K12" s="26">
        <v>7520948</v>
      </c>
      <c r="L12" s="26" t="s">
        <v>48</v>
      </c>
      <c r="M12" s="26" t="s">
        <v>32</v>
      </c>
      <c r="N12" s="48">
        <f>IF(_Shipments[[#This Row],[Embalagem]]="Big Bag",_Shipments[[#This Row],[Qtd.]]*_Shipments[[#This Row],[Qtde. sacos/palete]],_Shipments[[#This Row],[Qtd.]])</f>
        <v>37</v>
      </c>
      <c r="O12" s="49">
        <f>_xlfn.XLOOKUP(_Shipments[[#This Row],[CLN]],[2]Dados!$D:$D,[2]Dados!$R:$R,"-")</f>
        <v>70</v>
      </c>
      <c r="P12" s="49" t="str" cm="1">
        <f t="array" ref="P12">_xlfn.LET(_xlpm.t,_xlfn.XLOOKUP(_Shipments[[#This Row],[CLN]],[2]Dados!$D:$D,[2]Dados!$Q:$Q,"-"),_xlfn.IFS(LEFT(_xlpm.t,3)="PAS","Saco",LEFT(_xlpm.t,3)="PBT","Big Bag",TRUE,"-"))</f>
        <v>Saco</v>
      </c>
      <c r="Q12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14.06</v>
      </c>
      <c r="R12" s="89">
        <f>IF(_Shipments[[#This Row],[Embalagem]]="Big Bag",_Shipments[[#This Row],[Qtd.]],ROUNDUP(_Shipments[[#This Row],[Qtd.]]/_Shipments[[#This Row],[Qtde. sacos/palete]],0))</f>
        <v>1</v>
      </c>
      <c r="S12" s="26" t="s">
        <v>159</v>
      </c>
      <c r="T12" s="51">
        <v>38999337997</v>
      </c>
      <c r="U12" s="26" t="s">
        <v>144</v>
      </c>
      <c r="V12" s="26" t="s">
        <v>145</v>
      </c>
      <c r="W12" s="26" t="s">
        <v>126</v>
      </c>
      <c r="Y12" s="88">
        <v>7241111</v>
      </c>
      <c r="AB12" s="26"/>
    </row>
    <row r="13" spans="1:28" x14ac:dyDescent="0.25">
      <c r="A13" s="47">
        <f>_xlfn.XLOOKUP(_Shipments[[#This Row],[Shipment]],[1]Report!$G:$G,[1]Report!$B:$B,"-")</f>
        <v>46260.333333333336</v>
      </c>
      <c r="B13" s="26">
        <v>7240104</v>
      </c>
      <c r="C13" s="26">
        <v>5541981926</v>
      </c>
      <c r="D13" s="26">
        <v>6</v>
      </c>
      <c r="E13" s="26" t="s">
        <v>25</v>
      </c>
      <c r="F13" s="85">
        <v>207</v>
      </c>
      <c r="G13" s="26" t="s">
        <v>283</v>
      </c>
      <c r="H13" s="26" t="s">
        <v>26</v>
      </c>
      <c r="I13" s="26" t="s">
        <v>27</v>
      </c>
      <c r="J13" s="26">
        <v>207</v>
      </c>
      <c r="K13" s="26">
        <v>7520924</v>
      </c>
      <c r="L13" s="26" t="s">
        <v>49</v>
      </c>
      <c r="M13" s="26" t="s">
        <v>29</v>
      </c>
      <c r="N13" s="48">
        <f>IF(_Shipments[[#This Row],[Embalagem]]="Big Bag",_Shipments[[#This Row],[Qtd.]]*_Shipments[[#This Row],[Qtde. sacos/palete]],_Shipments[[#This Row],[Qtd.]])</f>
        <v>207</v>
      </c>
      <c r="O13" s="49">
        <f>_xlfn.XLOOKUP(_Shipments[[#This Row],[CLN]],[2]Dados!$D:$D,[2]Dados!$R:$R,"-")</f>
        <v>70</v>
      </c>
      <c r="P13" s="49" t="str" cm="1">
        <f t="array" ref="P13">_xlfn.LET(_xlpm.t,_xlfn.XLOOKUP(_Shipments[[#This Row],[CLN]],[2]Dados!$D:$D,[2]Dados!$Q:$Q,"-"),_xlfn.IFS(LEFT(_xlpm.t,3)="PAS","Saco",LEFT(_xlpm.t,3)="PBT","Big Bag",TRUE,"-"))</f>
        <v>Saco</v>
      </c>
      <c r="Q13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13.26</v>
      </c>
      <c r="R13" s="89">
        <f>IF(_Shipments[[#This Row],[Embalagem]]="Big Bag",_Shipments[[#This Row],[Qtd.]],ROUNDUP(_Shipments[[#This Row],[Qtd.]]/_Shipments[[#This Row],[Qtde. sacos/palete]],0))</f>
        <v>3</v>
      </c>
      <c r="S13" s="26" t="s">
        <v>159</v>
      </c>
      <c r="T13" s="51">
        <v>38999337997</v>
      </c>
      <c r="U13" s="26" t="s">
        <v>144</v>
      </c>
      <c r="V13" s="26" t="s">
        <v>145</v>
      </c>
      <c r="W13" s="26" t="s">
        <v>126</v>
      </c>
      <c r="Y13" s="88">
        <v>7241113</v>
      </c>
      <c r="AB13" s="26"/>
    </row>
    <row r="14" spans="1:28" x14ac:dyDescent="0.25">
      <c r="A14" s="47">
        <f>_xlfn.XLOOKUP(_Shipments[[#This Row],[Shipment]],[1]Report!$G:$G,[1]Report!$B:$B,"-")</f>
        <v>46260.375</v>
      </c>
      <c r="B14" s="26">
        <v>7240105</v>
      </c>
      <c r="C14" s="26">
        <v>5541981927</v>
      </c>
      <c r="D14" s="26">
        <v>1</v>
      </c>
      <c r="E14" s="26" t="s">
        <v>33</v>
      </c>
      <c r="F14" s="85">
        <v>36</v>
      </c>
      <c r="G14" s="26" t="s">
        <v>283</v>
      </c>
      <c r="H14" s="26" t="s">
        <v>26</v>
      </c>
      <c r="I14" s="26" t="s">
        <v>27</v>
      </c>
      <c r="J14" s="26">
        <v>36</v>
      </c>
      <c r="K14" s="26">
        <v>7520952</v>
      </c>
      <c r="L14" s="26" t="s">
        <v>50</v>
      </c>
      <c r="M14" s="26" t="s">
        <v>35</v>
      </c>
      <c r="N14" s="48">
        <f>IF(_Shipments[[#This Row],[Embalagem]]="Big Bag",_Shipments[[#This Row],[Qtd.]]*_Shipments[[#This Row],[Qtde. sacos/palete]],_Shipments[[#This Row],[Qtd.]])</f>
        <v>36</v>
      </c>
      <c r="O14" s="49">
        <f>_xlfn.XLOOKUP(_Shipments[[#This Row],[CLN]],[2]Dados!$D:$D,[2]Dados!$R:$R,"-")</f>
        <v>60</v>
      </c>
      <c r="P14" s="49" t="str" cm="1">
        <f t="array" ref="P14">_xlfn.LET(_xlpm.t,_xlfn.XLOOKUP(_Shipments[[#This Row],[CLN]],[2]Dados!$D:$D,[2]Dados!$Q:$Q,"-"),_xlfn.IFS(LEFT(_xlpm.t,3)="PAS","Saco",LEFT(_xlpm.t,3)="PBT","Big Bag",TRUE,"-"))</f>
        <v>Saco</v>
      </c>
      <c r="Q14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17.09</v>
      </c>
      <c r="R14" s="89">
        <f>IF(_Shipments[[#This Row],[Embalagem]]="Big Bag",_Shipments[[#This Row],[Qtd.]],ROUNDUP(_Shipments[[#This Row],[Qtd.]]/_Shipments[[#This Row],[Qtde. sacos/palete]],0))</f>
        <v>1</v>
      </c>
      <c r="S14" s="26" t="s">
        <v>160</v>
      </c>
      <c r="T14" s="51">
        <v>63981169588</v>
      </c>
      <c r="U14" s="26" t="s">
        <v>146</v>
      </c>
      <c r="V14" s="26" t="s">
        <v>147</v>
      </c>
      <c r="W14" s="26" t="s">
        <v>126</v>
      </c>
      <c r="Y14" s="88">
        <v>7241116</v>
      </c>
      <c r="AB14" s="26"/>
    </row>
    <row r="15" spans="1:28" x14ac:dyDescent="0.25">
      <c r="A15" s="47">
        <f>_xlfn.XLOOKUP(_Shipments[[#This Row],[Shipment]],[1]Report!$G:$G,[1]Report!$B:$B,"-")</f>
        <v>46260.375</v>
      </c>
      <c r="B15" s="26">
        <v>7240105</v>
      </c>
      <c r="C15" s="26">
        <v>5541981927</v>
      </c>
      <c r="D15" s="26">
        <v>2</v>
      </c>
      <c r="E15" s="26" t="s">
        <v>36</v>
      </c>
      <c r="F15" s="85">
        <v>39</v>
      </c>
      <c r="G15" s="26" t="s">
        <v>283</v>
      </c>
      <c r="H15" s="26" t="s">
        <v>26</v>
      </c>
      <c r="I15" s="26" t="s">
        <v>27</v>
      </c>
      <c r="J15" s="26">
        <v>39</v>
      </c>
      <c r="K15" s="26">
        <v>7550832</v>
      </c>
      <c r="L15" s="26" t="s">
        <v>51</v>
      </c>
      <c r="M15" s="26" t="s">
        <v>46</v>
      </c>
      <c r="N15" s="48">
        <f>IF(_Shipments[[#This Row],[Embalagem]]="Big Bag",_Shipments[[#This Row],[Qtd.]]*_Shipments[[#This Row],[Qtde. sacos/palete]],_Shipments[[#This Row],[Qtd.]])</f>
        <v>39</v>
      </c>
      <c r="O15" s="49">
        <f>_xlfn.XLOOKUP(_Shipments[[#This Row],[CLN]],[2]Dados!$D:$D,[2]Dados!$R:$R,"-")</f>
        <v>60</v>
      </c>
      <c r="P15" s="49" t="str" cm="1">
        <f t="array" ref="P15">_xlfn.LET(_xlpm.t,_xlfn.XLOOKUP(_Shipments[[#This Row],[CLN]],[2]Dados!$D:$D,[2]Dados!$Q:$Q,"-"),_xlfn.IFS(LEFT(_xlpm.t,3)="PAS","Saco",LEFT(_xlpm.t,3)="PBT","Big Bag",TRUE,"-"))</f>
        <v>Saco</v>
      </c>
      <c r="Q15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17.46</v>
      </c>
      <c r="R15" s="89">
        <f>IF(_Shipments[[#This Row],[Embalagem]]="Big Bag",_Shipments[[#This Row],[Qtd.]],ROUNDUP(_Shipments[[#This Row],[Qtd.]]/_Shipments[[#This Row],[Qtde. sacos/palete]],0))</f>
        <v>1</v>
      </c>
      <c r="S15" s="26" t="s">
        <v>160</v>
      </c>
      <c r="T15" s="51">
        <v>63981169588</v>
      </c>
      <c r="U15" s="26" t="s">
        <v>146</v>
      </c>
      <c r="V15" s="26" t="s">
        <v>147</v>
      </c>
      <c r="W15" s="26" t="s">
        <v>126</v>
      </c>
      <c r="Y15" s="88">
        <v>7241123</v>
      </c>
      <c r="AB15" s="26"/>
    </row>
    <row r="16" spans="1:28" x14ac:dyDescent="0.25">
      <c r="A16" s="47">
        <f>_xlfn.XLOOKUP(_Shipments[[#This Row],[Shipment]],[1]Report!$G:$G,[1]Report!$B:$B,"-")</f>
        <v>46260.375</v>
      </c>
      <c r="B16" s="26">
        <v>7240105</v>
      </c>
      <c r="C16" s="26">
        <v>5541981927</v>
      </c>
      <c r="D16" s="26">
        <v>3</v>
      </c>
      <c r="E16" s="26" t="s">
        <v>36</v>
      </c>
      <c r="F16" s="85">
        <v>32</v>
      </c>
      <c r="G16" s="26" t="s">
        <v>283</v>
      </c>
      <c r="H16" s="26" t="s">
        <v>26</v>
      </c>
      <c r="I16" s="26" t="s">
        <v>27</v>
      </c>
      <c r="J16" s="26">
        <v>32</v>
      </c>
      <c r="K16" s="26">
        <v>7550840</v>
      </c>
      <c r="L16" s="26" t="s">
        <v>52</v>
      </c>
      <c r="M16" s="26" t="s">
        <v>38</v>
      </c>
      <c r="N16" s="48">
        <f>IF(_Shipments[[#This Row],[Embalagem]]="Big Bag",_Shipments[[#This Row],[Qtd.]]*_Shipments[[#This Row],[Qtde. sacos/palete]],_Shipments[[#This Row],[Qtd.]])</f>
        <v>32</v>
      </c>
      <c r="O16" s="49">
        <f>_xlfn.XLOOKUP(_Shipments[[#This Row],[CLN]],[2]Dados!$D:$D,[2]Dados!$R:$R,"-")</f>
        <v>60</v>
      </c>
      <c r="P16" s="49" t="str" cm="1">
        <f t="array" ref="P16">_xlfn.LET(_xlpm.t,_xlfn.XLOOKUP(_Shipments[[#This Row],[CLN]],[2]Dados!$D:$D,[2]Dados!$Q:$Q,"-"),_xlfn.IFS(LEFT(_xlpm.t,3)="PAS","Saco",LEFT(_xlpm.t,3)="PBT","Big Bag",TRUE,"-"))</f>
        <v>Saco</v>
      </c>
      <c r="Q16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14.51</v>
      </c>
      <c r="R16" s="89">
        <f>IF(_Shipments[[#This Row],[Embalagem]]="Big Bag",_Shipments[[#This Row],[Qtd.]],ROUNDUP(_Shipments[[#This Row],[Qtd.]]/_Shipments[[#This Row],[Qtde. sacos/palete]],0))</f>
        <v>1</v>
      </c>
      <c r="S16" s="26" t="s">
        <v>160</v>
      </c>
      <c r="T16" s="51">
        <v>63981169588</v>
      </c>
      <c r="U16" s="26" t="s">
        <v>146</v>
      </c>
      <c r="V16" s="26" t="s">
        <v>147</v>
      </c>
      <c r="W16" s="26" t="s">
        <v>126</v>
      </c>
      <c r="Y16" s="88">
        <v>7241124</v>
      </c>
      <c r="AB16" s="26"/>
    </row>
    <row r="17" spans="1:28" x14ac:dyDescent="0.25">
      <c r="A17" s="47">
        <f>_xlfn.XLOOKUP(_Shipments[[#This Row],[Shipment]],[1]Report!$G:$G,[1]Report!$B:$B,"-")</f>
        <v>46260.375</v>
      </c>
      <c r="B17" s="26">
        <v>7240105</v>
      </c>
      <c r="C17" s="26">
        <v>5541981927</v>
      </c>
      <c r="D17" s="26">
        <v>4</v>
      </c>
      <c r="E17" s="26" t="s">
        <v>36</v>
      </c>
      <c r="F17" s="85">
        <v>39</v>
      </c>
      <c r="G17" s="26" t="s">
        <v>283</v>
      </c>
      <c r="H17" s="26" t="s">
        <v>26</v>
      </c>
      <c r="I17" s="26" t="s">
        <v>27</v>
      </c>
      <c r="J17" s="26">
        <v>39</v>
      </c>
      <c r="K17" s="26">
        <v>7550842</v>
      </c>
      <c r="L17" s="26" t="s">
        <v>53</v>
      </c>
      <c r="M17" s="26" t="s">
        <v>38</v>
      </c>
      <c r="N17" s="48">
        <f>IF(_Shipments[[#This Row],[Embalagem]]="Big Bag",_Shipments[[#This Row],[Qtd.]]*_Shipments[[#This Row],[Qtde. sacos/palete]],_Shipments[[#This Row],[Qtd.]])</f>
        <v>39</v>
      </c>
      <c r="O17" s="49">
        <f>_xlfn.XLOOKUP(_Shipments[[#This Row],[CLN]],[2]Dados!$D:$D,[2]Dados!$R:$R,"-")</f>
        <v>60</v>
      </c>
      <c r="P17" s="49" t="str" cm="1">
        <f t="array" ref="P17">_xlfn.LET(_xlpm.t,_xlfn.XLOOKUP(_Shipments[[#This Row],[CLN]],[2]Dados!$D:$D,[2]Dados!$Q:$Q,"-"),_xlfn.IFS(LEFT(_xlpm.t,3)="PAS","Saco",LEFT(_xlpm.t,3)="PBT","Big Bag",TRUE,"-"))</f>
        <v>Saco</v>
      </c>
      <c r="Q17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15.09</v>
      </c>
      <c r="R17" s="89">
        <f>IF(_Shipments[[#This Row],[Embalagem]]="Big Bag",_Shipments[[#This Row],[Qtd.]],ROUNDUP(_Shipments[[#This Row],[Qtd.]]/_Shipments[[#This Row],[Qtde. sacos/palete]],0))</f>
        <v>1</v>
      </c>
      <c r="S17" s="26" t="s">
        <v>160</v>
      </c>
      <c r="T17" s="51">
        <v>63981169588</v>
      </c>
      <c r="U17" s="26" t="s">
        <v>146</v>
      </c>
      <c r="V17" s="26" t="s">
        <v>147</v>
      </c>
      <c r="W17" s="26" t="s">
        <v>126</v>
      </c>
      <c r="Y17" s="88">
        <v>7241125</v>
      </c>
      <c r="AB17" s="26"/>
    </row>
    <row r="18" spans="1:28" x14ac:dyDescent="0.25">
      <c r="A18" s="47">
        <f>_xlfn.XLOOKUP(_Shipments[[#This Row],[Shipment]],[1]Report!$G:$G,[1]Report!$B:$B,"-")</f>
        <v>46260.375</v>
      </c>
      <c r="B18" s="26">
        <v>7240105</v>
      </c>
      <c r="C18" s="26">
        <v>5541981927</v>
      </c>
      <c r="D18" s="26">
        <v>5</v>
      </c>
      <c r="E18" s="26" t="s">
        <v>30</v>
      </c>
      <c r="F18" s="85">
        <v>590</v>
      </c>
      <c r="G18" s="26" t="s">
        <v>283</v>
      </c>
      <c r="H18" s="26" t="s">
        <v>26</v>
      </c>
      <c r="I18" s="26" t="s">
        <v>27</v>
      </c>
      <c r="J18" s="26">
        <v>590</v>
      </c>
      <c r="K18" s="26">
        <v>7520893</v>
      </c>
      <c r="L18" s="26" t="s">
        <v>54</v>
      </c>
      <c r="M18" s="26" t="s">
        <v>43</v>
      </c>
      <c r="N18" s="48">
        <f>IF(_Shipments[[#This Row],[Embalagem]]="Big Bag",_Shipments[[#This Row],[Qtd.]]*_Shipments[[#This Row],[Qtde. sacos/palete]],_Shipments[[#This Row],[Qtd.]])</f>
        <v>590</v>
      </c>
      <c r="O18" s="49">
        <f>_xlfn.XLOOKUP(_Shipments[[#This Row],[CLN]],[2]Dados!$D:$D,[2]Dados!$R:$R,"-")</f>
        <v>70</v>
      </c>
      <c r="P18" s="49" t="str" cm="1">
        <f t="array" ref="P18">_xlfn.LET(_xlpm.t,_xlfn.XLOOKUP(_Shipments[[#This Row],[CLN]],[2]Dados!$D:$D,[2]Dados!$Q:$Q,"-"),_xlfn.IFS(LEFT(_xlpm.t,3)="PAS","Saco",LEFT(_xlpm.t,3)="PBT","Big Bag",TRUE,"-"))</f>
        <v>Saco</v>
      </c>
      <c r="Q18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13.3</v>
      </c>
      <c r="R18" s="89">
        <f>IF(_Shipments[[#This Row],[Embalagem]]="Big Bag",_Shipments[[#This Row],[Qtd.]],ROUNDUP(_Shipments[[#This Row],[Qtd.]]/_Shipments[[#This Row],[Qtde. sacos/palete]],0))</f>
        <v>9</v>
      </c>
      <c r="S18" s="26" t="s">
        <v>160</v>
      </c>
      <c r="T18" s="51">
        <v>63981169588</v>
      </c>
      <c r="U18" s="26" t="s">
        <v>146</v>
      </c>
      <c r="V18" s="26" t="s">
        <v>147</v>
      </c>
      <c r="W18" s="26" t="s">
        <v>126</v>
      </c>
      <c r="Y18" s="88">
        <v>7241127</v>
      </c>
      <c r="AB18" s="26"/>
    </row>
    <row r="19" spans="1:28" x14ac:dyDescent="0.25">
      <c r="A19" s="47">
        <f>_xlfn.XLOOKUP(_Shipments[[#This Row],[Shipment]],[1]Report!$G:$G,[1]Report!$B:$B,"-")</f>
        <v>46260.375</v>
      </c>
      <c r="B19" s="26">
        <v>7240105</v>
      </c>
      <c r="C19" s="26">
        <v>5541981927</v>
      </c>
      <c r="D19" s="26">
        <v>6</v>
      </c>
      <c r="E19" s="26" t="s">
        <v>25</v>
      </c>
      <c r="F19" s="85">
        <v>588</v>
      </c>
      <c r="G19" s="26" t="s">
        <v>283</v>
      </c>
      <c r="H19" s="26" t="s">
        <v>26</v>
      </c>
      <c r="I19" s="26" t="s">
        <v>27</v>
      </c>
      <c r="J19" s="26">
        <v>588</v>
      </c>
      <c r="K19" s="26">
        <v>7520919</v>
      </c>
      <c r="L19" s="26" t="s">
        <v>55</v>
      </c>
      <c r="M19" s="26" t="s">
        <v>29</v>
      </c>
      <c r="N19" s="48">
        <f>IF(_Shipments[[#This Row],[Embalagem]]="Big Bag",_Shipments[[#This Row],[Qtd.]]*_Shipments[[#This Row],[Qtde. sacos/palete]],_Shipments[[#This Row],[Qtd.]])</f>
        <v>588</v>
      </c>
      <c r="O19" s="49">
        <f>_xlfn.XLOOKUP(_Shipments[[#This Row],[CLN]],[2]Dados!$D:$D,[2]Dados!$R:$R,"-")</f>
        <v>75</v>
      </c>
      <c r="P19" s="49" t="str" cm="1">
        <f t="array" ref="P19">_xlfn.LET(_xlpm.t,_xlfn.XLOOKUP(_Shipments[[#This Row],[CLN]],[2]Dados!$D:$D,[2]Dados!$Q:$Q,"-"),_xlfn.IFS(LEFT(_xlpm.t,3)="PAS","Saco",LEFT(_xlpm.t,3)="PBT","Big Bag",TRUE,"-"))</f>
        <v>Saco</v>
      </c>
      <c r="Q19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12.19</v>
      </c>
      <c r="R19" s="89">
        <f>IF(_Shipments[[#This Row],[Embalagem]]="Big Bag",_Shipments[[#This Row],[Qtd.]],ROUNDUP(_Shipments[[#This Row],[Qtd.]]/_Shipments[[#This Row],[Qtde. sacos/palete]],0))</f>
        <v>8</v>
      </c>
      <c r="S19" s="26" t="s">
        <v>160</v>
      </c>
      <c r="T19" s="51">
        <v>63981169588</v>
      </c>
      <c r="U19" s="26" t="s">
        <v>146</v>
      </c>
      <c r="V19" s="26" t="s">
        <v>147</v>
      </c>
      <c r="W19" s="26" t="s">
        <v>126</v>
      </c>
      <c r="Y19" s="88">
        <v>7241131</v>
      </c>
      <c r="AB19" s="26"/>
    </row>
    <row r="20" spans="1:28" x14ac:dyDescent="0.25">
      <c r="A20" s="47">
        <f>_xlfn.XLOOKUP(_Shipments[[#This Row],[Shipment]],[1]Report!$G:$G,[1]Report!$B:$B,"-")</f>
        <v>46261.375</v>
      </c>
      <c r="B20" s="26">
        <v>7240106</v>
      </c>
      <c r="C20" s="26">
        <v>5541981931</v>
      </c>
      <c r="D20" s="26">
        <v>1</v>
      </c>
      <c r="E20" s="26" t="s">
        <v>13</v>
      </c>
      <c r="F20" s="85">
        <v>20</v>
      </c>
      <c r="G20" s="26" t="s">
        <v>283</v>
      </c>
      <c r="H20" s="26" t="s">
        <v>26</v>
      </c>
      <c r="I20" s="26" t="s">
        <v>27</v>
      </c>
      <c r="J20" s="26">
        <v>20</v>
      </c>
      <c r="K20" s="26">
        <v>7518215</v>
      </c>
      <c r="L20" s="26" t="s">
        <v>14</v>
      </c>
      <c r="M20" s="26" t="s">
        <v>35</v>
      </c>
      <c r="N20" s="48">
        <f>IF(_Shipments[[#This Row],[Embalagem]]="Big Bag",_Shipments[[#This Row],[Qtd.]]*_Shipments[[#This Row],[Qtde. sacos/palete]],_Shipments[[#This Row],[Qtd.]])</f>
        <v>800</v>
      </c>
      <c r="O20" s="49">
        <f>_xlfn.XLOOKUP(_Shipments[[#This Row],[CLN]],[2]Dados!$D:$D,[2]Dados!$R:$R,"-")</f>
        <v>40</v>
      </c>
      <c r="P20" s="49" t="str" cm="1">
        <f t="array" ref="P20">_xlfn.LET(_xlpm.t,_xlfn.XLOOKUP(_Shipments[[#This Row],[CLN]],[2]Dados!$D:$D,[2]Dados!$Q:$Q,"-"),_xlfn.IFS(LEFT(_xlpm.t,3)="PAS","Saco",LEFT(_xlpm.t,3)="PBT","Big Bag",TRUE,"-"))</f>
        <v>Big Bag</v>
      </c>
      <c r="Q20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686.4</v>
      </c>
      <c r="R20" s="89">
        <f>IF(_Shipments[[#This Row],[Embalagem]]="Big Bag",_Shipments[[#This Row],[Qtd.]],ROUNDUP(_Shipments[[#This Row],[Qtd.]]/_Shipments[[#This Row],[Qtde. sacos/palete]],0))</f>
        <v>20</v>
      </c>
      <c r="S20" s="26" t="s">
        <v>161</v>
      </c>
      <c r="T20" s="51">
        <v>34999994801</v>
      </c>
      <c r="U20" s="26" t="s">
        <v>148</v>
      </c>
      <c r="V20" s="26" t="s">
        <v>149</v>
      </c>
      <c r="W20" s="26" t="s">
        <v>126</v>
      </c>
      <c r="Y20" s="88">
        <v>7241132</v>
      </c>
      <c r="AB20" s="26"/>
    </row>
    <row r="21" spans="1:28" x14ac:dyDescent="0.25">
      <c r="A21" s="47">
        <f>_xlfn.XLOOKUP(_Shipments[[#This Row],[Shipment]],[1]Report!$G:$G,[1]Report!$B:$B,"-")</f>
        <v>46261.416666666664</v>
      </c>
      <c r="B21" s="26">
        <v>7240107</v>
      </c>
      <c r="C21" s="26">
        <v>5541981932</v>
      </c>
      <c r="D21" s="26">
        <v>1</v>
      </c>
      <c r="E21" s="26" t="s">
        <v>56</v>
      </c>
      <c r="F21" s="85">
        <v>20</v>
      </c>
      <c r="G21" s="26" t="s">
        <v>283</v>
      </c>
      <c r="H21" s="26" t="s">
        <v>26</v>
      </c>
      <c r="I21" s="26" t="s">
        <v>27</v>
      </c>
      <c r="J21" s="26">
        <v>20</v>
      </c>
      <c r="K21" s="26">
        <v>7518187</v>
      </c>
      <c r="L21" s="26" t="s">
        <v>57</v>
      </c>
      <c r="M21" s="26" t="s">
        <v>32</v>
      </c>
      <c r="N21" s="48">
        <f>IF(_Shipments[[#This Row],[Embalagem]]="Big Bag",_Shipments[[#This Row],[Qtd.]]*_Shipments[[#This Row],[Qtde. sacos/palete]],_Shipments[[#This Row],[Qtd.]])</f>
        <v>800</v>
      </c>
      <c r="O21" s="49">
        <f>_xlfn.XLOOKUP(_Shipments[[#This Row],[CLN]],[2]Dados!$D:$D,[2]Dados!$R:$R,"-")</f>
        <v>40</v>
      </c>
      <c r="P21" s="49" t="str" cm="1">
        <f t="array" ref="P21">_xlfn.LET(_xlpm.t,_xlfn.XLOOKUP(_Shipments[[#This Row],[CLN]],[2]Dados!$D:$D,[2]Dados!$Q:$Q,"-"),_xlfn.IFS(LEFT(_xlpm.t,3)="PAS","Saco",LEFT(_xlpm.t,3)="PBT","Big Bag",TRUE,"-"))</f>
        <v>Big Bag</v>
      </c>
      <c r="Q21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562.4</v>
      </c>
      <c r="R21" s="89">
        <f>IF(_Shipments[[#This Row],[Embalagem]]="Big Bag",_Shipments[[#This Row],[Qtd.]],ROUNDUP(_Shipments[[#This Row],[Qtd.]]/_Shipments[[#This Row],[Qtde. sacos/palete]],0))</f>
        <v>20</v>
      </c>
      <c r="S21" s="26" t="s">
        <v>162</v>
      </c>
      <c r="T21" s="51">
        <v>61999471983</v>
      </c>
      <c r="U21" s="26" t="s">
        <v>150</v>
      </c>
      <c r="V21" s="26" t="s">
        <v>151</v>
      </c>
      <c r="W21" s="26" t="s">
        <v>126</v>
      </c>
      <c r="Y21" s="88">
        <v>7241134</v>
      </c>
      <c r="AB21" s="26"/>
    </row>
    <row r="22" spans="1:28" x14ac:dyDescent="0.25">
      <c r="A22" s="47">
        <f>_xlfn.XLOOKUP(_Shipments[[#This Row],[Shipment]],[1]Report!$G:$G,[1]Report!$B:$B,"-")</f>
        <v>46261.416666666664</v>
      </c>
      <c r="B22" s="26">
        <v>7240108</v>
      </c>
      <c r="C22" s="26">
        <v>5541981933</v>
      </c>
      <c r="D22" s="26">
        <v>1</v>
      </c>
      <c r="E22" s="26" t="s">
        <v>16</v>
      </c>
      <c r="F22" s="85">
        <v>21</v>
      </c>
      <c r="G22" s="26" t="s">
        <v>283</v>
      </c>
      <c r="H22" s="26" t="s">
        <v>26</v>
      </c>
      <c r="I22" s="26" t="s">
        <v>27</v>
      </c>
      <c r="J22" s="26">
        <v>21</v>
      </c>
      <c r="K22" s="26">
        <v>7518125</v>
      </c>
      <c r="L22" s="26" t="s">
        <v>58</v>
      </c>
      <c r="M22" s="26" t="s">
        <v>38</v>
      </c>
      <c r="N22" s="48">
        <f>IF(_Shipments[[#This Row],[Embalagem]]="Big Bag",_Shipments[[#This Row],[Qtd.]]*_Shipments[[#This Row],[Qtde. sacos/palete]],_Shipments[[#This Row],[Qtd.]])</f>
        <v>840</v>
      </c>
      <c r="O22" s="49">
        <f>_xlfn.XLOOKUP(_Shipments[[#This Row],[CLN]],[2]Dados!$D:$D,[2]Dados!$R:$R,"-")</f>
        <v>40</v>
      </c>
      <c r="P22" s="49" t="str" cm="1">
        <f t="array" ref="P22">_xlfn.LET(_xlpm.t,_xlfn.XLOOKUP(_Shipments[[#This Row],[CLN]],[2]Dados!$D:$D,[2]Dados!$Q:$Q,"-"),_xlfn.IFS(LEFT(_xlpm.t,3)="PAS","Saco",LEFT(_xlpm.t,3)="PBT","Big Bag",TRUE,"-"))</f>
        <v>Big Bag</v>
      </c>
      <c r="Q22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580.4</v>
      </c>
      <c r="R22" s="89">
        <f>IF(_Shipments[[#This Row],[Embalagem]]="Big Bag",_Shipments[[#This Row],[Qtd.]],ROUNDUP(_Shipments[[#This Row],[Qtd.]]/_Shipments[[#This Row],[Qtde. sacos/palete]],0))</f>
        <v>21</v>
      </c>
      <c r="S22" s="26" t="s">
        <v>163</v>
      </c>
      <c r="T22" s="51">
        <v>34999233031</v>
      </c>
      <c r="U22" s="26" t="s">
        <v>152</v>
      </c>
      <c r="V22" s="26" t="s">
        <v>153</v>
      </c>
      <c r="W22" s="26" t="s">
        <v>126</v>
      </c>
      <c r="Y22" s="88">
        <v>7241135</v>
      </c>
      <c r="AB22" s="26"/>
    </row>
    <row r="23" spans="1:28" x14ac:dyDescent="0.25">
      <c r="A23" s="47">
        <f>_xlfn.XLOOKUP(_Shipments[[#This Row],[Shipment]],[1]Report!$G:$G,[1]Report!$B:$B,"-")</f>
        <v>46262.375</v>
      </c>
      <c r="B23" s="26">
        <v>7240109</v>
      </c>
      <c r="C23" s="26">
        <v>5541981934</v>
      </c>
      <c r="D23" s="26">
        <v>1</v>
      </c>
      <c r="E23" s="26" t="s">
        <v>16</v>
      </c>
      <c r="F23" s="85">
        <v>20</v>
      </c>
      <c r="G23" s="26" t="s">
        <v>283</v>
      </c>
      <c r="H23" s="26" t="s">
        <v>26</v>
      </c>
      <c r="I23" s="26" t="s">
        <v>27</v>
      </c>
      <c r="J23" s="26">
        <v>20</v>
      </c>
      <c r="K23" s="26">
        <v>7518123</v>
      </c>
      <c r="L23" s="26" t="s">
        <v>15</v>
      </c>
      <c r="M23" s="26" t="s">
        <v>38</v>
      </c>
      <c r="N23" s="48">
        <f>IF(_Shipments[[#This Row],[Embalagem]]="Big Bag",_Shipments[[#This Row],[Qtd.]]*_Shipments[[#This Row],[Qtde. sacos/palete]],_Shipments[[#This Row],[Qtd.]])</f>
        <v>800</v>
      </c>
      <c r="O23" s="49">
        <f>_xlfn.XLOOKUP(_Shipments[[#This Row],[CLN]],[2]Dados!$D:$D,[2]Dados!$R:$R,"-")</f>
        <v>40</v>
      </c>
      <c r="P23" s="49" t="str" cm="1">
        <f t="array" ref="P23">_xlfn.LET(_xlpm.t,_xlfn.XLOOKUP(_Shipments[[#This Row],[CLN]],[2]Dados!$D:$D,[2]Dados!$Q:$Q,"-"),_xlfn.IFS(LEFT(_xlpm.t,3)="PAS","Saco",LEFT(_xlpm.t,3)="PBT","Big Bag",TRUE,"-"))</f>
        <v>Big Bag</v>
      </c>
      <c r="Q23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595.6</v>
      </c>
      <c r="R23" s="89">
        <f>IF(_Shipments[[#This Row],[Embalagem]]="Big Bag",_Shipments[[#This Row],[Qtd.]],ROUNDUP(_Shipments[[#This Row],[Qtd.]]/_Shipments[[#This Row],[Qtde. sacos/palete]],0))</f>
        <v>20</v>
      </c>
      <c r="S23" s="26" t="s">
        <v>164</v>
      </c>
      <c r="T23" s="51">
        <v>34999586631</v>
      </c>
      <c r="U23" s="26" t="s">
        <v>154</v>
      </c>
      <c r="V23" s="26" t="s">
        <v>155</v>
      </c>
      <c r="W23" s="26" t="s">
        <v>126</v>
      </c>
      <c r="Y23" s="88">
        <v>7241136</v>
      </c>
      <c r="AB23" s="26"/>
    </row>
    <row r="24" spans="1:28" x14ac:dyDescent="0.25">
      <c r="A24" s="47">
        <f>_xlfn.XLOOKUP(_Shipments[[#This Row],[Shipment]],[1]Report!$G:$G,[1]Report!$B:$B,"-")</f>
        <v>46262.416666666664</v>
      </c>
      <c r="B24" s="26">
        <v>7240110</v>
      </c>
      <c r="C24" s="26">
        <v>5541981935</v>
      </c>
      <c r="D24" s="26">
        <v>1</v>
      </c>
      <c r="E24" s="26" t="s">
        <v>59</v>
      </c>
      <c r="F24" s="85">
        <v>9</v>
      </c>
      <c r="G24" s="26" t="s">
        <v>283</v>
      </c>
      <c r="H24" s="26" t="s">
        <v>26</v>
      </c>
      <c r="I24" s="26" t="s">
        <v>27</v>
      </c>
      <c r="J24" s="26">
        <v>9</v>
      </c>
      <c r="K24" s="26">
        <v>7518037</v>
      </c>
      <c r="L24" s="26" t="s">
        <v>60</v>
      </c>
      <c r="M24" s="26" t="s">
        <v>61</v>
      </c>
      <c r="N24" s="48">
        <f>IF(_Shipments[[#This Row],[Embalagem]]="Big Bag",_Shipments[[#This Row],[Qtd.]]*_Shipments[[#This Row],[Qtde. sacos/palete]],_Shipments[[#This Row],[Qtd.]])</f>
        <v>360</v>
      </c>
      <c r="O24" s="49">
        <f>_xlfn.XLOOKUP(_Shipments[[#This Row],[CLN]],[2]Dados!$D:$D,[2]Dados!$R:$R,"-")</f>
        <v>40</v>
      </c>
      <c r="P24" s="49" t="str" cm="1">
        <f t="array" ref="P24">_xlfn.LET(_xlpm.t,_xlfn.XLOOKUP(_Shipments[[#This Row],[CLN]],[2]Dados!$D:$D,[2]Dados!$Q:$Q,"-"),_xlfn.IFS(LEFT(_xlpm.t,3)="PAS","Saco",LEFT(_xlpm.t,3)="PBT","Big Bag",TRUE,"-"))</f>
        <v>Big Bag</v>
      </c>
      <c r="Q24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839.59999999999991</v>
      </c>
      <c r="R24" s="89">
        <f>IF(_Shipments[[#This Row],[Embalagem]]="Big Bag",_Shipments[[#This Row],[Qtd.]],ROUNDUP(_Shipments[[#This Row],[Qtd.]]/_Shipments[[#This Row],[Qtde. sacos/palete]],0))</f>
        <v>9</v>
      </c>
      <c r="S24" s="26" t="s">
        <v>165</v>
      </c>
      <c r="T24" s="51">
        <v>34991057132</v>
      </c>
      <c r="U24" s="26" t="s">
        <v>156</v>
      </c>
      <c r="V24" s="26" t="s">
        <v>157</v>
      </c>
      <c r="W24" s="26" t="s">
        <v>126</v>
      </c>
      <c r="Y24" s="88">
        <v>7241137</v>
      </c>
      <c r="AB24" s="26"/>
    </row>
    <row r="25" spans="1:28" x14ac:dyDescent="0.25">
      <c r="A25" s="47">
        <f>_xlfn.XLOOKUP(_Shipments[[#This Row],[Shipment]],[1]Report!$G:$G,[1]Report!$B:$B,"-")</f>
        <v>46262.416666666664</v>
      </c>
      <c r="B25" s="26">
        <v>7240110</v>
      </c>
      <c r="C25" s="26">
        <v>5541981935</v>
      </c>
      <c r="D25" s="26">
        <v>2</v>
      </c>
      <c r="E25" s="26" t="s">
        <v>56</v>
      </c>
      <c r="F25" s="85">
        <v>12</v>
      </c>
      <c r="G25" s="26" t="s">
        <v>283</v>
      </c>
      <c r="H25" s="26" t="s">
        <v>26</v>
      </c>
      <c r="I25" s="26" t="s">
        <v>27</v>
      </c>
      <c r="J25" s="26">
        <v>12</v>
      </c>
      <c r="K25" s="26">
        <v>7518192</v>
      </c>
      <c r="L25" s="26" t="s">
        <v>62</v>
      </c>
      <c r="M25" s="26" t="s">
        <v>32</v>
      </c>
      <c r="N25" s="48">
        <f>IF(_Shipments[[#This Row],[Embalagem]]="Big Bag",_Shipments[[#This Row],[Qtd.]]*_Shipments[[#This Row],[Qtde. sacos/palete]],_Shipments[[#This Row],[Qtd.]])</f>
        <v>480</v>
      </c>
      <c r="O25" s="49">
        <f>_xlfn.XLOOKUP(_Shipments[[#This Row],[CLN]],[2]Dados!$D:$D,[2]Dados!$R:$R,"-")</f>
        <v>40</v>
      </c>
      <c r="P25" s="49" t="str" cm="1">
        <f t="array" ref="P25">_xlfn.LET(_xlpm.t,_xlfn.XLOOKUP(_Shipments[[#This Row],[CLN]],[2]Dados!$D:$D,[2]Dados!$Q:$Q,"-"),_xlfn.IFS(LEFT(_xlpm.t,3)="PAS","Saco",LEFT(_xlpm.t,3)="PBT","Big Bag",TRUE,"-"))</f>
        <v>Big Bag</v>
      </c>
      <c r="Q25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572</v>
      </c>
      <c r="R25" s="89">
        <f>IF(_Shipments[[#This Row],[Embalagem]]="Big Bag",_Shipments[[#This Row],[Qtd.]],ROUNDUP(_Shipments[[#This Row],[Qtd.]]/_Shipments[[#This Row],[Qtde. sacos/palete]],0))</f>
        <v>12</v>
      </c>
      <c r="S25" s="26" t="s">
        <v>165</v>
      </c>
      <c r="T25" s="51">
        <v>34991057132</v>
      </c>
      <c r="U25" s="26" t="s">
        <v>156</v>
      </c>
      <c r="V25" s="26" t="s">
        <v>157</v>
      </c>
      <c r="W25" s="26" t="s">
        <v>126</v>
      </c>
      <c r="Y25" s="88">
        <v>7241139</v>
      </c>
      <c r="AB25" s="26"/>
    </row>
    <row r="26" spans="1:28" x14ac:dyDescent="0.25">
      <c r="A26" s="47">
        <f>_xlfn.XLOOKUP(_Shipments[[#This Row],[Shipment]],[1]Report!$G:$G,[1]Report!$B:$B,"-")</f>
        <v>46262.416666666664</v>
      </c>
      <c r="B26" s="26">
        <v>7240111</v>
      </c>
      <c r="C26" s="26">
        <v>5541981936</v>
      </c>
      <c r="D26" s="26">
        <v>1</v>
      </c>
      <c r="E26" s="26" t="s">
        <v>16</v>
      </c>
      <c r="F26" s="85">
        <v>21</v>
      </c>
      <c r="G26" s="26" t="s">
        <v>283</v>
      </c>
      <c r="H26" s="26" t="s">
        <v>26</v>
      </c>
      <c r="I26" s="26" t="s">
        <v>27</v>
      </c>
      <c r="J26" s="26">
        <v>21</v>
      </c>
      <c r="K26" s="26">
        <v>7518134</v>
      </c>
      <c r="L26" s="26" t="s">
        <v>63</v>
      </c>
      <c r="M26" s="26" t="s">
        <v>38</v>
      </c>
      <c r="N26" s="48">
        <f>IF(_Shipments[[#This Row],[Embalagem]]="Big Bag",_Shipments[[#This Row],[Qtd.]]*_Shipments[[#This Row],[Qtde. sacos/palete]],_Shipments[[#This Row],[Qtd.]])</f>
        <v>840</v>
      </c>
      <c r="O26" s="49">
        <f>_xlfn.XLOOKUP(_Shipments[[#This Row],[CLN]],[2]Dados!$D:$D,[2]Dados!$R:$R,"-")</f>
        <v>40</v>
      </c>
      <c r="P26" s="49" t="str" cm="1">
        <f t="array" ref="P26">_xlfn.LET(_xlpm.t,_xlfn.XLOOKUP(_Shipments[[#This Row],[CLN]],[2]Dados!$D:$D,[2]Dados!$Q:$Q,"-"),_xlfn.IFS(LEFT(_xlpm.t,3)="PAS","Saco",LEFT(_xlpm.t,3)="PBT","Big Bag",TRUE,"-"))</f>
        <v>Big Bag</v>
      </c>
      <c r="Q26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591.59999999999991</v>
      </c>
      <c r="R26" s="89">
        <f>IF(_Shipments[[#This Row],[Embalagem]]="Big Bag",_Shipments[[#This Row],[Qtd.]],ROUNDUP(_Shipments[[#This Row],[Qtd.]]/_Shipments[[#This Row],[Qtde. sacos/palete]],0))</f>
        <v>21</v>
      </c>
      <c r="S26" s="26" t="s">
        <v>225</v>
      </c>
      <c r="T26" s="51">
        <v>34991337791</v>
      </c>
      <c r="U26" s="26" t="s">
        <v>120</v>
      </c>
      <c r="V26" s="26" t="s">
        <v>121</v>
      </c>
      <c r="W26" s="26" t="s">
        <v>126</v>
      </c>
      <c r="Y26" s="88">
        <v>7241141</v>
      </c>
      <c r="AB26" s="26"/>
    </row>
    <row r="27" spans="1:28" x14ac:dyDescent="0.25">
      <c r="A27" s="47">
        <f>_xlfn.XLOOKUP(_Shipments[[#This Row],[Shipment]],[1]Report!$G:$G,[1]Report!$B:$B,"-")</f>
        <v>46265.333333333336</v>
      </c>
      <c r="B27" s="26">
        <v>7241110</v>
      </c>
      <c r="C27" s="26">
        <v>5541983141</v>
      </c>
      <c r="D27" s="26">
        <v>1</v>
      </c>
      <c r="E27" s="26" t="s">
        <v>56</v>
      </c>
      <c r="F27" s="85">
        <v>8</v>
      </c>
      <c r="G27" s="26" t="s">
        <v>283</v>
      </c>
      <c r="H27" s="26" t="s">
        <v>64</v>
      </c>
      <c r="I27" s="26" t="s">
        <v>65</v>
      </c>
      <c r="J27" s="26">
        <v>8</v>
      </c>
      <c r="K27" s="26">
        <v>7518195</v>
      </c>
      <c r="L27" s="26" t="s">
        <v>66</v>
      </c>
      <c r="M27" s="26" t="s">
        <v>32</v>
      </c>
      <c r="N27" s="48">
        <f>IF(_Shipments[[#This Row],[Embalagem]]="Big Bag",_Shipments[[#This Row],[Qtd.]]*_Shipments[[#This Row],[Qtde. sacos/palete]],_Shipments[[#This Row],[Qtd.]])</f>
        <v>320</v>
      </c>
      <c r="O27" s="49">
        <f>_xlfn.XLOOKUP(_Shipments[[#This Row],[CLN]],[2]Dados!$D:$D,[2]Dados!$R:$R,"-")</f>
        <v>40</v>
      </c>
      <c r="P27" s="49" t="str" cm="1">
        <f t="array" ref="P27">_xlfn.LET(_xlpm.t,_xlfn.XLOOKUP(_Shipments[[#This Row],[CLN]],[2]Dados!$D:$D,[2]Dados!$Q:$Q,"-"),_xlfn.IFS(LEFT(_xlpm.t,3)="PAS","Saco",LEFT(_xlpm.t,3)="PBT","Big Bag",TRUE,"-"))</f>
        <v>Big Bag</v>
      </c>
      <c r="Q27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596.79999999999995</v>
      </c>
      <c r="R27" s="89">
        <f>IF(_Shipments[[#This Row],[Embalagem]]="Big Bag",_Shipments[[#This Row],[Qtd.]],ROUNDUP(_Shipments[[#This Row],[Qtd.]]/_Shipments[[#This Row],[Qtde. sacos/palete]],0))</f>
        <v>8</v>
      </c>
      <c r="S27" s="26" t="s">
        <v>131</v>
      </c>
      <c r="T27" s="51">
        <v>34999248710</v>
      </c>
      <c r="U27" s="26" t="s">
        <v>132</v>
      </c>
      <c r="V27" s="26" t="s">
        <v>133</v>
      </c>
      <c r="W27" s="26" t="s">
        <v>126</v>
      </c>
      <c r="Y27" s="88">
        <v>7241939</v>
      </c>
      <c r="AB27" s="26"/>
    </row>
    <row r="28" spans="1:28" x14ac:dyDescent="0.25">
      <c r="A28" s="47">
        <f>_xlfn.XLOOKUP(_Shipments[[#This Row],[Shipment]],[1]Report!$G:$G,[1]Report!$B:$B,"-")</f>
        <v>46265.333333333336</v>
      </c>
      <c r="B28" s="26">
        <v>7241110</v>
      </c>
      <c r="C28" s="26">
        <v>5541983141</v>
      </c>
      <c r="D28" s="26">
        <v>2</v>
      </c>
      <c r="E28" s="26" t="s">
        <v>56</v>
      </c>
      <c r="F28" s="85">
        <v>7</v>
      </c>
      <c r="G28" s="26" t="s">
        <v>283</v>
      </c>
      <c r="H28" s="26" t="s">
        <v>64</v>
      </c>
      <c r="I28" s="26" t="s">
        <v>65</v>
      </c>
      <c r="J28" s="26">
        <v>7</v>
      </c>
      <c r="K28" s="26">
        <v>7518198</v>
      </c>
      <c r="L28" s="26" t="s">
        <v>67</v>
      </c>
      <c r="M28" s="26" t="s">
        <v>32</v>
      </c>
      <c r="N28" s="48">
        <f>IF(_Shipments[[#This Row],[Embalagem]]="Big Bag",_Shipments[[#This Row],[Qtd.]]*_Shipments[[#This Row],[Qtde. sacos/palete]],_Shipments[[#This Row],[Qtd.]])</f>
        <v>280</v>
      </c>
      <c r="O28" s="49">
        <f>_xlfn.XLOOKUP(_Shipments[[#This Row],[CLN]],[2]Dados!$D:$D,[2]Dados!$R:$R,"-")</f>
        <v>40</v>
      </c>
      <c r="P28" s="49" t="str" cm="1">
        <f t="array" ref="P28">_xlfn.LET(_xlpm.t,_xlfn.XLOOKUP(_Shipments[[#This Row],[CLN]],[2]Dados!$D:$D,[2]Dados!$Q:$Q,"-"),_xlfn.IFS(LEFT(_xlpm.t,3)="PAS","Saco",LEFT(_xlpm.t,3)="PBT","Big Bag",TRUE,"-"))</f>
        <v>Big Bag</v>
      </c>
      <c r="Q28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661.2</v>
      </c>
      <c r="R28" s="89">
        <f>IF(_Shipments[[#This Row],[Embalagem]]="Big Bag",_Shipments[[#This Row],[Qtd.]],ROUNDUP(_Shipments[[#This Row],[Qtd.]]/_Shipments[[#This Row],[Qtde. sacos/palete]],0))</f>
        <v>7</v>
      </c>
      <c r="S28" s="26" t="s">
        <v>131</v>
      </c>
      <c r="T28" s="51">
        <v>34999248710</v>
      </c>
      <c r="U28" s="26" t="s">
        <v>132</v>
      </c>
      <c r="V28" s="26" t="s">
        <v>133</v>
      </c>
      <c r="W28" s="26" t="s">
        <v>126</v>
      </c>
      <c r="Y28" s="88">
        <v>7241940</v>
      </c>
      <c r="AB28" s="26"/>
    </row>
    <row r="29" spans="1:28" x14ac:dyDescent="0.25">
      <c r="A29" s="47">
        <f>_xlfn.XLOOKUP(_Shipments[[#This Row],[Shipment]],[1]Report!$G:$G,[1]Report!$B:$B,"-")</f>
        <v>46265.333333333336</v>
      </c>
      <c r="B29" s="26">
        <v>7241110</v>
      </c>
      <c r="C29" s="26">
        <v>5541983141</v>
      </c>
      <c r="D29" s="26">
        <v>3</v>
      </c>
      <c r="E29" s="26" t="s">
        <v>13</v>
      </c>
      <c r="F29" s="85">
        <v>6</v>
      </c>
      <c r="G29" s="26" t="s">
        <v>283</v>
      </c>
      <c r="H29" s="26" t="s">
        <v>64</v>
      </c>
      <c r="I29" s="26" t="s">
        <v>65</v>
      </c>
      <c r="J29" s="26">
        <v>6</v>
      </c>
      <c r="K29" s="26">
        <v>7518216</v>
      </c>
      <c r="L29" s="26" t="s">
        <v>68</v>
      </c>
      <c r="M29" s="26" t="s">
        <v>35</v>
      </c>
      <c r="N29" s="48">
        <f>IF(_Shipments[[#This Row],[Embalagem]]="Big Bag",_Shipments[[#This Row],[Qtd.]]*_Shipments[[#This Row],[Qtde. sacos/palete]],_Shipments[[#This Row],[Qtd.]])</f>
        <v>240</v>
      </c>
      <c r="O29" s="49">
        <f>_xlfn.XLOOKUP(_Shipments[[#This Row],[CLN]],[2]Dados!$D:$D,[2]Dados!$R:$R,"-")</f>
        <v>40</v>
      </c>
      <c r="P29" s="49" t="str" cm="1">
        <f t="array" ref="P29">_xlfn.LET(_xlpm.t,_xlfn.XLOOKUP(_Shipments[[#This Row],[CLN]],[2]Dados!$D:$D,[2]Dados!$Q:$Q,"-"),_xlfn.IFS(LEFT(_xlpm.t,3)="PAS","Saco",LEFT(_xlpm.t,3)="PBT","Big Bag",TRUE,"-"))</f>
        <v>Big Bag</v>
      </c>
      <c r="Q29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768</v>
      </c>
      <c r="R29" s="89">
        <f>IF(_Shipments[[#This Row],[Embalagem]]="Big Bag",_Shipments[[#This Row],[Qtd.]],ROUNDUP(_Shipments[[#This Row],[Qtd.]]/_Shipments[[#This Row],[Qtde. sacos/palete]],0))</f>
        <v>6</v>
      </c>
      <c r="S29" s="26" t="s">
        <v>131</v>
      </c>
      <c r="T29" s="51">
        <v>34999248710</v>
      </c>
      <c r="U29" s="26" t="s">
        <v>132</v>
      </c>
      <c r="V29" s="26" t="s">
        <v>133</v>
      </c>
      <c r="W29" s="26" t="s">
        <v>126</v>
      </c>
      <c r="Y29" s="88">
        <v>7241941</v>
      </c>
      <c r="AB29" s="26"/>
    </row>
    <row r="30" spans="1:28" x14ac:dyDescent="0.25">
      <c r="A30" s="47">
        <f>_xlfn.XLOOKUP(_Shipments[[#This Row],[Shipment]],[1]Report!$G:$G,[1]Report!$B:$B,"-")</f>
        <v>46265.333333333336</v>
      </c>
      <c r="B30" s="26">
        <v>7241111</v>
      </c>
      <c r="C30" s="26">
        <v>5541983143</v>
      </c>
      <c r="D30" s="26">
        <v>1</v>
      </c>
      <c r="E30" s="26" t="s">
        <v>13</v>
      </c>
      <c r="F30" s="85">
        <v>21</v>
      </c>
      <c r="G30" s="26" t="s">
        <v>283</v>
      </c>
      <c r="H30" s="26" t="s">
        <v>64</v>
      </c>
      <c r="I30" s="26" t="s">
        <v>65</v>
      </c>
      <c r="J30" s="26">
        <v>21</v>
      </c>
      <c r="K30" s="26">
        <v>7518216</v>
      </c>
      <c r="L30" s="26" t="s">
        <v>68</v>
      </c>
      <c r="M30" s="26" t="s">
        <v>35</v>
      </c>
      <c r="N30" s="48">
        <f>IF(_Shipments[[#This Row],[Embalagem]]="Big Bag",_Shipments[[#This Row],[Qtd.]]*_Shipments[[#This Row],[Qtde. sacos/palete]],_Shipments[[#This Row],[Qtd.]])</f>
        <v>840</v>
      </c>
      <c r="O30" s="49">
        <f>_xlfn.XLOOKUP(_Shipments[[#This Row],[CLN]],[2]Dados!$D:$D,[2]Dados!$R:$R,"-")</f>
        <v>40</v>
      </c>
      <c r="P30" s="49" t="str" cm="1">
        <f t="array" ref="P30">_xlfn.LET(_xlpm.t,_xlfn.XLOOKUP(_Shipments[[#This Row],[CLN]],[2]Dados!$D:$D,[2]Dados!$Q:$Q,"-"),_xlfn.IFS(LEFT(_xlpm.t,3)="PAS","Saco",LEFT(_xlpm.t,3)="PBT","Big Bag",TRUE,"-"))</f>
        <v>Big Bag</v>
      </c>
      <c r="Q30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768</v>
      </c>
      <c r="R30" s="89">
        <f>IF(_Shipments[[#This Row],[Embalagem]]="Big Bag",_Shipments[[#This Row],[Qtd.]],ROUNDUP(_Shipments[[#This Row],[Qtd.]]/_Shipments[[#This Row],[Qtde. sacos/palete]],0))</f>
        <v>21</v>
      </c>
      <c r="S30" s="26" t="s">
        <v>141</v>
      </c>
      <c r="T30" s="51">
        <v>34999810409</v>
      </c>
      <c r="U30" s="26" t="s">
        <v>142</v>
      </c>
      <c r="V30" s="26" t="s">
        <v>143</v>
      </c>
      <c r="W30" s="26" t="s">
        <v>126</v>
      </c>
      <c r="Y30" s="88">
        <v>7241943</v>
      </c>
      <c r="AB30" s="26"/>
    </row>
    <row r="31" spans="1:28" x14ac:dyDescent="0.25">
      <c r="A31" s="47">
        <f>_xlfn.XLOOKUP(_Shipments[[#This Row],[Shipment]],[1]Report!$G:$G,[1]Report!$B:$B,"-")</f>
        <v>46265.375</v>
      </c>
      <c r="B31" s="26">
        <v>7241113</v>
      </c>
      <c r="C31" s="26">
        <v>5541983144</v>
      </c>
      <c r="D31" s="26">
        <v>1</v>
      </c>
      <c r="E31" s="26" t="s">
        <v>16</v>
      </c>
      <c r="F31" s="85">
        <v>20</v>
      </c>
      <c r="G31" s="26" t="s">
        <v>283</v>
      </c>
      <c r="H31" s="26" t="s">
        <v>64</v>
      </c>
      <c r="I31" s="26" t="s">
        <v>65</v>
      </c>
      <c r="J31" s="26">
        <v>20</v>
      </c>
      <c r="K31" s="26">
        <v>7518131</v>
      </c>
      <c r="L31" s="26" t="s">
        <v>69</v>
      </c>
      <c r="M31" s="26" t="s">
        <v>38</v>
      </c>
      <c r="N31" s="48">
        <f>IF(_Shipments[[#This Row],[Embalagem]]="Big Bag",_Shipments[[#This Row],[Qtd.]]*_Shipments[[#This Row],[Qtde. sacos/palete]],_Shipments[[#This Row],[Qtd.]])</f>
        <v>800</v>
      </c>
      <c r="O31" s="49">
        <f>_xlfn.XLOOKUP(_Shipments[[#This Row],[CLN]],[2]Dados!$D:$D,[2]Dados!$R:$R,"-")</f>
        <v>40</v>
      </c>
      <c r="P31" s="49" t="str" cm="1">
        <f t="array" ref="P31">_xlfn.LET(_xlpm.t,_xlfn.XLOOKUP(_Shipments[[#This Row],[CLN]],[2]Dados!$D:$D,[2]Dados!$Q:$Q,"-"),_xlfn.IFS(LEFT(_xlpm.t,3)="PAS","Saco",LEFT(_xlpm.t,3)="PBT","Big Bag",TRUE,"-"))</f>
        <v>Big Bag</v>
      </c>
      <c r="Q31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601.59999999999991</v>
      </c>
      <c r="R31" s="89">
        <f>IF(_Shipments[[#This Row],[Embalagem]]="Big Bag",_Shipments[[#This Row],[Qtd.]],ROUNDUP(_Shipments[[#This Row],[Qtd.]]/_Shipments[[#This Row],[Qtde. sacos/palete]],0))</f>
        <v>20</v>
      </c>
      <c r="S31" s="26" t="s">
        <v>128</v>
      </c>
      <c r="T31" s="51">
        <v>34997330803</v>
      </c>
      <c r="U31" s="26" t="s">
        <v>129</v>
      </c>
      <c r="V31" s="26" t="s">
        <v>130</v>
      </c>
      <c r="W31" s="26" t="s">
        <v>126</v>
      </c>
      <c r="Y31" s="88">
        <v>7241944</v>
      </c>
      <c r="AB31" s="26"/>
    </row>
    <row r="32" spans="1:28" x14ac:dyDescent="0.25">
      <c r="A32" s="47">
        <f>_xlfn.XLOOKUP(_Shipments[[#This Row],[Shipment]],[1]Report!$G:$G,[1]Report!$B:$B,"-")</f>
        <v>46265.375</v>
      </c>
      <c r="B32" s="26">
        <v>7241116</v>
      </c>
      <c r="C32" s="26">
        <v>5541983147</v>
      </c>
      <c r="D32" s="26">
        <v>1</v>
      </c>
      <c r="E32" s="26" t="s">
        <v>16</v>
      </c>
      <c r="F32" s="85">
        <v>20</v>
      </c>
      <c r="G32" s="26" t="s">
        <v>283</v>
      </c>
      <c r="H32" s="26" t="s">
        <v>64</v>
      </c>
      <c r="I32" s="26" t="s">
        <v>65</v>
      </c>
      <c r="J32" s="26">
        <v>20</v>
      </c>
      <c r="K32" s="26">
        <v>7561731</v>
      </c>
      <c r="L32" s="26" t="s">
        <v>70</v>
      </c>
      <c r="M32" s="26" t="s">
        <v>38</v>
      </c>
      <c r="N32" s="48">
        <f>IF(_Shipments[[#This Row],[Embalagem]]="Big Bag",_Shipments[[#This Row],[Qtd.]]*_Shipments[[#This Row],[Qtde. sacos/palete]],_Shipments[[#This Row],[Qtd.]])</f>
        <v>800</v>
      </c>
      <c r="O32" s="49">
        <f>_xlfn.XLOOKUP(_Shipments[[#This Row],[CLN]],[2]Dados!$D:$D,[2]Dados!$R:$R,"-")</f>
        <v>40</v>
      </c>
      <c r="P32" s="49" t="str" cm="1">
        <f t="array" ref="P32">_xlfn.LET(_xlpm.t,_xlfn.XLOOKUP(_Shipments[[#This Row],[CLN]],[2]Dados!$D:$D,[2]Dados!$Q:$Q,"-"),_xlfn.IFS(LEFT(_xlpm.t,3)="PAS","Saco",LEFT(_xlpm.t,3)="PBT","Big Bag",TRUE,"-"))</f>
        <v>Big Bag</v>
      </c>
      <c r="Q32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704</v>
      </c>
      <c r="R32" s="89">
        <f>IF(_Shipments[[#This Row],[Embalagem]]="Big Bag",_Shipments[[#This Row],[Qtd.]],ROUNDUP(_Shipments[[#This Row],[Qtd.]]/_Shipments[[#This Row],[Qtde. sacos/palete]],0))</f>
        <v>20</v>
      </c>
      <c r="S32" s="26" t="s">
        <v>138</v>
      </c>
      <c r="T32" s="51">
        <v>34991718554</v>
      </c>
      <c r="U32" s="26" t="s">
        <v>139</v>
      </c>
      <c r="V32" s="26" t="s">
        <v>140</v>
      </c>
      <c r="W32" s="26" t="s">
        <v>126</v>
      </c>
      <c r="Y32" s="88">
        <v>7241945</v>
      </c>
      <c r="AB32" s="26"/>
    </row>
    <row r="33" spans="1:28" x14ac:dyDescent="0.25">
      <c r="A33" s="47">
        <f>_xlfn.XLOOKUP(_Shipments[[#This Row],[Shipment]],[1]Report!$G:$G,[1]Report!$B:$B,"-")</f>
        <v>46266.333333333336</v>
      </c>
      <c r="B33" s="26">
        <v>7241123</v>
      </c>
      <c r="C33" s="26">
        <v>5541983163</v>
      </c>
      <c r="D33" s="26">
        <v>1</v>
      </c>
      <c r="E33" s="26" t="s">
        <v>16</v>
      </c>
      <c r="F33" s="85">
        <v>10</v>
      </c>
      <c r="G33" s="26" t="s">
        <v>283</v>
      </c>
      <c r="H33" s="26" t="s">
        <v>64</v>
      </c>
      <c r="I33" s="26" t="s">
        <v>65</v>
      </c>
      <c r="J33" s="26">
        <v>10</v>
      </c>
      <c r="K33" s="26">
        <v>7518130</v>
      </c>
      <c r="L33" s="26" t="s">
        <v>71</v>
      </c>
      <c r="M33" s="26" t="s">
        <v>38</v>
      </c>
      <c r="N33" s="48">
        <f>IF(_Shipments[[#This Row],[Embalagem]]="Big Bag",_Shipments[[#This Row],[Qtd.]]*_Shipments[[#This Row],[Qtde. sacos/palete]],_Shipments[[#This Row],[Qtd.]])</f>
        <v>400</v>
      </c>
      <c r="O33" s="49">
        <f>_xlfn.XLOOKUP(_Shipments[[#This Row],[CLN]],[2]Dados!$D:$D,[2]Dados!$R:$R,"-")</f>
        <v>40</v>
      </c>
      <c r="P33" s="49" t="str" cm="1">
        <f t="array" ref="P33">_xlfn.LET(_xlpm.t,_xlfn.XLOOKUP(_Shipments[[#This Row],[CLN]],[2]Dados!$D:$D,[2]Dados!$Q:$Q,"-"),_xlfn.IFS(LEFT(_xlpm.t,3)="PAS","Saco",LEFT(_xlpm.t,3)="PBT","Big Bag",TRUE,"-"))</f>
        <v>Big Bag</v>
      </c>
      <c r="Q33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597.6</v>
      </c>
      <c r="R33" s="89">
        <f>IF(_Shipments[[#This Row],[Embalagem]]="Big Bag",_Shipments[[#This Row],[Qtd.]],ROUNDUP(_Shipments[[#This Row],[Qtd.]]/_Shipments[[#This Row],[Qtde. sacos/palete]],0))</f>
        <v>10</v>
      </c>
      <c r="S33" s="26" t="s">
        <v>136</v>
      </c>
      <c r="T33" s="51">
        <v>34991030020</v>
      </c>
      <c r="U33" s="26" t="s">
        <v>137</v>
      </c>
      <c r="V33" s="26" t="s">
        <v>220</v>
      </c>
      <c r="W33" s="26" t="s">
        <v>126</v>
      </c>
      <c r="Y33" s="88">
        <v>7241946</v>
      </c>
      <c r="AB33" s="26"/>
    </row>
    <row r="34" spans="1:28" x14ac:dyDescent="0.25">
      <c r="A34" s="47">
        <f>_xlfn.XLOOKUP(_Shipments[[#This Row],[Shipment]],[1]Report!$G:$G,[1]Report!$B:$B,"-")</f>
        <v>46266.333333333336</v>
      </c>
      <c r="B34" s="26">
        <v>7241123</v>
      </c>
      <c r="C34" s="26">
        <v>5541983163</v>
      </c>
      <c r="D34" s="26">
        <v>2</v>
      </c>
      <c r="E34" s="26" t="s">
        <v>16</v>
      </c>
      <c r="F34" s="85">
        <v>10</v>
      </c>
      <c r="G34" s="26" t="s">
        <v>283</v>
      </c>
      <c r="H34" s="26" t="s">
        <v>64</v>
      </c>
      <c r="I34" s="26" t="s">
        <v>65</v>
      </c>
      <c r="J34" s="26">
        <v>10</v>
      </c>
      <c r="K34" s="26">
        <v>7561731</v>
      </c>
      <c r="L34" s="26" t="s">
        <v>70</v>
      </c>
      <c r="M34" s="26" t="s">
        <v>38</v>
      </c>
      <c r="N34" s="48">
        <f>IF(_Shipments[[#This Row],[Embalagem]]="Big Bag",_Shipments[[#This Row],[Qtd.]]*_Shipments[[#This Row],[Qtde. sacos/palete]],_Shipments[[#This Row],[Qtd.]])</f>
        <v>400</v>
      </c>
      <c r="O34" s="49">
        <f>_xlfn.XLOOKUP(_Shipments[[#This Row],[CLN]],[2]Dados!$D:$D,[2]Dados!$R:$R,"-")</f>
        <v>40</v>
      </c>
      <c r="P34" s="49" t="str" cm="1">
        <f t="array" ref="P34">_xlfn.LET(_xlpm.t,_xlfn.XLOOKUP(_Shipments[[#This Row],[CLN]],[2]Dados!$D:$D,[2]Dados!$Q:$Q,"-"),_xlfn.IFS(LEFT(_xlpm.t,3)="PAS","Saco",LEFT(_xlpm.t,3)="PBT","Big Bag",TRUE,"-"))</f>
        <v>Big Bag</v>
      </c>
      <c r="Q34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704</v>
      </c>
      <c r="R34" s="89">
        <f>IF(_Shipments[[#This Row],[Embalagem]]="Big Bag",_Shipments[[#This Row],[Qtd.]],ROUNDUP(_Shipments[[#This Row],[Qtd.]]/_Shipments[[#This Row],[Qtde. sacos/palete]],0))</f>
        <v>10</v>
      </c>
      <c r="S34" s="26" t="s">
        <v>136</v>
      </c>
      <c r="T34" s="51">
        <v>34991030020</v>
      </c>
      <c r="U34" s="26" t="s">
        <v>137</v>
      </c>
      <c r="V34" s="26" t="s">
        <v>220</v>
      </c>
      <c r="W34" s="26" t="s">
        <v>126</v>
      </c>
      <c r="Y34" s="88">
        <v>7241954</v>
      </c>
      <c r="AB34" s="26"/>
    </row>
    <row r="35" spans="1:28" x14ac:dyDescent="0.25">
      <c r="A35" s="47">
        <f>_xlfn.XLOOKUP(_Shipments[[#This Row],[Shipment]],[1]Report!$G:$G,[1]Report!$B:$B,"-")</f>
        <v>46266.333333333336</v>
      </c>
      <c r="B35" s="26">
        <v>7241124</v>
      </c>
      <c r="C35" s="26">
        <v>5541983164</v>
      </c>
      <c r="D35" s="26">
        <v>1</v>
      </c>
      <c r="E35" s="26" t="s">
        <v>16</v>
      </c>
      <c r="F35" s="85">
        <v>20</v>
      </c>
      <c r="G35" s="26" t="s">
        <v>283</v>
      </c>
      <c r="H35" s="26" t="s">
        <v>64</v>
      </c>
      <c r="I35" s="26" t="s">
        <v>65</v>
      </c>
      <c r="J35" s="26">
        <v>20</v>
      </c>
      <c r="K35" s="26">
        <v>7518130</v>
      </c>
      <c r="L35" s="26" t="s">
        <v>71</v>
      </c>
      <c r="M35" s="26" t="s">
        <v>38</v>
      </c>
      <c r="N35" s="48">
        <f>IF(_Shipments[[#This Row],[Embalagem]]="Big Bag",_Shipments[[#This Row],[Qtd.]]*_Shipments[[#This Row],[Qtde. sacos/palete]],_Shipments[[#This Row],[Qtd.]])</f>
        <v>800</v>
      </c>
      <c r="O35" s="49">
        <f>_xlfn.XLOOKUP(_Shipments[[#This Row],[CLN]],[2]Dados!$D:$D,[2]Dados!$R:$R,"-")</f>
        <v>40</v>
      </c>
      <c r="P35" s="49" t="str" cm="1">
        <f t="array" ref="P35">_xlfn.LET(_xlpm.t,_xlfn.XLOOKUP(_Shipments[[#This Row],[CLN]],[2]Dados!$D:$D,[2]Dados!$Q:$Q,"-"),_xlfn.IFS(LEFT(_xlpm.t,3)="PAS","Saco",LEFT(_xlpm.t,3)="PBT","Big Bag",TRUE,"-"))</f>
        <v>Big Bag</v>
      </c>
      <c r="Q35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597.6</v>
      </c>
      <c r="R35" s="89">
        <f>IF(_Shipments[[#This Row],[Embalagem]]="Big Bag",_Shipments[[#This Row],[Qtd.]],ROUNDUP(_Shipments[[#This Row],[Qtd.]]/_Shipments[[#This Row],[Qtde. sacos/palete]],0))</f>
        <v>20</v>
      </c>
      <c r="S35" s="26" t="s">
        <v>158</v>
      </c>
      <c r="T35" s="51">
        <v>34992119997</v>
      </c>
      <c r="U35" s="26" t="s">
        <v>134</v>
      </c>
      <c r="V35" s="26" t="s">
        <v>135</v>
      </c>
      <c r="W35" s="26" t="s">
        <v>126</v>
      </c>
      <c r="Y35" s="88">
        <v>7241962</v>
      </c>
      <c r="AB35" s="26"/>
    </row>
    <row r="36" spans="1:28" x14ac:dyDescent="0.25">
      <c r="A36" s="47">
        <f>_xlfn.XLOOKUP(_Shipments[[#This Row],[Shipment]],[1]Report!$G:$G,[1]Report!$B:$B,"-")</f>
        <v>46266.375</v>
      </c>
      <c r="B36" s="26">
        <v>7241125</v>
      </c>
      <c r="C36" s="26">
        <v>5541983165</v>
      </c>
      <c r="D36" s="26">
        <v>1</v>
      </c>
      <c r="E36" s="26" t="s">
        <v>16</v>
      </c>
      <c r="F36" s="85">
        <v>21</v>
      </c>
      <c r="G36" s="26" t="s">
        <v>283</v>
      </c>
      <c r="H36" s="26" t="s">
        <v>64</v>
      </c>
      <c r="I36" s="26" t="s">
        <v>65</v>
      </c>
      <c r="J36" s="26">
        <v>21</v>
      </c>
      <c r="K36" s="26">
        <v>7518120</v>
      </c>
      <c r="L36" s="26" t="s">
        <v>72</v>
      </c>
      <c r="M36" s="26" t="s">
        <v>38</v>
      </c>
      <c r="N36" s="48">
        <f>IF(_Shipments[[#This Row],[Embalagem]]="Big Bag",_Shipments[[#This Row],[Qtd.]]*_Shipments[[#This Row],[Qtde. sacos/palete]],_Shipments[[#This Row],[Qtd.]])</f>
        <v>840</v>
      </c>
      <c r="O36" s="49">
        <f>_xlfn.XLOOKUP(_Shipments[[#This Row],[CLN]],[2]Dados!$D:$D,[2]Dados!$R:$R,"-")</f>
        <v>40</v>
      </c>
      <c r="P36" s="49" t="str" cm="1">
        <f t="array" ref="P36">_xlfn.LET(_xlpm.t,_xlfn.XLOOKUP(_Shipments[[#This Row],[CLN]],[2]Dados!$D:$D,[2]Dados!$Q:$Q,"-"),_xlfn.IFS(LEFT(_xlpm.t,3)="PAS","Saco",LEFT(_xlpm.t,3)="PBT","Big Bag",TRUE,"-"))</f>
        <v>Big Bag</v>
      </c>
      <c r="Q36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564.4</v>
      </c>
      <c r="R36" s="89">
        <f>IF(_Shipments[[#This Row],[Embalagem]]="Big Bag",_Shipments[[#This Row],[Qtd.]],ROUNDUP(_Shipments[[#This Row],[Qtd.]]/_Shipments[[#This Row],[Qtde. sacos/palete]],0))</f>
        <v>21</v>
      </c>
      <c r="S36" s="26" t="s">
        <v>166</v>
      </c>
      <c r="T36" s="51">
        <v>34991694434</v>
      </c>
      <c r="U36" s="26" t="s">
        <v>167</v>
      </c>
      <c r="V36" s="26" t="s">
        <v>168</v>
      </c>
      <c r="W36" s="26" t="s">
        <v>126</v>
      </c>
      <c r="Y36" s="88">
        <v>7241989</v>
      </c>
      <c r="AB36" s="26"/>
    </row>
    <row r="37" spans="1:28" x14ac:dyDescent="0.25">
      <c r="A37" s="47">
        <f>_xlfn.XLOOKUP(_Shipments[[#This Row],[Shipment]],[1]Report!$G:$G,[1]Report!$B:$B,"-")</f>
        <v>46266.375</v>
      </c>
      <c r="B37" s="26">
        <v>7241127</v>
      </c>
      <c r="C37" s="26">
        <v>5541983167</v>
      </c>
      <c r="D37" s="26">
        <v>1</v>
      </c>
      <c r="E37" s="26" t="s">
        <v>16</v>
      </c>
      <c r="F37" s="85">
        <v>21</v>
      </c>
      <c r="G37" s="26" t="s">
        <v>283</v>
      </c>
      <c r="H37" s="26" t="s">
        <v>64</v>
      </c>
      <c r="I37" s="26" t="s">
        <v>65</v>
      </c>
      <c r="J37" s="26">
        <v>21</v>
      </c>
      <c r="K37" s="26">
        <v>7518120</v>
      </c>
      <c r="L37" s="26" t="s">
        <v>72</v>
      </c>
      <c r="M37" s="26" t="s">
        <v>38</v>
      </c>
      <c r="N37" s="48">
        <f>IF(_Shipments[[#This Row],[Embalagem]]="Big Bag",_Shipments[[#This Row],[Qtd.]]*_Shipments[[#This Row],[Qtde. sacos/palete]],_Shipments[[#This Row],[Qtd.]])</f>
        <v>840</v>
      </c>
      <c r="O37" s="49">
        <f>_xlfn.XLOOKUP(_Shipments[[#This Row],[CLN]],[2]Dados!$D:$D,[2]Dados!$R:$R,"-")</f>
        <v>40</v>
      </c>
      <c r="P37" s="49" t="str" cm="1">
        <f t="array" ref="P37">_xlfn.LET(_xlpm.t,_xlfn.XLOOKUP(_Shipments[[#This Row],[CLN]],[2]Dados!$D:$D,[2]Dados!$Q:$Q,"-"),_xlfn.IFS(LEFT(_xlpm.t,3)="PAS","Saco",LEFT(_xlpm.t,3)="PBT","Big Bag",TRUE,"-"))</f>
        <v>Big Bag</v>
      </c>
      <c r="Q37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564.4</v>
      </c>
      <c r="R37" s="89">
        <f>IF(_Shipments[[#This Row],[Embalagem]]="Big Bag",_Shipments[[#This Row],[Qtd.]],ROUNDUP(_Shipments[[#This Row],[Qtd.]]/_Shipments[[#This Row],[Qtde. sacos/palete]],0))</f>
        <v>21</v>
      </c>
      <c r="S37" s="26" t="s">
        <v>169</v>
      </c>
      <c r="T37" s="51">
        <v>34999559998</v>
      </c>
      <c r="U37" s="26" t="s">
        <v>170</v>
      </c>
      <c r="V37" s="26" t="s">
        <v>171</v>
      </c>
      <c r="W37" s="26" t="s">
        <v>126</v>
      </c>
      <c r="Y37" s="88">
        <v>7241990</v>
      </c>
      <c r="AB37" s="26"/>
    </row>
    <row r="38" spans="1:28" x14ac:dyDescent="0.25">
      <c r="A38" s="47">
        <f>_xlfn.XLOOKUP(_Shipments[[#This Row],[Shipment]],[1]Report!$G:$G,[1]Report!$B:$B,"-")</f>
        <v>46267.333333333336</v>
      </c>
      <c r="B38" s="26">
        <v>7241131</v>
      </c>
      <c r="C38" s="26">
        <v>5541983168</v>
      </c>
      <c r="D38" s="26">
        <v>1</v>
      </c>
      <c r="E38" s="26" t="s">
        <v>16</v>
      </c>
      <c r="F38" s="85">
        <v>21</v>
      </c>
      <c r="G38" s="26" t="s">
        <v>283</v>
      </c>
      <c r="H38" s="26" t="s">
        <v>64</v>
      </c>
      <c r="I38" s="26" t="s">
        <v>65</v>
      </c>
      <c r="J38" s="26">
        <v>21</v>
      </c>
      <c r="K38" s="26">
        <v>7518117</v>
      </c>
      <c r="L38" s="26" t="s">
        <v>73</v>
      </c>
      <c r="M38" s="26" t="s">
        <v>38</v>
      </c>
      <c r="N38" s="48">
        <f>IF(_Shipments[[#This Row],[Embalagem]]="Big Bag",_Shipments[[#This Row],[Qtd.]]*_Shipments[[#This Row],[Qtde. sacos/palete]],_Shipments[[#This Row],[Qtd.]])</f>
        <v>840</v>
      </c>
      <c r="O38" s="49">
        <f>_xlfn.XLOOKUP(_Shipments[[#This Row],[CLN]],[2]Dados!$D:$D,[2]Dados!$R:$R,"-")</f>
        <v>40</v>
      </c>
      <c r="P38" s="49" t="str" cm="1">
        <f t="array" ref="P38">_xlfn.LET(_xlpm.t,_xlfn.XLOOKUP(_Shipments[[#This Row],[CLN]],[2]Dados!$D:$D,[2]Dados!$Q:$Q,"-"),_xlfn.IFS(LEFT(_xlpm.t,3)="PAS","Saco",LEFT(_xlpm.t,3)="PBT","Big Bag",TRUE,"-"))</f>
        <v>Big Bag</v>
      </c>
      <c r="Q38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587.6</v>
      </c>
      <c r="R38" s="89">
        <f>IF(_Shipments[[#This Row],[Embalagem]]="Big Bag",_Shipments[[#This Row],[Qtd.]],ROUNDUP(_Shipments[[#This Row],[Qtd.]]/_Shipments[[#This Row],[Qtde. sacos/palete]],0))</f>
        <v>21</v>
      </c>
      <c r="S38" s="26" t="s">
        <v>163</v>
      </c>
      <c r="T38" s="51">
        <v>34999233031</v>
      </c>
      <c r="U38" s="26" t="s">
        <v>152</v>
      </c>
      <c r="V38" s="26" t="s">
        <v>153</v>
      </c>
      <c r="W38" s="26" t="s">
        <v>126</v>
      </c>
      <c r="Y38" s="88">
        <v>7241991</v>
      </c>
      <c r="AB38" s="26"/>
    </row>
    <row r="39" spans="1:28" x14ac:dyDescent="0.25">
      <c r="A39" s="47">
        <f>_xlfn.XLOOKUP(_Shipments[[#This Row],[Shipment]],[1]Report!$G:$G,[1]Report!$B:$B,"-")</f>
        <v>46267.333333333336</v>
      </c>
      <c r="B39" s="26">
        <v>7241132</v>
      </c>
      <c r="C39" s="26">
        <v>5541983169</v>
      </c>
      <c r="D39" s="26">
        <v>1</v>
      </c>
      <c r="E39" s="26" t="s">
        <v>16</v>
      </c>
      <c r="F39" s="85">
        <v>13</v>
      </c>
      <c r="G39" s="26" t="s">
        <v>283</v>
      </c>
      <c r="H39" s="26" t="s">
        <v>64</v>
      </c>
      <c r="I39" s="26" t="s">
        <v>65</v>
      </c>
      <c r="J39" s="26">
        <v>13</v>
      </c>
      <c r="K39" s="26">
        <v>7518117</v>
      </c>
      <c r="L39" s="26" t="s">
        <v>73</v>
      </c>
      <c r="M39" s="26" t="s">
        <v>38</v>
      </c>
      <c r="N39" s="48">
        <f>IF(_Shipments[[#This Row],[Embalagem]]="Big Bag",_Shipments[[#This Row],[Qtd.]]*_Shipments[[#This Row],[Qtde. sacos/palete]],_Shipments[[#This Row],[Qtd.]])</f>
        <v>520</v>
      </c>
      <c r="O39" s="49">
        <f>_xlfn.XLOOKUP(_Shipments[[#This Row],[CLN]],[2]Dados!$D:$D,[2]Dados!$R:$R,"-")</f>
        <v>40</v>
      </c>
      <c r="P39" s="49" t="str" cm="1">
        <f t="array" ref="P39">_xlfn.LET(_xlpm.t,_xlfn.XLOOKUP(_Shipments[[#This Row],[CLN]],[2]Dados!$D:$D,[2]Dados!$Q:$Q,"-"),_xlfn.IFS(LEFT(_xlpm.t,3)="PAS","Saco",LEFT(_xlpm.t,3)="PBT","Big Bag",TRUE,"-"))</f>
        <v>Big Bag</v>
      </c>
      <c r="Q39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587.6</v>
      </c>
      <c r="R39" s="89">
        <f>IF(_Shipments[[#This Row],[Embalagem]]="Big Bag",_Shipments[[#This Row],[Qtd.]],ROUNDUP(_Shipments[[#This Row],[Qtd.]]/_Shipments[[#This Row],[Qtde. sacos/palete]],0))</f>
        <v>13</v>
      </c>
      <c r="S39" s="26" t="s">
        <v>162</v>
      </c>
      <c r="T39" s="51">
        <v>61999471983</v>
      </c>
      <c r="U39" s="26" t="s">
        <v>150</v>
      </c>
      <c r="V39" s="26" t="s">
        <v>151</v>
      </c>
      <c r="W39" s="26" t="s">
        <v>126</v>
      </c>
      <c r="Y39" s="88">
        <v>7241993</v>
      </c>
      <c r="AB39" s="26"/>
    </row>
    <row r="40" spans="1:28" x14ac:dyDescent="0.25">
      <c r="A40" s="47">
        <f>_xlfn.XLOOKUP(_Shipments[[#This Row],[Shipment]],[1]Report!$G:$G,[1]Report!$B:$B,"-")</f>
        <v>46267.333333333336</v>
      </c>
      <c r="B40" s="26">
        <v>7241132</v>
      </c>
      <c r="C40" s="26">
        <v>5541983169</v>
      </c>
      <c r="D40" s="26">
        <v>2</v>
      </c>
      <c r="E40" s="26" t="s">
        <v>16</v>
      </c>
      <c r="F40" s="85">
        <v>7</v>
      </c>
      <c r="G40" s="26" t="s">
        <v>283</v>
      </c>
      <c r="H40" s="26" t="s">
        <v>64</v>
      </c>
      <c r="I40" s="26" t="s">
        <v>65</v>
      </c>
      <c r="J40" s="26">
        <v>7</v>
      </c>
      <c r="K40" s="26">
        <v>7561723</v>
      </c>
      <c r="L40" s="26" t="s">
        <v>74</v>
      </c>
      <c r="M40" s="26" t="s">
        <v>38</v>
      </c>
      <c r="N40" s="48">
        <f>IF(_Shipments[[#This Row],[Embalagem]]="Big Bag",_Shipments[[#This Row],[Qtd.]]*_Shipments[[#This Row],[Qtde. sacos/palete]],_Shipments[[#This Row],[Qtd.]])</f>
        <v>280</v>
      </c>
      <c r="O40" s="49">
        <f>_xlfn.XLOOKUP(_Shipments[[#This Row],[CLN]],[2]Dados!$D:$D,[2]Dados!$R:$R,"-")</f>
        <v>40</v>
      </c>
      <c r="P40" s="49" t="str" cm="1">
        <f t="array" ref="P40">_xlfn.LET(_xlpm.t,_xlfn.XLOOKUP(_Shipments[[#This Row],[CLN]],[2]Dados!$D:$D,[2]Dados!$Q:$Q,"-"),_xlfn.IFS(LEFT(_xlpm.t,3)="PAS","Saco",LEFT(_xlpm.t,3)="PBT","Big Bag",TRUE,"-"))</f>
        <v>Big Bag</v>
      </c>
      <c r="Q40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600</v>
      </c>
      <c r="R40" s="89">
        <f>IF(_Shipments[[#This Row],[Embalagem]]="Big Bag",_Shipments[[#This Row],[Qtd.]],ROUNDUP(_Shipments[[#This Row],[Qtd.]]/_Shipments[[#This Row],[Qtde. sacos/palete]],0))</f>
        <v>7</v>
      </c>
      <c r="S40" s="26" t="s">
        <v>162</v>
      </c>
      <c r="T40" s="51">
        <v>61999471983</v>
      </c>
      <c r="U40" s="26" t="s">
        <v>150</v>
      </c>
      <c r="V40" s="26" t="s">
        <v>151</v>
      </c>
      <c r="W40" s="26" t="s">
        <v>126</v>
      </c>
      <c r="Y40" s="88">
        <v>7241994</v>
      </c>
      <c r="AB40" s="26"/>
    </row>
    <row r="41" spans="1:28" x14ac:dyDescent="0.25">
      <c r="A41" s="47">
        <f>_xlfn.XLOOKUP(_Shipments[[#This Row],[Shipment]],[1]Report!$G:$G,[1]Report!$B:$B,"-")</f>
        <v>46267.375</v>
      </c>
      <c r="B41" s="26">
        <v>7241134</v>
      </c>
      <c r="C41" s="26">
        <v>5541983171</v>
      </c>
      <c r="D41" s="26">
        <v>1</v>
      </c>
      <c r="E41" s="26" t="s">
        <v>16</v>
      </c>
      <c r="F41" s="85">
        <v>21</v>
      </c>
      <c r="G41" s="26" t="s">
        <v>283</v>
      </c>
      <c r="H41" s="26" t="s">
        <v>64</v>
      </c>
      <c r="I41" s="26" t="s">
        <v>65</v>
      </c>
      <c r="J41" s="26">
        <v>21</v>
      </c>
      <c r="K41" s="26">
        <v>7518137</v>
      </c>
      <c r="L41" s="26" t="s">
        <v>75</v>
      </c>
      <c r="M41" s="26" t="s">
        <v>46</v>
      </c>
      <c r="N41" s="48">
        <f>IF(_Shipments[[#This Row],[Embalagem]]="Big Bag",_Shipments[[#This Row],[Qtd.]]*_Shipments[[#This Row],[Qtde. sacos/palete]],_Shipments[[#This Row],[Qtd.]])</f>
        <v>840</v>
      </c>
      <c r="O41" s="49">
        <f>_xlfn.XLOOKUP(_Shipments[[#This Row],[CLN]],[2]Dados!$D:$D,[2]Dados!$R:$R,"-")</f>
        <v>40</v>
      </c>
      <c r="P41" s="49" t="str" cm="1">
        <f t="array" ref="P41">_xlfn.LET(_xlpm.t,_xlfn.XLOOKUP(_Shipments[[#This Row],[CLN]],[2]Dados!$D:$D,[2]Dados!$Q:$Q,"-"),_xlfn.IFS(LEFT(_xlpm.t,3)="PAS","Saco",LEFT(_xlpm.t,3)="PBT","Big Bag",TRUE,"-"))</f>
        <v>Big Bag</v>
      </c>
      <c r="Q41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647.20000000000005</v>
      </c>
      <c r="R41" s="89">
        <f>IF(_Shipments[[#This Row],[Embalagem]]="Big Bag",_Shipments[[#This Row],[Qtd.]],ROUNDUP(_Shipments[[#This Row],[Qtd.]]/_Shipments[[#This Row],[Qtde. sacos/palete]],0))</f>
        <v>21</v>
      </c>
      <c r="S41" s="26" t="s">
        <v>179</v>
      </c>
      <c r="T41" s="51">
        <v>34997412844</v>
      </c>
      <c r="U41" s="26" t="s">
        <v>172</v>
      </c>
      <c r="V41" s="26" t="s">
        <v>173</v>
      </c>
      <c r="W41" s="26" t="s">
        <v>126</v>
      </c>
      <c r="Y41" s="88">
        <v>7241996</v>
      </c>
      <c r="AB41" s="26"/>
    </row>
    <row r="42" spans="1:28" x14ac:dyDescent="0.25">
      <c r="A42" s="47">
        <f>_xlfn.XLOOKUP(_Shipments[[#This Row],[Shipment]],[1]Report!$G:$G,[1]Report!$B:$B,"-")</f>
        <v>46267.375</v>
      </c>
      <c r="B42" s="26">
        <v>7241135</v>
      </c>
      <c r="C42" s="26">
        <v>5541983173</v>
      </c>
      <c r="D42" s="26">
        <v>1</v>
      </c>
      <c r="E42" s="26" t="s">
        <v>16</v>
      </c>
      <c r="F42" s="85">
        <v>12</v>
      </c>
      <c r="G42" s="26" t="s">
        <v>283</v>
      </c>
      <c r="H42" s="26" t="s">
        <v>64</v>
      </c>
      <c r="I42" s="26" t="s">
        <v>65</v>
      </c>
      <c r="J42" s="26">
        <v>12</v>
      </c>
      <c r="K42" s="26">
        <v>7518137</v>
      </c>
      <c r="L42" s="26" t="s">
        <v>75</v>
      </c>
      <c r="M42" s="26" t="s">
        <v>46</v>
      </c>
      <c r="N42" s="48">
        <f>IF(_Shipments[[#This Row],[Embalagem]]="Big Bag",_Shipments[[#This Row],[Qtd.]]*_Shipments[[#This Row],[Qtde. sacos/palete]],_Shipments[[#This Row],[Qtd.]])</f>
        <v>480</v>
      </c>
      <c r="O42" s="49">
        <f>_xlfn.XLOOKUP(_Shipments[[#This Row],[CLN]],[2]Dados!$D:$D,[2]Dados!$R:$R,"-")</f>
        <v>40</v>
      </c>
      <c r="P42" s="49" t="str" cm="1">
        <f t="array" ref="P42">_xlfn.LET(_xlpm.t,_xlfn.XLOOKUP(_Shipments[[#This Row],[CLN]],[2]Dados!$D:$D,[2]Dados!$Q:$Q,"-"),_xlfn.IFS(LEFT(_xlpm.t,3)="PAS","Saco",LEFT(_xlpm.t,3)="PBT","Big Bag",TRUE,"-"))</f>
        <v>Big Bag</v>
      </c>
      <c r="Q42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647.20000000000005</v>
      </c>
      <c r="R42" s="89">
        <f>IF(_Shipments[[#This Row],[Embalagem]]="Big Bag",_Shipments[[#This Row],[Qtd.]],ROUNDUP(_Shipments[[#This Row],[Qtd.]]/_Shipments[[#This Row],[Qtde. sacos/palete]],0))</f>
        <v>12</v>
      </c>
      <c r="S42" s="26" t="s">
        <v>180</v>
      </c>
      <c r="T42" s="51">
        <v>34997330803</v>
      </c>
      <c r="U42" s="26" t="s">
        <v>181</v>
      </c>
      <c r="V42" s="26" t="s">
        <v>182</v>
      </c>
      <c r="W42" s="26" t="s">
        <v>126</v>
      </c>
      <c r="Y42" s="88">
        <v>7241997</v>
      </c>
      <c r="AB42" s="26"/>
    </row>
    <row r="43" spans="1:28" x14ac:dyDescent="0.25">
      <c r="A43" s="47">
        <f>_xlfn.XLOOKUP(_Shipments[[#This Row],[Shipment]],[1]Report!$G:$G,[1]Report!$B:$B,"-")</f>
        <v>46267.375</v>
      </c>
      <c r="B43" s="26">
        <v>7241135</v>
      </c>
      <c r="C43" s="26">
        <v>5541983173</v>
      </c>
      <c r="D43" s="26">
        <v>2</v>
      </c>
      <c r="E43" s="26" t="s">
        <v>56</v>
      </c>
      <c r="F43" s="85">
        <v>9</v>
      </c>
      <c r="G43" s="26" t="s">
        <v>283</v>
      </c>
      <c r="H43" s="26" t="s">
        <v>64</v>
      </c>
      <c r="I43" s="26" t="s">
        <v>65</v>
      </c>
      <c r="J43" s="26">
        <v>9</v>
      </c>
      <c r="K43" s="26">
        <v>7518186</v>
      </c>
      <c r="L43" s="26" t="s">
        <v>76</v>
      </c>
      <c r="M43" s="26" t="s">
        <v>32</v>
      </c>
      <c r="N43" s="48">
        <f>IF(_Shipments[[#This Row],[Embalagem]]="Big Bag",_Shipments[[#This Row],[Qtd.]]*_Shipments[[#This Row],[Qtde. sacos/palete]],_Shipments[[#This Row],[Qtd.]])</f>
        <v>360</v>
      </c>
      <c r="O43" s="49">
        <f>_xlfn.XLOOKUP(_Shipments[[#This Row],[CLN]],[2]Dados!$D:$D,[2]Dados!$R:$R,"-")</f>
        <v>40</v>
      </c>
      <c r="P43" s="49" t="str" cm="1">
        <f t="array" ref="P43">_xlfn.LET(_xlpm.t,_xlfn.XLOOKUP(_Shipments[[#This Row],[CLN]],[2]Dados!$D:$D,[2]Dados!$Q:$Q,"-"),_xlfn.IFS(LEFT(_xlpm.t,3)="PAS","Saco",LEFT(_xlpm.t,3)="PBT","Big Bag",TRUE,"-"))</f>
        <v>Big Bag</v>
      </c>
      <c r="Q43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550.79999999999995</v>
      </c>
      <c r="R43" s="89">
        <f>IF(_Shipments[[#This Row],[Embalagem]]="Big Bag",_Shipments[[#This Row],[Qtd.]],ROUNDUP(_Shipments[[#This Row],[Qtd.]]/_Shipments[[#This Row],[Qtde. sacos/palete]],0))</f>
        <v>9</v>
      </c>
      <c r="S43" s="26" t="s">
        <v>180</v>
      </c>
      <c r="T43" s="51">
        <v>34997330803</v>
      </c>
      <c r="U43" s="26" t="s">
        <v>181</v>
      </c>
      <c r="V43" s="26" t="s">
        <v>182</v>
      </c>
      <c r="W43" s="26" t="s">
        <v>126</v>
      </c>
      <c r="Y43" s="88">
        <v>7242802</v>
      </c>
      <c r="AB43" s="26"/>
    </row>
    <row r="44" spans="1:28" x14ac:dyDescent="0.25">
      <c r="A44" s="47">
        <f>_xlfn.XLOOKUP(_Shipments[[#This Row],[Shipment]],[1]Report!$G:$G,[1]Report!$B:$B,"-")</f>
        <v>46268.333333333336</v>
      </c>
      <c r="B44" s="26">
        <v>7241136</v>
      </c>
      <c r="C44" s="26">
        <v>5541983175</v>
      </c>
      <c r="D44" s="26">
        <v>1</v>
      </c>
      <c r="E44" s="26" t="s">
        <v>56</v>
      </c>
      <c r="F44" s="85">
        <v>15</v>
      </c>
      <c r="G44" s="26" t="s">
        <v>283</v>
      </c>
      <c r="H44" s="26" t="s">
        <v>64</v>
      </c>
      <c r="I44" s="26" t="s">
        <v>65</v>
      </c>
      <c r="J44" s="26">
        <v>15</v>
      </c>
      <c r="K44" s="26">
        <v>7518186</v>
      </c>
      <c r="L44" s="26" t="s">
        <v>76</v>
      </c>
      <c r="M44" s="26" t="s">
        <v>32</v>
      </c>
      <c r="N44" s="48">
        <f>IF(_Shipments[[#This Row],[Embalagem]]="Big Bag",_Shipments[[#This Row],[Qtd.]]*_Shipments[[#This Row],[Qtde. sacos/palete]],_Shipments[[#This Row],[Qtd.]])</f>
        <v>600</v>
      </c>
      <c r="O44" s="49">
        <f>_xlfn.XLOOKUP(_Shipments[[#This Row],[CLN]],[2]Dados!$D:$D,[2]Dados!$R:$R,"-")</f>
        <v>40</v>
      </c>
      <c r="P44" s="49" t="str" cm="1">
        <f t="array" ref="P44">_xlfn.LET(_xlpm.t,_xlfn.XLOOKUP(_Shipments[[#This Row],[CLN]],[2]Dados!$D:$D,[2]Dados!$Q:$Q,"-"),_xlfn.IFS(LEFT(_xlpm.t,3)="PAS","Saco",LEFT(_xlpm.t,3)="PBT","Big Bag",TRUE,"-"))</f>
        <v>Big Bag</v>
      </c>
      <c r="Q44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550.79999999999995</v>
      </c>
      <c r="R44" s="89">
        <f>IF(_Shipments[[#This Row],[Embalagem]]="Big Bag",_Shipments[[#This Row],[Qtd.]],ROUNDUP(_Shipments[[#This Row],[Qtd.]]/_Shipments[[#This Row],[Qtde. sacos/palete]],0))</f>
        <v>15</v>
      </c>
      <c r="S44" s="26" t="s">
        <v>158</v>
      </c>
      <c r="T44" s="51">
        <v>34992119997</v>
      </c>
      <c r="U44" s="26" t="s">
        <v>134</v>
      </c>
      <c r="V44" s="26" t="s">
        <v>135</v>
      </c>
      <c r="W44" s="26" t="s">
        <v>126</v>
      </c>
      <c r="Y44" s="88">
        <v>7242804</v>
      </c>
      <c r="AB44" s="26"/>
    </row>
    <row r="45" spans="1:28" x14ac:dyDescent="0.25">
      <c r="A45" s="47">
        <f>_xlfn.XLOOKUP(_Shipments[[#This Row],[Shipment]],[1]Report!$G:$G,[1]Report!$B:$B,"-")</f>
        <v>46268.333333333336</v>
      </c>
      <c r="B45" s="26">
        <v>7241136</v>
      </c>
      <c r="C45" s="26">
        <v>5541983175</v>
      </c>
      <c r="D45" s="26">
        <v>2</v>
      </c>
      <c r="E45" s="26" t="s">
        <v>16</v>
      </c>
      <c r="F45" s="85">
        <v>6</v>
      </c>
      <c r="G45" s="26" t="s">
        <v>283</v>
      </c>
      <c r="H45" s="26" t="s">
        <v>64</v>
      </c>
      <c r="I45" s="26" t="s">
        <v>65</v>
      </c>
      <c r="J45" s="26">
        <v>6</v>
      </c>
      <c r="K45" s="26">
        <v>7518118</v>
      </c>
      <c r="L45" s="26" t="s">
        <v>174</v>
      </c>
      <c r="M45" s="26" t="s">
        <v>38</v>
      </c>
      <c r="N45" s="48">
        <f>IF(_Shipments[[#This Row],[Embalagem]]="Big Bag",_Shipments[[#This Row],[Qtd.]]*_Shipments[[#This Row],[Qtde. sacos/palete]],_Shipments[[#This Row],[Qtd.]])</f>
        <v>240</v>
      </c>
      <c r="O45" s="49">
        <f>_xlfn.XLOOKUP(_Shipments[[#This Row],[CLN]],[2]Dados!$D:$D,[2]Dados!$R:$R,"-")</f>
        <v>40</v>
      </c>
      <c r="P45" s="49" t="str" cm="1">
        <f t="array" ref="P45">_xlfn.LET(_xlpm.t,_xlfn.XLOOKUP(_Shipments[[#This Row],[CLN]],[2]Dados!$D:$D,[2]Dados!$Q:$Q,"-"),_xlfn.IFS(LEFT(_xlpm.t,3)="PAS","Saco",LEFT(_xlpm.t,3)="PBT","Big Bag",TRUE,"-"))</f>
        <v>Big Bag</v>
      </c>
      <c r="Q45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565.20000000000005</v>
      </c>
      <c r="R45" s="89">
        <f>IF(_Shipments[[#This Row],[Embalagem]]="Big Bag",_Shipments[[#This Row],[Qtd.]],ROUNDUP(_Shipments[[#This Row],[Qtd.]]/_Shipments[[#This Row],[Qtde. sacos/palete]],0))</f>
        <v>6</v>
      </c>
      <c r="S45" s="26" t="s">
        <v>158</v>
      </c>
      <c r="T45" s="51">
        <v>34992119997</v>
      </c>
      <c r="U45" s="26" t="s">
        <v>134</v>
      </c>
      <c r="V45" s="26" t="s">
        <v>135</v>
      </c>
      <c r="W45" s="26" t="s">
        <v>126</v>
      </c>
      <c r="Y45" s="88">
        <v>7242805</v>
      </c>
      <c r="AB45" s="26"/>
    </row>
    <row r="46" spans="1:28" x14ac:dyDescent="0.25">
      <c r="A46" s="47">
        <f>_xlfn.XLOOKUP(_Shipments[[#This Row],[Shipment]],[1]Report!$G:$G,[1]Report!$B:$B,"-")</f>
        <v>46268.375</v>
      </c>
      <c r="B46" s="26">
        <v>7241137</v>
      </c>
      <c r="C46" s="26">
        <v>5541983176</v>
      </c>
      <c r="D46" s="26">
        <v>1</v>
      </c>
      <c r="E46" s="26" t="s">
        <v>16</v>
      </c>
      <c r="F46" s="85">
        <v>21</v>
      </c>
      <c r="G46" s="26" t="s">
        <v>283</v>
      </c>
      <c r="H46" s="26" t="s">
        <v>64</v>
      </c>
      <c r="I46" s="26" t="s">
        <v>65</v>
      </c>
      <c r="J46" s="26">
        <v>21</v>
      </c>
      <c r="K46" s="26">
        <v>7518118</v>
      </c>
      <c r="L46" s="26" t="s">
        <v>174</v>
      </c>
      <c r="M46" s="26" t="s">
        <v>38</v>
      </c>
      <c r="N46" s="48">
        <f>IF(_Shipments[[#This Row],[Embalagem]]="Big Bag",_Shipments[[#This Row],[Qtd.]]*_Shipments[[#This Row],[Qtde. sacos/palete]],_Shipments[[#This Row],[Qtd.]])</f>
        <v>840</v>
      </c>
      <c r="O46" s="49">
        <f>_xlfn.XLOOKUP(_Shipments[[#This Row],[CLN]],[2]Dados!$D:$D,[2]Dados!$R:$R,"-")</f>
        <v>40</v>
      </c>
      <c r="P46" s="49" t="str" cm="1">
        <f t="array" ref="P46">_xlfn.LET(_xlpm.t,_xlfn.XLOOKUP(_Shipments[[#This Row],[CLN]],[2]Dados!$D:$D,[2]Dados!$Q:$Q,"-"),_xlfn.IFS(LEFT(_xlpm.t,3)="PAS","Saco",LEFT(_xlpm.t,3)="PBT","Big Bag",TRUE,"-"))</f>
        <v>Big Bag</v>
      </c>
      <c r="Q46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565.20000000000005</v>
      </c>
      <c r="R46" s="89">
        <f>IF(_Shipments[[#This Row],[Embalagem]]="Big Bag",_Shipments[[#This Row],[Qtd.]],ROUNDUP(_Shipments[[#This Row],[Qtd.]]/_Shipments[[#This Row],[Qtde. sacos/palete]],0))</f>
        <v>21</v>
      </c>
      <c r="S46" s="26" t="s">
        <v>163</v>
      </c>
      <c r="T46" s="51">
        <v>34999233031</v>
      </c>
      <c r="U46" s="26" t="s">
        <v>152</v>
      </c>
      <c r="V46" s="26" t="s">
        <v>153</v>
      </c>
      <c r="W46" s="26" t="s">
        <v>126</v>
      </c>
      <c r="Y46" s="88">
        <v>7242807</v>
      </c>
      <c r="AB46" s="26"/>
    </row>
    <row r="47" spans="1:28" x14ac:dyDescent="0.25">
      <c r="A47" s="47">
        <f>_xlfn.XLOOKUP(_Shipments[[#This Row],[Shipment]],[1]Report!$G:$G,[1]Report!$B:$B,"-")</f>
        <v>46268.375</v>
      </c>
      <c r="B47" s="26">
        <v>7241139</v>
      </c>
      <c r="C47" s="26">
        <v>5541983180</v>
      </c>
      <c r="D47" s="26">
        <v>1</v>
      </c>
      <c r="E47" s="26" t="s">
        <v>16</v>
      </c>
      <c r="F47" s="85">
        <v>21</v>
      </c>
      <c r="G47" s="26" t="s">
        <v>283</v>
      </c>
      <c r="H47" s="26" t="s">
        <v>64</v>
      </c>
      <c r="I47" s="26" t="s">
        <v>65</v>
      </c>
      <c r="J47" s="26">
        <v>21</v>
      </c>
      <c r="K47" s="26">
        <v>7518118</v>
      </c>
      <c r="L47" s="26" t="s">
        <v>174</v>
      </c>
      <c r="M47" s="26" t="s">
        <v>38</v>
      </c>
      <c r="N47" s="48">
        <f>IF(_Shipments[[#This Row],[Embalagem]]="Big Bag",_Shipments[[#This Row],[Qtd.]]*_Shipments[[#This Row],[Qtde. sacos/palete]],_Shipments[[#This Row],[Qtd.]])</f>
        <v>840</v>
      </c>
      <c r="O47" s="49">
        <f>_xlfn.XLOOKUP(_Shipments[[#This Row],[CLN]],[2]Dados!$D:$D,[2]Dados!$R:$R,"-")</f>
        <v>40</v>
      </c>
      <c r="P47" s="49" t="str" cm="1">
        <f t="array" ref="P47">_xlfn.LET(_xlpm.t,_xlfn.XLOOKUP(_Shipments[[#This Row],[CLN]],[2]Dados!$D:$D,[2]Dados!$Q:$Q,"-"),_xlfn.IFS(LEFT(_xlpm.t,3)="PAS","Saco",LEFT(_xlpm.t,3)="PBT","Big Bag",TRUE,"-"))</f>
        <v>Big Bag</v>
      </c>
      <c r="Q47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565.20000000000005</v>
      </c>
      <c r="R47" s="89">
        <f>IF(_Shipments[[#This Row],[Embalagem]]="Big Bag",_Shipments[[#This Row],[Qtd.]],ROUNDUP(_Shipments[[#This Row],[Qtd.]]/_Shipments[[#This Row],[Qtde. sacos/palete]],0))</f>
        <v>21</v>
      </c>
      <c r="S47" s="26" t="s">
        <v>128</v>
      </c>
      <c r="T47" s="51">
        <v>34997330803</v>
      </c>
      <c r="U47" s="26" t="s">
        <v>129</v>
      </c>
      <c r="V47" s="26" t="s">
        <v>130</v>
      </c>
      <c r="W47" s="26" t="s">
        <v>126</v>
      </c>
      <c r="Y47" s="88">
        <v>7242808</v>
      </c>
      <c r="AB47" s="26"/>
    </row>
    <row r="48" spans="1:28" x14ac:dyDescent="0.25">
      <c r="A48" s="47">
        <f>_xlfn.XLOOKUP(_Shipments[[#This Row],[Shipment]],[1]Report!$G:$G,[1]Report!$B:$B,"-")</f>
        <v>46273.333333333336</v>
      </c>
      <c r="B48" s="26">
        <v>7241141</v>
      </c>
      <c r="C48" s="26">
        <v>5541983182</v>
      </c>
      <c r="D48" s="26">
        <v>1</v>
      </c>
      <c r="E48" s="26" t="s">
        <v>16</v>
      </c>
      <c r="F48" s="85">
        <v>3</v>
      </c>
      <c r="G48" s="26" t="s">
        <v>283</v>
      </c>
      <c r="H48" s="26" t="s">
        <v>64</v>
      </c>
      <c r="I48" s="26" t="s">
        <v>65</v>
      </c>
      <c r="J48" s="26">
        <v>3</v>
      </c>
      <c r="K48" s="26">
        <v>7518118</v>
      </c>
      <c r="L48" s="26" t="s">
        <v>174</v>
      </c>
      <c r="M48" s="26" t="s">
        <v>38</v>
      </c>
      <c r="N48" s="48">
        <f>IF(_Shipments[[#This Row],[Embalagem]]="Big Bag",_Shipments[[#This Row],[Qtd.]]*_Shipments[[#This Row],[Qtde. sacos/palete]],_Shipments[[#This Row],[Qtd.]])</f>
        <v>120</v>
      </c>
      <c r="O48" s="49">
        <f>_xlfn.XLOOKUP(_Shipments[[#This Row],[CLN]],[2]Dados!$D:$D,[2]Dados!$R:$R,"-")</f>
        <v>40</v>
      </c>
      <c r="P48" s="49" t="str" cm="1">
        <f t="array" ref="P48">_xlfn.LET(_xlpm.t,_xlfn.XLOOKUP(_Shipments[[#This Row],[CLN]],[2]Dados!$D:$D,[2]Dados!$Q:$Q,"-"),_xlfn.IFS(LEFT(_xlpm.t,3)="PAS","Saco",LEFT(_xlpm.t,3)="PBT","Big Bag",TRUE,"-"))</f>
        <v>Big Bag</v>
      </c>
      <c r="Q48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565.20000000000005</v>
      </c>
      <c r="R48" s="89">
        <f>IF(_Shipments[[#This Row],[Embalagem]]="Big Bag",_Shipments[[#This Row],[Qtd.]],ROUNDUP(_Shipments[[#This Row],[Qtd.]]/_Shipments[[#This Row],[Qtde. sacos/palete]],0))</f>
        <v>3</v>
      </c>
      <c r="S48" s="26" t="s">
        <v>136</v>
      </c>
      <c r="T48" s="51">
        <v>34991030020</v>
      </c>
      <c r="U48" s="26" t="s">
        <v>137</v>
      </c>
      <c r="V48" s="26" t="s">
        <v>220</v>
      </c>
      <c r="W48" s="26" t="s">
        <v>126</v>
      </c>
      <c r="Y48" s="88">
        <v>7242811</v>
      </c>
      <c r="AB48" s="26"/>
    </row>
    <row r="49" spans="1:28" x14ac:dyDescent="0.25">
      <c r="A49" s="47">
        <f>_xlfn.XLOOKUP(_Shipments[[#This Row],[Shipment]],[1]Report!$G:$G,[1]Report!$B:$B,"-")</f>
        <v>46273.333333333336</v>
      </c>
      <c r="B49" s="26">
        <v>7241141</v>
      </c>
      <c r="C49" s="26">
        <v>5541983182</v>
      </c>
      <c r="D49" s="26">
        <v>2</v>
      </c>
      <c r="E49" s="26" t="s">
        <v>16</v>
      </c>
      <c r="F49" s="85">
        <v>18</v>
      </c>
      <c r="G49" s="26" t="s">
        <v>283</v>
      </c>
      <c r="H49" s="26" t="s">
        <v>64</v>
      </c>
      <c r="I49" s="26" t="s">
        <v>65</v>
      </c>
      <c r="J49" s="26">
        <v>18</v>
      </c>
      <c r="K49" s="26">
        <v>7518121</v>
      </c>
      <c r="L49" s="26" t="s">
        <v>175</v>
      </c>
      <c r="M49" s="26" t="s">
        <v>38</v>
      </c>
      <c r="N49" s="48">
        <f>IF(_Shipments[[#This Row],[Embalagem]]="Big Bag",_Shipments[[#This Row],[Qtd.]]*_Shipments[[#This Row],[Qtde. sacos/palete]],_Shipments[[#This Row],[Qtd.]])</f>
        <v>720</v>
      </c>
      <c r="O49" s="49">
        <f>_xlfn.XLOOKUP(_Shipments[[#This Row],[CLN]],[2]Dados!$D:$D,[2]Dados!$R:$R,"-")</f>
        <v>40</v>
      </c>
      <c r="P49" s="49" t="str" cm="1">
        <f t="array" ref="P49">_xlfn.LET(_xlpm.t,_xlfn.XLOOKUP(_Shipments[[#This Row],[CLN]],[2]Dados!$D:$D,[2]Dados!$Q:$Q,"-"),_xlfn.IFS(LEFT(_xlpm.t,3)="PAS","Saco",LEFT(_xlpm.t,3)="PBT","Big Bag",TRUE,"-"))</f>
        <v>Big Bag</v>
      </c>
      <c r="Q49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582.4</v>
      </c>
      <c r="R49" s="89">
        <f>IF(_Shipments[[#This Row],[Embalagem]]="Big Bag",_Shipments[[#This Row],[Qtd.]],ROUNDUP(_Shipments[[#This Row],[Qtd.]]/_Shipments[[#This Row],[Qtde. sacos/palete]],0))</f>
        <v>18</v>
      </c>
      <c r="S49" s="26" t="s">
        <v>136</v>
      </c>
      <c r="T49" s="51">
        <v>34991030020</v>
      </c>
      <c r="U49" s="26" t="s">
        <v>137</v>
      </c>
      <c r="V49" s="26" t="s">
        <v>220</v>
      </c>
      <c r="W49" s="26" t="s">
        <v>126</v>
      </c>
      <c r="Y49" s="88">
        <v>7242816</v>
      </c>
      <c r="AB49" s="26"/>
    </row>
    <row r="50" spans="1:28" x14ac:dyDescent="0.25">
      <c r="A50" s="47">
        <f>_xlfn.XLOOKUP(_Shipments[[#This Row],[Shipment]],[1]Report!$G:$G,[1]Report!$B:$B,"-")</f>
        <v>46273.333333333336</v>
      </c>
      <c r="B50" s="26">
        <v>7241939</v>
      </c>
      <c r="C50" s="26">
        <v>5541984124</v>
      </c>
      <c r="D50" s="26">
        <v>1</v>
      </c>
      <c r="E50" s="26" t="s">
        <v>16</v>
      </c>
      <c r="F50" s="85">
        <v>7</v>
      </c>
      <c r="G50" s="26" t="s">
        <v>283</v>
      </c>
      <c r="H50" s="26" t="s">
        <v>64</v>
      </c>
      <c r="I50" s="26" t="s">
        <v>65</v>
      </c>
      <c r="J50" s="26">
        <v>7</v>
      </c>
      <c r="K50" s="26">
        <v>7518121</v>
      </c>
      <c r="L50" s="26" t="s">
        <v>175</v>
      </c>
      <c r="M50" s="26" t="s">
        <v>38</v>
      </c>
      <c r="N50" s="48">
        <f>IF(_Shipments[[#This Row],[Embalagem]]="Big Bag",_Shipments[[#This Row],[Qtd.]]*_Shipments[[#This Row],[Qtde. sacos/palete]],_Shipments[[#This Row],[Qtd.]])</f>
        <v>280</v>
      </c>
      <c r="O50" s="49">
        <f>_xlfn.XLOOKUP(_Shipments[[#This Row],[CLN]],[2]Dados!$D:$D,[2]Dados!$R:$R,"-")</f>
        <v>40</v>
      </c>
      <c r="P50" s="49" t="str" cm="1">
        <f t="array" ref="P50">_xlfn.LET(_xlpm.t,_xlfn.XLOOKUP(_Shipments[[#This Row],[CLN]],[2]Dados!$D:$D,[2]Dados!$Q:$Q,"-"),_xlfn.IFS(LEFT(_xlpm.t,3)="PAS","Saco",LEFT(_xlpm.t,3)="PBT","Big Bag",TRUE,"-"))</f>
        <v>Big Bag</v>
      </c>
      <c r="Q50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582.4</v>
      </c>
      <c r="R50" s="89">
        <f>IF(_Shipments[[#This Row],[Embalagem]]="Big Bag",_Shipments[[#This Row],[Qtd.]],ROUNDUP(_Shipments[[#This Row],[Qtd.]]/_Shipments[[#This Row],[Qtde. sacos/palete]],0))</f>
        <v>7</v>
      </c>
      <c r="S50" s="26" t="s">
        <v>131</v>
      </c>
      <c r="T50" s="51">
        <v>34999248710</v>
      </c>
      <c r="U50" s="26" t="s">
        <v>132</v>
      </c>
      <c r="V50" s="26" t="s">
        <v>133</v>
      </c>
      <c r="W50" s="26" t="s">
        <v>126</v>
      </c>
      <c r="Y50" s="88">
        <v>7242819</v>
      </c>
      <c r="AB50" s="26"/>
    </row>
    <row r="51" spans="1:28" x14ac:dyDescent="0.25">
      <c r="A51" s="47">
        <f>_xlfn.XLOOKUP(_Shipments[[#This Row],[Shipment]],[1]Report!$G:$G,[1]Report!$B:$B,"-")</f>
        <v>46273.333333333336</v>
      </c>
      <c r="B51" s="26">
        <v>7241939</v>
      </c>
      <c r="C51" s="26">
        <v>5541984124</v>
      </c>
      <c r="D51" s="26">
        <v>2</v>
      </c>
      <c r="E51" s="26" t="s">
        <v>16</v>
      </c>
      <c r="F51" s="85">
        <v>14</v>
      </c>
      <c r="G51" s="26" t="s">
        <v>283</v>
      </c>
      <c r="H51" s="26" t="s">
        <v>64</v>
      </c>
      <c r="I51" s="26" t="s">
        <v>65</v>
      </c>
      <c r="J51" s="26">
        <v>14</v>
      </c>
      <c r="K51" s="26">
        <v>7518128</v>
      </c>
      <c r="L51" s="26" t="s">
        <v>176</v>
      </c>
      <c r="M51" s="26" t="s">
        <v>38</v>
      </c>
      <c r="N51" s="48">
        <f>IF(_Shipments[[#This Row],[Embalagem]]="Big Bag",_Shipments[[#This Row],[Qtd.]]*_Shipments[[#This Row],[Qtde. sacos/palete]],_Shipments[[#This Row],[Qtd.]])</f>
        <v>560</v>
      </c>
      <c r="O51" s="49">
        <f>_xlfn.XLOOKUP(_Shipments[[#This Row],[CLN]],[2]Dados!$D:$D,[2]Dados!$R:$R,"-")</f>
        <v>40</v>
      </c>
      <c r="P51" s="49" t="str" cm="1">
        <f t="array" ref="P51">_xlfn.LET(_xlpm.t,_xlfn.XLOOKUP(_Shipments[[#This Row],[CLN]],[2]Dados!$D:$D,[2]Dados!$Q:$Q,"-"),_xlfn.IFS(LEFT(_xlpm.t,3)="PAS","Saco",LEFT(_xlpm.t,3)="PBT","Big Bag",TRUE,"-"))</f>
        <v>Big Bag</v>
      </c>
      <c r="Q51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603.6</v>
      </c>
      <c r="R51" s="89">
        <f>IF(_Shipments[[#This Row],[Embalagem]]="Big Bag",_Shipments[[#This Row],[Qtd.]],ROUNDUP(_Shipments[[#This Row],[Qtd.]]/_Shipments[[#This Row],[Qtde. sacos/palete]],0))</f>
        <v>14</v>
      </c>
      <c r="S51" s="26" t="s">
        <v>131</v>
      </c>
      <c r="T51" s="51">
        <v>34999248710</v>
      </c>
      <c r="U51" s="26" t="s">
        <v>132</v>
      </c>
      <c r="V51" s="26" t="s">
        <v>133</v>
      </c>
      <c r="W51" s="26" t="s">
        <v>126</v>
      </c>
      <c r="Y51" s="88">
        <v>7242822</v>
      </c>
      <c r="AB51" s="26"/>
    </row>
    <row r="52" spans="1:28" x14ac:dyDescent="0.25">
      <c r="A52" s="47">
        <f>_xlfn.XLOOKUP(_Shipments[[#This Row],[Shipment]],[1]Report!$G:$G,[1]Report!$B:$B,"-")</f>
        <v>46273.375</v>
      </c>
      <c r="B52" s="26">
        <v>7241940</v>
      </c>
      <c r="C52" s="26">
        <v>5541984125</v>
      </c>
      <c r="D52" s="26">
        <v>1</v>
      </c>
      <c r="E52" s="26" t="s">
        <v>16</v>
      </c>
      <c r="F52" s="85">
        <v>19</v>
      </c>
      <c r="G52" s="26" t="s">
        <v>283</v>
      </c>
      <c r="H52" s="26" t="s">
        <v>64</v>
      </c>
      <c r="I52" s="26" t="s">
        <v>65</v>
      </c>
      <c r="J52" s="26">
        <v>19</v>
      </c>
      <c r="K52" s="26">
        <v>7518128</v>
      </c>
      <c r="L52" s="26" t="s">
        <v>176</v>
      </c>
      <c r="M52" s="26" t="s">
        <v>38</v>
      </c>
      <c r="N52" s="48">
        <f>IF(_Shipments[[#This Row],[Embalagem]]="Big Bag",_Shipments[[#This Row],[Qtd.]]*_Shipments[[#This Row],[Qtde. sacos/palete]],_Shipments[[#This Row],[Qtd.]])</f>
        <v>760</v>
      </c>
      <c r="O52" s="49">
        <f>_xlfn.XLOOKUP(_Shipments[[#This Row],[CLN]],[2]Dados!$D:$D,[2]Dados!$R:$R,"-")</f>
        <v>40</v>
      </c>
      <c r="P52" s="49" t="str" cm="1">
        <f t="array" ref="P52">_xlfn.LET(_xlpm.t,_xlfn.XLOOKUP(_Shipments[[#This Row],[CLN]],[2]Dados!$D:$D,[2]Dados!$Q:$Q,"-"),_xlfn.IFS(LEFT(_xlpm.t,3)="PAS","Saco",LEFT(_xlpm.t,3)="PBT","Big Bag",TRUE,"-"))</f>
        <v>Big Bag</v>
      </c>
      <c r="Q52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603.6</v>
      </c>
      <c r="R52" s="89">
        <f>IF(_Shipments[[#This Row],[Embalagem]]="Big Bag",_Shipments[[#This Row],[Qtd.]],ROUNDUP(_Shipments[[#This Row],[Qtd.]]/_Shipments[[#This Row],[Qtde. sacos/palete]],0))</f>
        <v>19</v>
      </c>
      <c r="S52" s="26" t="s">
        <v>225</v>
      </c>
      <c r="T52" s="51">
        <v>34991337791</v>
      </c>
      <c r="U52" s="26" t="s">
        <v>120</v>
      </c>
      <c r="V52" s="26" t="s">
        <v>121</v>
      </c>
      <c r="W52" s="26" t="s">
        <v>126</v>
      </c>
      <c r="Y52" s="88">
        <v>7242827</v>
      </c>
      <c r="AB52" s="26"/>
    </row>
    <row r="53" spans="1:28" x14ac:dyDescent="0.25">
      <c r="A53" s="47">
        <f>_xlfn.XLOOKUP(_Shipments[[#This Row],[Shipment]],[1]Report!$G:$G,[1]Report!$B:$B,"-")</f>
        <v>46273.375</v>
      </c>
      <c r="B53" s="26">
        <v>7241940</v>
      </c>
      <c r="C53" s="26">
        <v>5541984125</v>
      </c>
      <c r="D53" s="26">
        <v>2</v>
      </c>
      <c r="E53" s="26" t="s">
        <v>16</v>
      </c>
      <c r="F53" s="85">
        <v>2</v>
      </c>
      <c r="G53" s="26" t="s">
        <v>283</v>
      </c>
      <c r="H53" s="26" t="s">
        <v>64</v>
      </c>
      <c r="I53" s="26" t="s">
        <v>65</v>
      </c>
      <c r="J53" s="26">
        <v>2</v>
      </c>
      <c r="K53" s="26">
        <v>7518135</v>
      </c>
      <c r="L53" s="26" t="s">
        <v>177</v>
      </c>
      <c r="M53" s="26" t="s">
        <v>46</v>
      </c>
      <c r="N53" s="48">
        <f>IF(_Shipments[[#This Row],[Embalagem]]="Big Bag",_Shipments[[#This Row],[Qtd.]]*_Shipments[[#This Row],[Qtde. sacos/palete]],_Shipments[[#This Row],[Qtd.]])</f>
        <v>80</v>
      </c>
      <c r="O53" s="49">
        <f>_xlfn.XLOOKUP(_Shipments[[#This Row],[CLN]],[2]Dados!$D:$D,[2]Dados!$R:$R,"-")</f>
        <v>40</v>
      </c>
      <c r="P53" s="49" t="str" cm="1">
        <f t="array" ref="P53">_xlfn.LET(_xlpm.t,_xlfn.XLOOKUP(_Shipments[[#This Row],[CLN]],[2]Dados!$D:$D,[2]Dados!$Q:$Q,"-"),_xlfn.IFS(LEFT(_xlpm.t,3)="PAS","Saco",LEFT(_xlpm.t,3)="PBT","Big Bag",TRUE,"-"))</f>
        <v>Big Bag</v>
      </c>
      <c r="Q53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676.4</v>
      </c>
      <c r="R53" s="89">
        <f>IF(_Shipments[[#This Row],[Embalagem]]="Big Bag",_Shipments[[#This Row],[Qtd.]],ROUNDUP(_Shipments[[#This Row],[Qtd.]]/_Shipments[[#This Row],[Qtde. sacos/palete]],0))</f>
        <v>2</v>
      </c>
      <c r="S53" s="26" t="s">
        <v>225</v>
      </c>
      <c r="T53" s="51">
        <v>34991337791</v>
      </c>
      <c r="U53" s="26" t="s">
        <v>120</v>
      </c>
      <c r="V53" s="26" t="s">
        <v>121</v>
      </c>
      <c r="W53" s="26" t="s">
        <v>126</v>
      </c>
      <c r="Y53" s="88">
        <v>7242830</v>
      </c>
      <c r="AB53" s="26"/>
    </row>
    <row r="54" spans="1:28" x14ac:dyDescent="0.25">
      <c r="A54" s="47">
        <f>_xlfn.XLOOKUP(_Shipments[[#This Row],[Shipment]],[1]Report!$G:$G,[1]Report!$B:$B,"-")</f>
        <v>46273.375</v>
      </c>
      <c r="B54" s="26">
        <v>7241941</v>
      </c>
      <c r="C54" s="26">
        <v>5541984126</v>
      </c>
      <c r="D54" s="26">
        <v>1</v>
      </c>
      <c r="E54" s="26" t="s">
        <v>16</v>
      </c>
      <c r="F54" s="85">
        <v>21</v>
      </c>
      <c r="G54" s="26" t="s">
        <v>283</v>
      </c>
      <c r="H54" s="26" t="s">
        <v>64</v>
      </c>
      <c r="I54" s="26" t="s">
        <v>65</v>
      </c>
      <c r="J54" s="26">
        <v>21</v>
      </c>
      <c r="K54" s="26">
        <v>7518135</v>
      </c>
      <c r="L54" s="26" t="s">
        <v>177</v>
      </c>
      <c r="M54" s="26" t="s">
        <v>46</v>
      </c>
      <c r="N54" s="48">
        <f>IF(_Shipments[[#This Row],[Embalagem]]="Big Bag",_Shipments[[#This Row],[Qtd.]]*_Shipments[[#This Row],[Qtde. sacos/palete]],_Shipments[[#This Row],[Qtd.]])</f>
        <v>840</v>
      </c>
      <c r="O54" s="49">
        <f>_xlfn.XLOOKUP(_Shipments[[#This Row],[CLN]],[2]Dados!$D:$D,[2]Dados!$R:$R,"-")</f>
        <v>40</v>
      </c>
      <c r="P54" s="49" t="str" cm="1">
        <f t="array" ref="P54">_xlfn.LET(_xlpm.t,_xlfn.XLOOKUP(_Shipments[[#This Row],[CLN]],[2]Dados!$D:$D,[2]Dados!$Q:$Q,"-"),_xlfn.IFS(LEFT(_xlpm.t,3)="PAS","Saco",LEFT(_xlpm.t,3)="PBT","Big Bag",TRUE,"-"))</f>
        <v>Big Bag</v>
      </c>
      <c r="Q54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676.4</v>
      </c>
      <c r="R54" s="89">
        <f>IF(_Shipments[[#This Row],[Embalagem]]="Big Bag",_Shipments[[#This Row],[Qtd.]],ROUNDUP(_Shipments[[#This Row],[Qtd.]]/_Shipments[[#This Row],[Qtde. sacos/palete]],0))</f>
        <v>21</v>
      </c>
      <c r="S54" s="26" t="s">
        <v>161</v>
      </c>
      <c r="T54" s="51">
        <v>34999994801</v>
      </c>
      <c r="U54" s="26" t="s">
        <v>148</v>
      </c>
      <c r="V54" s="26" t="s">
        <v>149</v>
      </c>
      <c r="W54" s="26" t="s">
        <v>126</v>
      </c>
      <c r="Y54" s="88">
        <v>7242833</v>
      </c>
      <c r="AB54" s="26"/>
    </row>
    <row r="55" spans="1:28" x14ac:dyDescent="0.25">
      <c r="A55" s="47">
        <f>_xlfn.XLOOKUP(_Shipments[[#This Row],[Shipment]],[1]Report!$G:$G,[1]Report!$B:$B,"-")</f>
        <v>46274.333333333336</v>
      </c>
      <c r="B55" s="26">
        <v>7241943</v>
      </c>
      <c r="C55" s="26">
        <v>5541984127</v>
      </c>
      <c r="D55" s="26">
        <v>1</v>
      </c>
      <c r="E55" s="26" t="s">
        <v>16</v>
      </c>
      <c r="F55" s="85">
        <v>14</v>
      </c>
      <c r="G55" s="26" t="s">
        <v>283</v>
      </c>
      <c r="H55" s="26" t="s">
        <v>64</v>
      </c>
      <c r="I55" s="26" t="s">
        <v>65</v>
      </c>
      <c r="J55" s="26">
        <v>14</v>
      </c>
      <c r="K55" s="26">
        <v>7518135</v>
      </c>
      <c r="L55" s="26" t="s">
        <v>177</v>
      </c>
      <c r="M55" s="26" t="s">
        <v>46</v>
      </c>
      <c r="N55" s="48">
        <f>IF(_Shipments[[#This Row],[Embalagem]]="Big Bag",_Shipments[[#This Row],[Qtd.]]*_Shipments[[#This Row],[Qtde. sacos/palete]],_Shipments[[#This Row],[Qtd.]])</f>
        <v>560</v>
      </c>
      <c r="O55" s="49">
        <f>_xlfn.XLOOKUP(_Shipments[[#This Row],[CLN]],[2]Dados!$D:$D,[2]Dados!$R:$R,"-")</f>
        <v>40</v>
      </c>
      <c r="P55" s="49" t="str" cm="1">
        <f t="array" ref="P55">_xlfn.LET(_xlpm.t,_xlfn.XLOOKUP(_Shipments[[#This Row],[CLN]],[2]Dados!$D:$D,[2]Dados!$Q:$Q,"-"),_xlfn.IFS(LEFT(_xlpm.t,3)="PAS","Saco",LEFT(_xlpm.t,3)="PBT","Big Bag",TRUE,"-"))</f>
        <v>Big Bag</v>
      </c>
      <c r="Q55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676.4</v>
      </c>
      <c r="R55" s="89">
        <f>IF(_Shipments[[#This Row],[Embalagem]]="Big Bag",_Shipments[[#This Row],[Qtd.]],ROUNDUP(_Shipments[[#This Row],[Qtd.]]/_Shipments[[#This Row],[Qtde. sacos/palete]],0))</f>
        <v>14</v>
      </c>
      <c r="S55" s="26" t="s">
        <v>138</v>
      </c>
      <c r="T55" s="51">
        <v>34991718554</v>
      </c>
      <c r="U55" s="26" t="s">
        <v>139</v>
      </c>
      <c r="V55" s="26" t="s">
        <v>140</v>
      </c>
      <c r="W55" s="26" t="s">
        <v>126</v>
      </c>
      <c r="Y55" s="88">
        <v>7242836</v>
      </c>
      <c r="AB55" s="26"/>
    </row>
    <row r="56" spans="1:28" x14ac:dyDescent="0.25">
      <c r="A56" s="47">
        <f>_xlfn.XLOOKUP(_Shipments[[#This Row],[Shipment]],[1]Report!$G:$G,[1]Report!$B:$B,"-")</f>
        <v>46274.333333333336</v>
      </c>
      <c r="B56" s="26">
        <v>7241943</v>
      </c>
      <c r="C56" s="26">
        <v>5541984127</v>
      </c>
      <c r="D56" s="26">
        <v>2</v>
      </c>
      <c r="E56" s="26" t="s">
        <v>13</v>
      </c>
      <c r="F56" s="85">
        <v>7</v>
      </c>
      <c r="G56" s="26" t="s">
        <v>283</v>
      </c>
      <c r="H56" s="26" t="s">
        <v>64</v>
      </c>
      <c r="I56" s="26" t="s">
        <v>65</v>
      </c>
      <c r="J56" s="26">
        <v>7</v>
      </c>
      <c r="K56" s="26">
        <v>7518212</v>
      </c>
      <c r="L56" s="26" t="s">
        <v>193</v>
      </c>
      <c r="M56" s="26" t="s">
        <v>35</v>
      </c>
      <c r="N56" s="48">
        <f>IF(_Shipments[[#This Row],[Embalagem]]="Big Bag",_Shipments[[#This Row],[Qtd.]]*_Shipments[[#This Row],[Qtde. sacos/palete]],_Shipments[[#This Row],[Qtd.]])</f>
        <v>280</v>
      </c>
      <c r="O56" s="49">
        <f>_xlfn.XLOOKUP(_Shipments[[#This Row],[CLN]],[2]Dados!$D:$D,[2]Dados!$R:$R,"-")</f>
        <v>40</v>
      </c>
      <c r="P56" s="49" t="str" cm="1">
        <f t="array" ref="P56">_xlfn.LET(_xlpm.t,_xlfn.XLOOKUP(_Shipments[[#This Row],[CLN]],[2]Dados!$D:$D,[2]Dados!$Q:$Q,"-"),_xlfn.IFS(LEFT(_xlpm.t,3)="PAS","Saco",LEFT(_xlpm.t,3)="PBT","Big Bag",TRUE,"-"))</f>
        <v>Big Bag</v>
      </c>
      <c r="Q56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683.6</v>
      </c>
      <c r="R56" s="89">
        <f>IF(_Shipments[[#This Row],[Embalagem]]="Big Bag",_Shipments[[#This Row],[Qtd.]],ROUNDUP(_Shipments[[#This Row],[Qtd.]]/_Shipments[[#This Row],[Qtde. sacos/palete]],0))</f>
        <v>7</v>
      </c>
      <c r="S56" s="26" t="s">
        <v>138</v>
      </c>
      <c r="T56" s="51">
        <v>34991718554</v>
      </c>
      <c r="U56" s="26" t="s">
        <v>139</v>
      </c>
      <c r="V56" s="26" t="s">
        <v>140</v>
      </c>
      <c r="W56" s="26" t="s">
        <v>126</v>
      </c>
      <c r="Y56" s="88">
        <v>7242839</v>
      </c>
      <c r="AB56" s="26"/>
    </row>
    <row r="57" spans="1:28" x14ac:dyDescent="0.25">
      <c r="A57" s="47">
        <f>_xlfn.XLOOKUP(_Shipments[[#This Row],[Shipment]],[1]Report!$G:$G,[1]Report!$B:$B,"-")</f>
        <v>46274.333333333336</v>
      </c>
      <c r="B57" s="26">
        <v>7241944</v>
      </c>
      <c r="C57" s="26">
        <v>5541984128</v>
      </c>
      <c r="D57" s="26">
        <v>1</v>
      </c>
      <c r="E57" s="26" t="s">
        <v>13</v>
      </c>
      <c r="F57" s="85">
        <v>21</v>
      </c>
      <c r="G57" s="26" t="s">
        <v>283</v>
      </c>
      <c r="H57" s="26" t="s">
        <v>64</v>
      </c>
      <c r="I57" s="26" t="s">
        <v>65</v>
      </c>
      <c r="J57" s="26">
        <v>21</v>
      </c>
      <c r="K57" s="26">
        <v>7518212</v>
      </c>
      <c r="L57" s="26" t="s">
        <v>193</v>
      </c>
      <c r="M57" s="26" t="s">
        <v>35</v>
      </c>
      <c r="N57" s="48">
        <f>IF(_Shipments[[#This Row],[Embalagem]]="Big Bag",_Shipments[[#This Row],[Qtd.]]*_Shipments[[#This Row],[Qtde. sacos/palete]],_Shipments[[#This Row],[Qtd.]])</f>
        <v>840</v>
      </c>
      <c r="O57" s="49">
        <f>_xlfn.XLOOKUP(_Shipments[[#This Row],[CLN]],[2]Dados!$D:$D,[2]Dados!$R:$R,"-")</f>
        <v>40</v>
      </c>
      <c r="P57" s="49" t="str" cm="1">
        <f t="array" ref="P57">_xlfn.LET(_xlpm.t,_xlfn.XLOOKUP(_Shipments[[#This Row],[CLN]],[2]Dados!$D:$D,[2]Dados!$Q:$Q,"-"),_xlfn.IFS(LEFT(_xlpm.t,3)="PAS","Saco",LEFT(_xlpm.t,3)="PBT","Big Bag",TRUE,"-"))</f>
        <v>Big Bag</v>
      </c>
      <c r="Q57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683.6</v>
      </c>
      <c r="R57" s="89">
        <f>IF(_Shipments[[#This Row],[Embalagem]]="Big Bag",_Shipments[[#This Row],[Qtd.]],ROUNDUP(_Shipments[[#This Row],[Qtd.]]/_Shipments[[#This Row],[Qtde. sacos/palete]],0))</f>
        <v>21</v>
      </c>
      <c r="S57" s="26" t="s">
        <v>222</v>
      </c>
      <c r="T57" s="51">
        <v>34999252985</v>
      </c>
      <c r="U57" s="26" t="s">
        <v>223</v>
      </c>
      <c r="V57" s="26" t="s">
        <v>224</v>
      </c>
      <c r="W57" s="26" t="s">
        <v>126</v>
      </c>
      <c r="Y57" s="88">
        <v>7242843</v>
      </c>
    </row>
    <row r="58" spans="1:28" x14ac:dyDescent="0.25">
      <c r="A58" s="47">
        <f>_xlfn.XLOOKUP(_Shipments[[#This Row],[Shipment]],[1]Report!$G:$G,[1]Report!$B:$B,"-")</f>
        <v>46274.375</v>
      </c>
      <c r="B58" s="26">
        <v>7241945</v>
      </c>
      <c r="C58" s="26">
        <v>5541984129</v>
      </c>
      <c r="D58" s="26">
        <v>1</v>
      </c>
      <c r="E58" s="26" t="s">
        <v>16</v>
      </c>
      <c r="F58" s="85">
        <v>21</v>
      </c>
      <c r="G58" s="26" t="s">
        <v>283</v>
      </c>
      <c r="H58" s="26" t="s">
        <v>64</v>
      </c>
      <c r="I58" s="26" t="s">
        <v>65</v>
      </c>
      <c r="J58" s="26">
        <v>21</v>
      </c>
      <c r="K58" s="26">
        <v>7518141</v>
      </c>
      <c r="L58" s="26" t="s">
        <v>194</v>
      </c>
      <c r="M58" s="26" t="s">
        <v>46</v>
      </c>
      <c r="N58" s="48">
        <f>IF(_Shipments[[#This Row],[Embalagem]]="Big Bag",_Shipments[[#This Row],[Qtd.]]*_Shipments[[#This Row],[Qtde. sacos/palete]],_Shipments[[#This Row],[Qtd.]])</f>
        <v>840</v>
      </c>
      <c r="O58" s="49">
        <f>_xlfn.XLOOKUP(_Shipments[[#This Row],[CLN]],[2]Dados!$D:$D,[2]Dados!$R:$R,"-")</f>
        <v>40</v>
      </c>
      <c r="P58" s="49" t="str" cm="1">
        <f t="array" ref="P58">_xlfn.LET(_xlpm.t,_xlfn.XLOOKUP(_Shipments[[#This Row],[CLN]],[2]Dados!$D:$D,[2]Dados!$Q:$Q,"-"),_xlfn.IFS(LEFT(_xlpm.t,3)="PAS","Saco",LEFT(_xlpm.t,3)="PBT","Big Bag",TRUE,"-"))</f>
        <v>Big Bag</v>
      </c>
      <c r="Q58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698.40000000000009</v>
      </c>
      <c r="R58" s="89">
        <f>IF(_Shipments[[#This Row],[Embalagem]]="Big Bag",_Shipments[[#This Row],[Qtd.]],ROUNDUP(_Shipments[[#This Row],[Qtd.]]/_Shipments[[#This Row],[Qtde. sacos/palete]],0))</f>
        <v>21</v>
      </c>
      <c r="S58" s="26" t="s">
        <v>221</v>
      </c>
      <c r="T58" s="51">
        <v>34997243006</v>
      </c>
      <c r="U58" s="26" t="s">
        <v>181</v>
      </c>
      <c r="V58" s="26" t="s">
        <v>182</v>
      </c>
      <c r="W58" s="26" t="s">
        <v>126</v>
      </c>
      <c r="Y58" s="88">
        <v>7242844</v>
      </c>
    </row>
    <row r="59" spans="1:28" x14ac:dyDescent="0.25">
      <c r="A59" s="47">
        <f>_xlfn.XLOOKUP(_Shipments[[#This Row],[Shipment]],[1]Report!$G:$G,[1]Report!$B:$B,"-")</f>
        <v>46274.375</v>
      </c>
      <c r="B59" s="26">
        <v>7241946</v>
      </c>
      <c r="C59" s="26">
        <v>5541984130</v>
      </c>
      <c r="D59" s="26">
        <v>1</v>
      </c>
      <c r="E59" s="26" t="s">
        <v>16</v>
      </c>
      <c r="F59" s="85">
        <v>17</v>
      </c>
      <c r="G59" s="26" t="s">
        <v>283</v>
      </c>
      <c r="H59" s="26" t="s">
        <v>64</v>
      </c>
      <c r="I59" s="26" t="s">
        <v>65</v>
      </c>
      <c r="J59" s="26">
        <v>17</v>
      </c>
      <c r="K59" s="26">
        <v>7518141</v>
      </c>
      <c r="L59" s="26" t="s">
        <v>194</v>
      </c>
      <c r="M59" s="26" t="s">
        <v>46</v>
      </c>
      <c r="N59" s="48">
        <f>IF(_Shipments[[#This Row],[Embalagem]]="Big Bag",_Shipments[[#This Row],[Qtd.]]*_Shipments[[#This Row],[Qtde. sacos/palete]],_Shipments[[#This Row],[Qtd.]])</f>
        <v>680</v>
      </c>
      <c r="O59" s="49">
        <f>_xlfn.XLOOKUP(_Shipments[[#This Row],[CLN]],[2]Dados!$D:$D,[2]Dados!$R:$R,"-")</f>
        <v>40</v>
      </c>
      <c r="P59" s="49" t="str" cm="1">
        <f t="array" ref="P59">_xlfn.LET(_xlpm.t,_xlfn.XLOOKUP(_Shipments[[#This Row],[CLN]],[2]Dados!$D:$D,[2]Dados!$Q:$Q,"-"),_xlfn.IFS(LEFT(_xlpm.t,3)="PAS","Saco",LEFT(_xlpm.t,3)="PBT","Big Bag",TRUE,"-"))</f>
        <v>Big Bag</v>
      </c>
      <c r="Q59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698.40000000000009</v>
      </c>
      <c r="R59" s="89">
        <f>IF(_Shipments[[#This Row],[Embalagem]]="Big Bag",_Shipments[[#This Row],[Qtd.]],ROUNDUP(_Shipments[[#This Row],[Qtd.]]/_Shipments[[#This Row],[Qtde. sacos/palete]],0))</f>
        <v>17</v>
      </c>
      <c r="S59" s="26" t="s">
        <v>128</v>
      </c>
      <c r="T59" s="51">
        <v>34997330803</v>
      </c>
      <c r="U59" s="26" t="s">
        <v>129</v>
      </c>
      <c r="V59" s="26" t="s">
        <v>130</v>
      </c>
      <c r="W59" s="26" t="s">
        <v>126</v>
      </c>
      <c r="Y59" s="88">
        <v>7242847</v>
      </c>
    </row>
    <row r="60" spans="1:28" x14ac:dyDescent="0.25">
      <c r="A60" s="47">
        <f>_xlfn.XLOOKUP(_Shipments[[#This Row],[Shipment]],[1]Report!$G:$G,[1]Report!$B:$B,"-")</f>
        <v>46274.375</v>
      </c>
      <c r="B60" s="26">
        <v>7241946</v>
      </c>
      <c r="C60" s="26">
        <v>5541984130</v>
      </c>
      <c r="D60" s="26">
        <v>2</v>
      </c>
      <c r="E60" s="26" t="s">
        <v>16</v>
      </c>
      <c r="F60" s="85">
        <v>3</v>
      </c>
      <c r="G60" s="26" t="s">
        <v>283</v>
      </c>
      <c r="H60" s="26" t="s">
        <v>64</v>
      </c>
      <c r="I60" s="26" t="s">
        <v>65</v>
      </c>
      <c r="J60" s="26">
        <v>3</v>
      </c>
      <c r="K60" s="26">
        <v>7518145</v>
      </c>
      <c r="L60" s="26" t="s">
        <v>195</v>
      </c>
      <c r="M60" s="26" t="s">
        <v>46</v>
      </c>
      <c r="N60" s="48">
        <f>IF(_Shipments[[#This Row],[Embalagem]]="Big Bag",_Shipments[[#This Row],[Qtd.]]*_Shipments[[#This Row],[Qtde. sacos/palete]],_Shipments[[#This Row],[Qtd.]])</f>
        <v>120</v>
      </c>
      <c r="O60" s="49">
        <f>_xlfn.XLOOKUP(_Shipments[[#This Row],[CLN]],[2]Dados!$D:$D,[2]Dados!$R:$R,"-")</f>
        <v>40</v>
      </c>
      <c r="P60" s="49" t="str" cm="1">
        <f t="array" ref="P60">_xlfn.LET(_xlpm.t,_xlfn.XLOOKUP(_Shipments[[#This Row],[CLN]],[2]Dados!$D:$D,[2]Dados!$Q:$Q,"-"),_xlfn.IFS(LEFT(_xlpm.t,3)="PAS","Saco",LEFT(_xlpm.t,3)="PBT","Big Bag",TRUE,"-"))</f>
        <v>Big Bag</v>
      </c>
      <c r="Q60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678.40000000000009</v>
      </c>
      <c r="R60" s="89">
        <f>IF(_Shipments[[#This Row],[Embalagem]]="Big Bag",_Shipments[[#This Row],[Qtd.]],ROUNDUP(_Shipments[[#This Row],[Qtd.]]/_Shipments[[#This Row],[Qtde. sacos/palete]],0))</f>
        <v>3</v>
      </c>
      <c r="S60" s="26" t="s">
        <v>128</v>
      </c>
      <c r="T60" s="51">
        <v>34997330803</v>
      </c>
      <c r="U60" s="26" t="s">
        <v>129</v>
      </c>
      <c r="V60" s="26" t="s">
        <v>130</v>
      </c>
      <c r="W60" s="26" t="s">
        <v>126</v>
      </c>
      <c r="Y60" s="88">
        <v>7242848</v>
      </c>
    </row>
    <row r="61" spans="1:28" x14ac:dyDescent="0.25">
      <c r="A61" s="47">
        <f>_xlfn.XLOOKUP(_Shipments[[#This Row],[Shipment]],[1]Report!$G:$G,[1]Report!$B:$B,"-")</f>
        <v>46275.333333333336</v>
      </c>
      <c r="B61" s="26">
        <v>7241954</v>
      </c>
      <c r="C61" s="26">
        <v>5541984145</v>
      </c>
      <c r="D61" s="26">
        <v>1</v>
      </c>
      <c r="E61" s="26" t="s">
        <v>36</v>
      </c>
      <c r="F61" s="85">
        <v>31</v>
      </c>
      <c r="G61" s="26" t="s">
        <v>283</v>
      </c>
      <c r="H61" s="26" t="s">
        <v>64</v>
      </c>
      <c r="I61" s="26" t="s">
        <v>65</v>
      </c>
      <c r="J61" s="26">
        <v>31</v>
      </c>
      <c r="K61" s="26">
        <v>7550845</v>
      </c>
      <c r="L61" s="26" t="s">
        <v>196</v>
      </c>
      <c r="M61" s="26" t="s">
        <v>38</v>
      </c>
      <c r="N61" s="48">
        <f>IF(_Shipments[[#This Row],[Embalagem]]="Big Bag",_Shipments[[#This Row],[Qtd.]]*_Shipments[[#This Row],[Qtde. sacos/palete]],_Shipments[[#This Row],[Qtd.]])</f>
        <v>31</v>
      </c>
      <c r="O61" s="49">
        <f>_xlfn.XLOOKUP(_Shipments[[#This Row],[CLN]],[2]Dados!$D:$D,[2]Dados!$R:$R,"-")</f>
        <v>60</v>
      </c>
      <c r="P61" s="49" t="str" cm="1">
        <f t="array" ref="P61">_xlfn.LET(_xlpm.t,_xlfn.XLOOKUP(_Shipments[[#This Row],[CLN]],[2]Dados!$D:$D,[2]Dados!$Q:$Q,"-"),_xlfn.IFS(LEFT(_xlpm.t,3)="PAS","Saco",LEFT(_xlpm.t,3)="PBT","Big Bag",TRUE,"-"))</f>
        <v>Saco</v>
      </c>
      <c r="Q61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14.94</v>
      </c>
      <c r="R61" s="89">
        <f>IF(_Shipments[[#This Row],[Embalagem]]="Big Bag",_Shipments[[#This Row],[Qtd.]],ROUNDUP(_Shipments[[#This Row],[Qtd.]]/_Shipments[[#This Row],[Qtde. sacos/palete]],0))</f>
        <v>1</v>
      </c>
      <c r="S61" s="26" t="s">
        <v>131</v>
      </c>
      <c r="T61" s="51">
        <v>34999248710</v>
      </c>
      <c r="U61" s="26" t="s">
        <v>132</v>
      </c>
      <c r="V61" s="26" t="s">
        <v>133</v>
      </c>
      <c r="W61" s="26" t="s">
        <v>126</v>
      </c>
      <c r="Y61" s="88">
        <v>7242850</v>
      </c>
    </row>
    <row r="62" spans="1:28" x14ac:dyDescent="0.25">
      <c r="A62" s="47">
        <f>_xlfn.XLOOKUP(_Shipments[[#This Row],[Shipment]],[1]Report!$G:$G,[1]Report!$B:$B,"-")</f>
        <v>46275.333333333336</v>
      </c>
      <c r="B62" s="26">
        <v>7241954</v>
      </c>
      <c r="C62" s="26">
        <v>5541984145</v>
      </c>
      <c r="D62" s="26">
        <v>2</v>
      </c>
      <c r="E62" s="26" t="s">
        <v>36</v>
      </c>
      <c r="F62" s="85">
        <v>19</v>
      </c>
      <c r="G62" s="26" t="s">
        <v>283</v>
      </c>
      <c r="H62" s="26" t="s">
        <v>64</v>
      </c>
      <c r="I62" s="26" t="s">
        <v>65</v>
      </c>
      <c r="J62" s="26">
        <v>19</v>
      </c>
      <c r="K62" s="26">
        <v>7550846</v>
      </c>
      <c r="L62" s="26" t="s">
        <v>197</v>
      </c>
      <c r="M62" s="26" t="s">
        <v>38</v>
      </c>
      <c r="N62" s="48">
        <f>IF(_Shipments[[#This Row],[Embalagem]]="Big Bag",_Shipments[[#This Row],[Qtd.]]*_Shipments[[#This Row],[Qtde. sacos/palete]],_Shipments[[#This Row],[Qtd.]])</f>
        <v>19</v>
      </c>
      <c r="O62" s="49">
        <f>_xlfn.XLOOKUP(_Shipments[[#This Row],[CLN]],[2]Dados!$D:$D,[2]Dados!$R:$R,"-")</f>
        <v>60</v>
      </c>
      <c r="P62" s="49" t="str" cm="1">
        <f t="array" ref="P62">_xlfn.LET(_xlpm.t,_xlfn.XLOOKUP(_Shipments[[#This Row],[CLN]],[2]Dados!$D:$D,[2]Dados!$Q:$Q,"-"),_xlfn.IFS(LEFT(_xlpm.t,3)="PAS","Saco",LEFT(_xlpm.t,3)="PBT","Big Bag",TRUE,"-"))</f>
        <v>Saco</v>
      </c>
      <c r="Q62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15.04</v>
      </c>
      <c r="R62" s="89">
        <f>IF(_Shipments[[#This Row],[Embalagem]]="Big Bag",_Shipments[[#This Row],[Qtd.]],ROUNDUP(_Shipments[[#This Row],[Qtd.]]/_Shipments[[#This Row],[Qtde. sacos/palete]],0))</f>
        <v>1</v>
      </c>
      <c r="S62" s="26" t="s">
        <v>131</v>
      </c>
      <c r="T62" s="51">
        <v>34999248710</v>
      </c>
      <c r="U62" s="26" t="s">
        <v>132</v>
      </c>
      <c r="V62" s="26" t="s">
        <v>133</v>
      </c>
      <c r="W62" s="26" t="s">
        <v>126</v>
      </c>
      <c r="Y62" s="88">
        <v>7242853</v>
      </c>
    </row>
    <row r="63" spans="1:28" x14ac:dyDescent="0.25">
      <c r="A63" s="47">
        <f>_xlfn.XLOOKUP(_Shipments[[#This Row],[Shipment]],[1]Report!$G:$G,[1]Report!$B:$B,"-")</f>
        <v>46275.333333333336</v>
      </c>
      <c r="B63" s="26">
        <v>7241954</v>
      </c>
      <c r="C63" s="26">
        <v>5541984145</v>
      </c>
      <c r="D63" s="26">
        <v>3</v>
      </c>
      <c r="E63" s="26" t="s">
        <v>30</v>
      </c>
      <c r="F63" s="85">
        <v>38</v>
      </c>
      <c r="G63" s="26" t="s">
        <v>283</v>
      </c>
      <c r="H63" s="26" t="s">
        <v>64</v>
      </c>
      <c r="I63" s="26" t="s">
        <v>65</v>
      </c>
      <c r="J63" s="26">
        <v>38</v>
      </c>
      <c r="K63" s="26">
        <v>7520949</v>
      </c>
      <c r="L63" s="26" t="s">
        <v>198</v>
      </c>
      <c r="M63" s="26" t="s">
        <v>32</v>
      </c>
      <c r="N63" s="48">
        <f>IF(_Shipments[[#This Row],[Embalagem]]="Big Bag",_Shipments[[#This Row],[Qtd.]]*_Shipments[[#This Row],[Qtde. sacos/palete]],_Shipments[[#This Row],[Qtd.]])</f>
        <v>38</v>
      </c>
      <c r="O63" s="49">
        <f>_xlfn.XLOOKUP(_Shipments[[#This Row],[CLN]],[2]Dados!$D:$D,[2]Dados!$R:$R,"-")</f>
        <v>60</v>
      </c>
      <c r="P63" s="49" t="str" cm="1">
        <f t="array" ref="P63">_xlfn.LET(_xlpm.t,_xlfn.XLOOKUP(_Shipments[[#This Row],[CLN]],[2]Dados!$D:$D,[2]Dados!$Q:$Q,"-"),_xlfn.IFS(LEFT(_xlpm.t,3)="PAS","Saco",LEFT(_xlpm.t,3)="PBT","Big Bag",TRUE,"-"))</f>
        <v>Saco</v>
      </c>
      <c r="Q63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14.71</v>
      </c>
      <c r="R63" s="89">
        <f>IF(_Shipments[[#This Row],[Embalagem]]="Big Bag",_Shipments[[#This Row],[Qtd.]],ROUNDUP(_Shipments[[#This Row],[Qtd.]]/_Shipments[[#This Row],[Qtde. sacos/palete]],0))</f>
        <v>1</v>
      </c>
      <c r="S63" s="26" t="s">
        <v>131</v>
      </c>
      <c r="T63" s="51">
        <v>34999248710</v>
      </c>
      <c r="U63" s="26" t="s">
        <v>132</v>
      </c>
      <c r="V63" s="26" t="s">
        <v>133</v>
      </c>
      <c r="W63" s="26" t="s">
        <v>126</v>
      </c>
      <c r="Y63" s="88">
        <v>7244328</v>
      </c>
    </row>
    <row r="64" spans="1:28" x14ac:dyDescent="0.25">
      <c r="A64" s="47">
        <f>_xlfn.XLOOKUP(_Shipments[[#This Row],[Shipment]],[1]Report!$G:$G,[1]Report!$B:$B,"-")</f>
        <v>46275.333333333336</v>
      </c>
      <c r="B64" s="26">
        <v>7241954</v>
      </c>
      <c r="C64" s="26">
        <v>5541984145</v>
      </c>
      <c r="D64" s="26">
        <v>4</v>
      </c>
      <c r="E64" s="26" t="s">
        <v>33</v>
      </c>
      <c r="F64" s="85">
        <v>14</v>
      </c>
      <c r="G64" s="26" t="s">
        <v>283</v>
      </c>
      <c r="H64" s="26" t="s">
        <v>64</v>
      </c>
      <c r="I64" s="26" t="s">
        <v>65</v>
      </c>
      <c r="J64" s="26">
        <v>14</v>
      </c>
      <c r="K64" s="26">
        <v>7520956</v>
      </c>
      <c r="L64" s="26" t="s">
        <v>199</v>
      </c>
      <c r="M64" s="26" t="s">
        <v>35</v>
      </c>
      <c r="N64" s="48">
        <f>IF(_Shipments[[#This Row],[Embalagem]]="Big Bag",_Shipments[[#This Row],[Qtd.]]*_Shipments[[#This Row],[Qtde. sacos/palete]],_Shipments[[#This Row],[Qtd.]])</f>
        <v>14</v>
      </c>
      <c r="O64" s="49">
        <f>_xlfn.XLOOKUP(_Shipments[[#This Row],[CLN]],[2]Dados!$D:$D,[2]Dados!$R:$R,"-")</f>
        <v>60</v>
      </c>
      <c r="P64" s="49" t="str" cm="1">
        <f t="array" ref="P64">_xlfn.LET(_xlpm.t,_xlfn.XLOOKUP(_Shipments[[#This Row],[CLN]],[2]Dados!$D:$D,[2]Dados!$Q:$Q,"-"),_xlfn.IFS(LEFT(_xlpm.t,3)="PAS","Saco",LEFT(_xlpm.t,3)="PBT","Big Bag",TRUE,"-"))</f>
        <v>Saco</v>
      </c>
      <c r="Q64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17.16</v>
      </c>
      <c r="R64" s="89">
        <f>IF(_Shipments[[#This Row],[Embalagem]]="Big Bag",_Shipments[[#This Row],[Qtd.]],ROUNDUP(_Shipments[[#This Row],[Qtd.]]/_Shipments[[#This Row],[Qtde. sacos/palete]],0))</f>
        <v>1</v>
      </c>
      <c r="S64" s="26" t="s">
        <v>131</v>
      </c>
      <c r="T64" s="51">
        <v>34999248710</v>
      </c>
      <c r="U64" s="26" t="s">
        <v>132</v>
      </c>
      <c r="V64" s="26" t="s">
        <v>133</v>
      </c>
      <c r="W64" s="26" t="s">
        <v>126</v>
      </c>
      <c r="Y64" s="26">
        <v>7244330</v>
      </c>
    </row>
    <row r="65" spans="1:25" x14ac:dyDescent="0.25">
      <c r="A65" s="47">
        <f>_xlfn.XLOOKUP(_Shipments[[#This Row],[Shipment]],[1]Report!$G:$G,[1]Report!$B:$B,"-")</f>
        <v>46275.333333333336</v>
      </c>
      <c r="B65" s="26">
        <v>7241954</v>
      </c>
      <c r="C65" s="26">
        <v>5541984145</v>
      </c>
      <c r="D65" s="26">
        <v>5</v>
      </c>
      <c r="E65" s="26" t="s">
        <v>33</v>
      </c>
      <c r="F65" s="85">
        <v>13</v>
      </c>
      <c r="G65" s="26" t="s">
        <v>283</v>
      </c>
      <c r="H65" s="26" t="s">
        <v>64</v>
      </c>
      <c r="I65" s="26" t="s">
        <v>65</v>
      </c>
      <c r="J65" s="26">
        <v>13</v>
      </c>
      <c r="K65" s="26">
        <v>7520960</v>
      </c>
      <c r="L65" s="26" t="s">
        <v>200</v>
      </c>
      <c r="M65" s="26" t="s">
        <v>61</v>
      </c>
      <c r="N65" s="48">
        <f>IF(_Shipments[[#This Row],[Embalagem]]="Big Bag",_Shipments[[#This Row],[Qtd.]]*_Shipments[[#This Row],[Qtde. sacos/palete]],_Shipments[[#This Row],[Qtd.]])</f>
        <v>13</v>
      </c>
      <c r="O65" s="49">
        <f>_xlfn.XLOOKUP(_Shipments[[#This Row],[CLN]],[2]Dados!$D:$D,[2]Dados!$R:$R,"-")</f>
        <v>45</v>
      </c>
      <c r="P65" s="49" t="str" cm="1">
        <f t="array" ref="P65">_xlfn.LET(_xlpm.t,_xlfn.XLOOKUP(_Shipments[[#This Row],[CLN]],[2]Dados!$D:$D,[2]Dados!$Q:$Q,"-"),_xlfn.IFS(LEFT(_xlpm.t,3)="PAS","Saco",LEFT(_xlpm.t,3)="PBT","Big Bag",TRUE,"-"))</f>
        <v>Saco</v>
      </c>
      <c r="Q65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20.99</v>
      </c>
      <c r="R65" s="89">
        <f>IF(_Shipments[[#This Row],[Embalagem]]="Big Bag",_Shipments[[#This Row],[Qtd.]],ROUNDUP(_Shipments[[#This Row],[Qtd.]]/_Shipments[[#This Row],[Qtde. sacos/palete]],0))</f>
        <v>1</v>
      </c>
      <c r="S65" s="26" t="s">
        <v>131</v>
      </c>
      <c r="T65" s="51">
        <v>34999248710</v>
      </c>
      <c r="U65" s="26" t="s">
        <v>132</v>
      </c>
      <c r="V65" s="26" t="s">
        <v>133</v>
      </c>
      <c r="W65" s="26" t="s">
        <v>126</v>
      </c>
      <c r="Y65" s="26">
        <v>7244331</v>
      </c>
    </row>
    <row r="66" spans="1:25" x14ac:dyDescent="0.25">
      <c r="A66" s="47">
        <f>_xlfn.XLOOKUP(_Shipments[[#This Row],[Shipment]],[1]Report!$G:$G,[1]Report!$B:$B,"-")</f>
        <v>46275.333333333336</v>
      </c>
      <c r="B66" s="26">
        <v>7241954</v>
      </c>
      <c r="C66" s="26">
        <v>5541984145</v>
      </c>
      <c r="D66" s="26">
        <v>6</v>
      </c>
      <c r="E66" s="26" t="s">
        <v>36</v>
      </c>
      <c r="F66" s="85">
        <v>5</v>
      </c>
      <c r="G66" s="26" t="s">
        <v>283</v>
      </c>
      <c r="H66" s="26" t="s">
        <v>64</v>
      </c>
      <c r="I66" s="26" t="s">
        <v>65</v>
      </c>
      <c r="J66" s="26">
        <v>5</v>
      </c>
      <c r="K66" s="26">
        <v>7550834</v>
      </c>
      <c r="L66" s="26" t="s">
        <v>201</v>
      </c>
      <c r="M66" s="26" t="s">
        <v>46</v>
      </c>
      <c r="N66" s="48">
        <f>IF(_Shipments[[#This Row],[Embalagem]]="Big Bag",_Shipments[[#This Row],[Qtd.]]*_Shipments[[#This Row],[Qtde. sacos/palete]],_Shipments[[#This Row],[Qtd.]])</f>
        <v>5</v>
      </c>
      <c r="O66" s="49">
        <f>_xlfn.XLOOKUP(_Shipments[[#This Row],[CLN]],[2]Dados!$D:$D,[2]Dados!$R:$R,"-")</f>
        <v>60</v>
      </c>
      <c r="P66" s="49" t="str" cm="1">
        <f t="array" ref="P66">_xlfn.LET(_xlpm.t,_xlfn.XLOOKUP(_Shipments[[#This Row],[CLN]],[2]Dados!$D:$D,[2]Dados!$Q:$Q,"-"),_xlfn.IFS(LEFT(_xlpm.t,3)="PAS","Saco",LEFT(_xlpm.t,3)="PBT","Big Bag",TRUE,"-"))</f>
        <v>Saco</v>
      </c>
      <c r="Q66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16.96</v>
      </c>
      <c r="R66" s="89">
        <f>IF(_Shipments[[#This Row],[Embalagem]]="Big Bag",_Shipments[[#This Row],[Qtd.]],ROUNDUP(_Shipments[[#This Row],[Qtd.]]/_Shipments[[#This Row],[Qtde. sacos/palete]],0))</f>
        <v>1</v>
      </c>
      <c r="S66" s="26" t="s">
        <v>131</v>
      </c>
      <c r="T66" s="51">
        <v>34999248710</v>
      </c>
      <c r="U66" s="26" t="s">
        <v>132</v>
      </c>
      <c r="V66" s="26" t="s">
        <v>133</v>
      </c>
      <c r="W66" s="26" t="s">
        <v>126</v>
      </c>
      <c r="Y66" s="26">
        <v>7244332</v>
      </c>
    </row>
    <row r="67" spans="1:25" x14ac:dyDescent="0.25">
      <c r="A67" s="47">
        <f>_xlfn.XLOOKUP(_Shipments[[#This Row],[Shipment]],[1]Report!$G:$G,[1]Report!$B:$B,"-")</f>
        <v>46275.333333333336</v>
      </c>
      <c r="B67" s="26">
        <v>7241954</v>
      </c>
      <c r="C67" s="26">
        <v>5541984145</v>
      </c>
      <c r="D67" s="26">
        <v>7</v>
      </c>
      <c r="E67" s="26" t="s">
        <v>36</v>
      </c>
      <c r="F67" s="85">
        <v>39</v>
      </c>
      <c r="G67" s="26" t="s">
        <v>283</v>
      </c>
      <c r="H67" s="26" t="s">
        <v>64</v>
      </c>
      <c r="I67" s="26" t="s">
        <v>65</v>
      </c>
      <c r="J67" s="26">
        <v>39</v>
      </c>
      <c r="K67" s="26">
        <v>7559896</v>
      </c>
      <c r="L67" s="26" t="s">
        <v>202</v>
      </c>
      <c r="M67" s="26" t="s">
        <v>46</v>
      </c>
      <c r="N67" s="48">
        <f>IF(_Shipments[[#This Row],[Embalagem]]="Big Bag",_Shipments[[#This Row],[Qtd.]]*_Shipments[[#This Row],[Qtde. sacos/palete]],_Shipments[[#This Row],[Qtd.]])</f>
        <v>39</v>
      </c>
      <c r="O67" s="49">
        <f>_xlfn.XLOOKUP(_Shipments[[#This Row],[CLN]],[2]Dados!$D:$D,[2]Dados!$R:$R,"-")</f>
        <v>60</v>
      </c>
      <c r="P67" s="49" t="str" cm="1">
        <f t="array" ref="P67">_xlfn.LET(_xlpm.t,_xlfn.XLOOKUP(_Shipments[[#This Row],[CLN]],[2]Dados!$D:$D,[2]Dados!$Q:$Q,"-"),_xlfn.IFS(LEFT(_xlpm.t,3)="PAS","Saco",LEFT(_xlpm.t,3)="PBT","Big Bag",TRUE,"-"))</f>
        <v>Saco</v>
      </c>
      <c r="Q67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17.32</v>
      </c>
      <c r="R67" s="89">
        <f>IF(_Shipments[[#This Row],[Embalagem]]="Big Bag",_Shipments[[#This Row],[Qtd.]],ROUNDUP(_Shipments[[#This Row],[Qtd.]]/_Shipments[[#This Row],[Qtde. sacos/palete]],0))</f>
        <v>1</v>
      </c>
      <c r="S67" s="26" t="s">
        <v>131</v>
      </c>
      <c r="T67" s="51">
        <v>34999248710</v>
      </c>
      <c r="U67" s="26" t="s">
        <v>132</v>
      </c>
      <c r="V67" s="26" t="s">
        <v>133</v>
      </c>
      <c r="W67" s="26" t="s">
        <v>126</v>
      </c>
      <c r="Y67" s="26">
        <v>7244334</v>
      </c>
    </row>
    <row r="68" spans="1:25" x14ac:dyDescent="0.25">
      <c r="A68" s="47">
        <f>_xlfn.XLOOKUP(_Shipments[[#This Row],[Shipment]],[1]Report!$G:$G,[1]Report!$B:$B,"-")</f>
        <v>46275.333333333336</v>
      </c>
      <c r="B68" s="26">
        <v>7241954</v>
      </c>
      <c r="C68" s="26">
        <v>5541984145</v>
      </c>
      <c r="D68" s="26">
        <v>8</v>
      </c>
      <c r="E68" s="26" t="s">
        <v>30</v>
      </c>
      <c r="F68" s="85">
        <v>34</v>
      </c>
      <c r="G68" s="26" t="s">
        <v>283</v>
      </c>
      <c r="H68" s="26" t="s">
        <v>64</v>
      </c>
      <c r="I68" s="26" t="s">
        <v>65</v>
      </c>
      <c r="J68" s="26">
        <v>34</v>
      </c>
      <c r="K68" s="26">
        <v>7559900</v>
      </c>
      <c r="L68" s="26" t="s">
        <v>203</v>
      </c>
      <c r="M68" s="26" t="s">
        <v>32</v>
      </c>
      <c r="N68" s="48">
        <f>IF(_Shipments[[#This Row],[Embalagem]]="Big Bag",_Shipments[[#This Row],[Qtd.]]*_Shipments[[#This Row],[Qtde. sacos/palete]],_Shipments[[#This Row],[Qtd.]])</f>
        <v>34</v>
      </c>
      <c r="O68" s="49">
        <f>_xlfn.XLOOKUP(_Shipments[[#This Row],[CLN]],[2]Dados!$D:$D,[2]Dados!$R:$R,"-")</f>
        <v>70</v>
      </c>
      <c r="P68" s="49" t="str" cm="1">
        <f t="array" ref="P68">_xlfn.LET(_xlpm.t,_xlfn.XLOOKUP(_Shipments[[#This Row],[CLN]],[2]Dados!$D:$D,[2]Dados!$Q:$Q,"-"),_xlfn.IFS(LEFT(_xlpm.t,3)="PAS","Saco",LEFT(_xlpm.t,3)="PBT","Big Bag",TRUE,"-"))</f>
        <v>Saco</v>
      </c>
      <c r="Q68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14.3</v>
      </c>
      <c r="R68" s="89">
        <f>IF(_Shipments[[#This Row],[Embalagem]]="Big Bag",_Shipments[[#This Row],[Qtd.]],ROUNDUP(_Shipments[[#This Row],[Qtd.]]/_Shipments[[#This Row],[Qtde. sacos/palete]],0))</f>
        <v>1</v>
      </c>
      <c r="S68" s="26" t="s">
        <v>131</v>
      </c>
      <c r="T68" s="51">
        <v>34999248710</v>
      </c>
      <c r="U68" s="26" t="s">
        <v>132</v>
      </c>
      <c r="V68" s="26" t="s">
        <v>133</v>
      </c>
      <c r="W68" s="26" t="s">
        <v>126</v>
      </c>
      <c r="Y68" s="26">
        <v>7244335</v>
      </c>
    </row>
    <row r="69" spans="1:25" x14ac:dyDescent="0.25">
      <c r="A69" s="47">
        <f>_xlfn.XLOOKUP(_Shipments[[#This Row],[Shipment]],[1]Report!$G:$G,[1]Report!$B:$B,"-")</f>
        <v>46275.333333333336</v>
      </c>
      <c r="B69" s="26">
        <v>7241954</v>
      </c>
      <c r="C69" s="26">
        <v>5541984145</v>
      </c>
      <c r="D69" s="26">
        <v>9</v>
      </c>
      <c r="E69" s="26" t="s">
        <v>30</v>
      </c>
      <c r="F69" s="85">
        <v>20</v>
      </c>
      <c r="G69" s="26" t="s">
        <v>283</v>
      </c>
      <c r="H69" s="26" t="s">
        <v>64</v>
      </c>
      <c r="I69" s="26" t="s">
        <v>65</v>
      </c>
      <c r="J69" s="26">
        <v>20</v>
      </c>
      <c r="K69" s="26">
        <v>7559901</v>
      </c>
      <c r="L69" s="26" t="s">
        <v>204</v>
      </c>
      <c r="M69" s="26" t="s">
        <v>32</v>
      </c>
      <c r="N69" s="48">
        <f>IF(_Shipments[[#This Row],[Embalagem]]="Big Bag",_Shipments[[#This Row],[Qtd.]]*_Shipments[[#This Row],[Qtde. sacos/palete]],_Shipments[[#This Row],[Qtd.]])</f>
        <v>20</v>
      </c>
      <c r="O69" s="49">
        <f>_xlfn.XLOOKUP(_Shipments[[#This Row],[CLN]],[2]Dados!$D:$D,[2]Dados!$R:$R,"-")</f>
        <v>60</v>
      </c>
      <c r="P69" s="49" t="str" cm="1">
        <f t="array" ref="P69">_xlfn.LET(_xlpm.t,_xlfn.XLOOKUP(_Shipments[[#This Row],[CLN]],[2]Dados!$D:$D,[2]Dados!$Q:$Q,"-"),_xlfn.IFS(LEFT(_xlpm.t,3)="PAS","Saco",LEFT(_xlpm.t,3)="PBT","Big Bag",TRUE,"-"))</f>
        <v>Saco</v>
      </c>
      <c r="Q69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14.92</v>
      </c>
      <c r="R69" s="89">
        <f>IF(_Shipments[[#This Row],[Embalagem]]="Big Bag",_Shipments[[#This Row],[Qtd.]],ROUNDUP(_Shipments[[#This Row],[Qtd.]]/_Shipments[[#This Row],[Qtde. sacos/palete]],0))</f>
        <v>1</v>
      </c>
      <c r="S69" s="26" t="s">
        <v>131</v>
      </c>
      <c r="T69" s="51">
        <v>34999248710</v>
      </c>
      <c r="U69" s="26" t="s">
        <v>132</v>
      </c>
      <c r="V69" s="26" t="s">
        <v>133</v>
      </c>
      <c r="W69" s="26" t="s">
        <v>126</v>
      </c>
      <c r="Y69" s="26">
        <v>7244336</v>
      </c>
    </row>
    <row r="70" spans="1:25" x14ac:dyDescent="0.25">
      <c r="A70" s="47">
        <f>_xlfn.XLOOKUP(_Shipments[[#This Row],[Shipment]],[1]Report!$G:$G,[1]Report!$B:$B,"-")</f>
        <v>46275.333333333336</v>
      </c>
      <c r="B70" s="26">
        <v>7241954</v>
      </c>
      <c r="C70" s="26">
        <v>5541984145</v>
      </c>
      <c r="D70" s="26">
        <v>10</v>
      </c>
      <c r="E70" s="26" t="s">
        <v>30</v>
      </c>
      <c r="F70" s="85">
        <v>40</v>
      </c>
      <c r="G70" s="26" t="s">
        <v>283</v>
      </c>
      <c r="H70" s="26" t="s">
        <v>64</v>
      </c>
      <c r="I70" s="26" t="s">
        <v>65</v>
      </c>
      <c r="J70" s="26">
        <v>40</v>
      </c>
      <c r="K70" s="26">
        <v>7559902</v>
      </c>
      <c r="L70" s="26" t="s">
        <v>205</v>
      </c>
      <c r="M70" s="26" t="s">
        <v>32</v>
      </c>
      <c r="N70" s="48">
        <f>IF(_Shipments[[#This Row],[Embalagem]]="Big Bag",_Shipments[[#This Row],[Qtd.]]*_Shipments[[#This Row],[Qtde. sacos/palete]],_Shipments[[#This Row],[Qtd.]])</f>
        <v>40</v>
      </c>
      <c r="O70" s="49">
        <f>_xlfn.XLOOKUP(_Shipments[[#This Row],[CLN]],[2]Dados!$D:$D,[2]Dados!$R:$R,"-")</f>
        <v>60</v>
      </c>
      <c r="P70" s="49" t="str" cm="1">
        <f t="array" ref="P70">_xlfn.LET(_xlpm.t,_xlfn.XLOOKUP(_Shipments[[#This Row],[CLN]],[2]Dados!$D:$D,[2]Dados!$Q:$Q,"-"),_xlfn.IFS(LEFT(_xlpm.t,3)="PAS","Saco",LEFT(_xlpm.t,3)="PBT","Big Bag",TRUE,"-"))</f>
        <v>Saco</v>
      </c>
      <c r="Q70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16.53</v>
      </c>
      <c r="R70" s="89">
        <f>IF(_Shipments[[#This Row],[Embalagem]]="Big Bag",_Shipments[[#This Row],[Qtd.]],ROUNDUP(_Shipments[[#This Row],[Qtd.]]/_Shipments[[#This Row],[Qtde. sacos/palete]],0))</f>
        <v>1</v>
      </c>
      <c r="S70" s="26" t="s">
        <v>131</v>
      </c>
      <c r="T70" s="51">
        <v>34999248710</v>
      </c>
      <c r="U70" s="26" t="s">
        <v>132</v>
      </c>
      <c r="V70" s="26" t="s">
        <v>133</v>
      </c>
      <c r="W70" s="26" t="s">
        <v>126</v>
      </c>
      <c r="Y70" s="26">
        <v>7244337</v>
      </c>
    </row>
    <row r="71" spans="1:25" x14ac:dyDescent="0.25">
      <c r="A71" s="47">
        <f>_xlfn.XLOOKUP(_Shipments[[#This Row],[Shipment]],[1]Report!$G:$G,[1]Report!$B:$B,"-")</f>
        <v>46275.333333333336</v>
      </c>
      <c r="B71" s="26">
        <v>7241954</v>
      </c>
      <c r="C71" s="26">
        <v>5541984145</v>
      </c>
      <c r="D71" s="26">
        <v>11</v>
      </c>
      <c r="E71" s="26" t="s">
        <v>36</v>
      </c>
      <c r="F71" s="85">
        <v>42</v>
      </c>
      <c r="G71" s="26" t="s">
        <v>283</v>
      </c>
      <c r="H71" s="26" t="s">
        <v>64</v>
      </c>
      <c r="I71" s="26" t="s">
        <v>65</v>
      </c>
      <c r="J71" s="26">
        <v>42</v>
      </c>
      <c r="K71" s="26">
        <v>7559903</v>
      </c>
      <c r="L71" s="26" t="s">
        <v>206</v>
      </c>
      <c r="M71" s="26" t="s">
        <v>46</v>
      </c>
      <c r="N71" s="48">
        <f>IF(_Shipments[[#This Row],[Embalagem]]="Big Bag",_Shipments[[#This Row],[Qtd.]]*_Shipments[[#This Row],[Qtde. sacos/palete]],_Shipments[[#This Row],[Qtd.]])</f>
        <v>42</v>
      </c>
      <c r="O71" s="49">
        <f>_xlfn.XLOOKUP(_Shipments[[#This Row],[CLN]],[2]Dados!$D:$D,[2]Dados!$R:$R,"-")</f>
        <v>50</v>
      </c>
      <c r="P71" s="49" t="str" cm="1">
        <f t="array" ref="P71">_xlfn.LET(_xlpm.t,_xlfn.XLOOKUP(_Shipments[[#This Row],[CLN]],[2]Dados!$D:$D,[2]Dados!$Q:$Q,"-"),_xlfn.IFS(LEFT(_xlpm.t,3)="PAS","Saco",LEFT(_xlpm.t,3)="PBT","Big Bag",TRUE,"-"))</f>
        <v>Saco</v>
      </c>
      <c r="Q71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19.690000000000001</v>
      </c>
      <c r="R71" s="89">
        <f>IF(_Shipments[[#This Row],[Embalagem]]="Big Bag",_Shipments[[#This Row],[Qtd.]],ROUNDUP(_Shipments[[#This Row],[Qtd.]]/_Shipments[[#This Row],[Qtde. sacos/palete]],0))</f>
        <v>1</v>
      </c>
      <c r="S71" s="26" t="s">
        <v>131</v>
      </c>
      <c r="T71" s="51">
        <v>34999248710</v>
      </c>
      <c r="U71" s="26" t="s">
        <v>132</v>
      </c>
      <c r="V71" s="26" t="s">
        <v>133</v>
      </c>
      <c r="W71" s="26" t="s">
        <v>126</v>
      </c>
      <c r="Y71" s="26">
        <v>7244338</v>
      </c>
    </row>
    <row r="72" spans="1:25" x14ac:dyDescent="0.25">
      <c r="A72" s="47">
        <f>_xlfn.XLOOKUP(_Shipments[[#This Row],[Shipment]],[1]Report!$G:$G,[1]Report!$B:$B,"-")</f>
        <v>46275.333333333336</v>
      </c>
      <c r="B72" s="26">
        <v>7241954</v>
      </c>
      <c r="C72" s="26">
        <v>5541984145</v>
      </c>
      <c r="D72" s="26">
        <v>12</v>
      </c>
      <c r="E72" s="26" t="s">
        <v>36</v>
      </c>
      <c r="F72" s="85">
        <v>37</v>
      </c>
      <c r="G72" s="26" t="s">
        <v>283</v>
      </c>
      <c r="H72" s="26" t="s">
        <v>64</v>
      </c>
      <c r="I72" s="26" t="s">
        <v>65</v>
      </c>
      <c r="J72" s="26">
        <v>37</v>
      </c>
      <c r="K72" s="26">
        <v>7559905</v>
      </c>
      <c r="L72" s="26" t="s">
        <v>207</v>
      </c>
      <c r="M72" s="26" t="s">
        <v>38</v>
      </c>
      <c r="N72" s="48">
        <f>IF(_Shipments[[#This Row],[Embalagem]]="Big Bag",_Shipments[[#This Row],[Qtd.]]*_Shipments[[#This Row],[Qtde. sacos/palete]],_Shipments[[#This Row],[Qtd.]])</f>
        <v>37</v>
      </c>
      <c r="O72" s="49">
        <f>_xlfn.XLOOKUP(_Shipments[[#This Row],[CLN]],[2]Dados!$D:$D,[2]Dados!$R:$R,"-")</f>
        <v>60</v>
      </c>
      <c r="P72" s="49" t="str" cm="1">
        <f t="array" ref="P72">_xlfn.LET(_xlpm.t,_xlfn.XLOOKUP(_Shipments[[#This Row],[CLN]],[2]Dados!$D:$D,[2]Dados!$Q:$Q,"-"),_xlfn.IFS(LEFT(_xlpm.t,3)="PAS","Saco",LEFT(_xlpm.t,3)="PBT","Big Bag",TRUE,"-"))</f>
        <v>Saco</v>
      </c>
      <c r="Q72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14.79</v>
      </c>
      <c r="R72" s="89">
        <f>IF(_Shipments[[#This Row],[Embalagem]]="Big Bag",_Shipments[[#This Row],[Qtd.]],ROUNDUP(_Shipments[[#This Row],[Qtd.]]/_Shipments[[#This Row],[Qtde. sacos/palete]],0))</f>
        <v>1</v>
      </c>
      <c r="S72" s="26" t="s">
        <v>131</v>
      </c>
      <c r="T72" s="51">
        <v>34999248710</v>
      </c>
      <c r="U72" s="26" t="s">
        <v>132</v>
      </c>
      <c r="V72" s="26" t="s">
        <v>133</v>
      </c>
      <c r="W72" s="26" t="s">
        <v>126</v>
      </c>
      <c r="Y72" s="26">
        <v>7244339</v>
      </c>
    </row>
    <row r="73" spans="1:25" x14ac:dyDescent="0.25">
      <c r="A73" s="47">
        <f>_xlfn.XLOOKUP(_Shipments[[#This Row],[Shipment]],[1]Report!$G:$G,[1]Report!$B:$B,"-")</f>
        <v>46275.333333333336</v>
      </c>
      <c r="B73" s="26">
        <v>7241954</v>
      </c>
      <c r="C73" s="26">
        <v>5541984145</v>
      </c>
      <c r="D73" s="26">
        <v>13</v>
      </c>
      <c r="E73" s="26" t="s">
        <v>36</v>
      </c>
      <c r="F73" s="85">
        <v>33</v>
      </c>
      <c r="G73" s="26" t="s">
        <v>283</v>
      </c>
      <c r="H73" s="26" t="s">
        <v>64</v>
      </c>
      <c r="I73" s="26" t="s">
        <v>65</v>
      </c>
      <c r="J73" s="26">
        <v>33</v>
      </c>
      <c r="K73" s="26">
        <v>7559908</v>
      </c>
      <c r="L73" s="26" t="s">
        <v>208</v>
      </c>
      <c r="M73" s="26" t="s">
        <v>38</v>
      </c>
      <c r="N73" s="48">
        <f>IF(_Shipments[[#This Row],[Embalagem]]="Big Bag",_Shipments[[#This Row],[Qtd.]]*_Shipments[[#This Row],[Qtde. sacos/palete]],_Shipments[[#This Row],[Qtd.]])</f>
        <v>33</v>
      </c>
      <c r="O73" s="49">
        <f>_xlfn.XLOOKUP(_Shipments[[#This Row],[CLN]],[2]Dados!$D:$D,[2]Dados!$R:$R,"-")</f>
        <v>60</v>
      </c>
      <c r="P73" s="49" t="str" cm="1">
        <f t="array" ref="P73">_xlfn.LET(_xlpm.t,_xlfn.XLOOKUP(_Shipments[[#This Row],[CLN]],[2]Dados!$D:$D,[2]Dados!$Q:$Q,"-"),_xlfn.IFS(LEFT(_xlpm.t,3)="PAS","Saco",LEFT(_xlpm.t,3)="PBT","Big Bag",TRUE,"-"))</f>
        <v>Saco</v>
      </c>
      <c r="Q73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14.97</v>
      </c>
      <c r="R73" s="89">
        <f>IF(_Shipments[[#This Row],[Embalagem]]="Big Bag",_Shipments[[#This Row],[Qtd.]],ROUNDUP(_Shipments[[#This Row],[Qtd.]]/_Shipments[[#This Row],[Qtde. sacos/palete]],0))</f>
        <v>1</v>
      </c>
      <c r="S73" s="26" t="s">
        <v>131</v>
      </c>
      <c r="T73" s="51">
        <v>34999248710</v>
      </c>
      <c r="U73" s="26" t="s">
        <v>132</v>
      </c>
      <c r="V73" s="26" t="s">
        <v>133</v>
      </c>
      <c r="W73" s="26" t="s">
        <v>126</v>
      </c>
      <c r="Y73" s="26">
        <v>7244340</v>
      </c>
    </row>
    <row r="74" spans="1:25" x14ac:dyDescent="0.25">
      <c r="A74" s="47">
        <f>_xlfn.XLOOKUP(_Shipments[[#This Row],[Shipment]],[1]Report!$G:$G,[1]Report!$B:$B,"-")</f>
        <v>46275.333333333336</v>
      </c>
      <c r="B74" s="26">
        <v>7241954</v>
      </c>
      <c r="C74" s="26">
        <v>5541984145</v>
      </c>
      <c r="D74" s="26">
        <v>14</v>
      </c>
      <c r="E74" s="26" t="s">
        <v>36</v>
      </c>
      <c r="F74" s="85">
        <v>30</v>
      </c>
      <c r="G74" s="26" t="s">
        <v>283</v>
      </c>
      <c r="H74" s="26" t="s">
        <v>64</v>
      </c>
      <c r="I74" s="26" t="s">
        <v>65</v>
      </c>
      <c r="J74" s="26">
        <v>30</v>
      </c>
      <c r="K74" s="26">
        <v>7559910</v>
      </c>
      <c r="L74" s="26" t="s">
        <v>209</v>
      </c>
      <c r="M74" s="26" t="s">
        <v>38</v>
      </c>
      <c r="N74" s="48">
        <f>IF(_Shipments[[#This Row],[Embalagem]]="Big Bag",_Shipments[[#This Row],[Qtd.]]*_Shipments[[#This Row],[Qtde. sacos/palete]],_Shipments[[#This Row],[Qtd.]])</f>
        <v>30</v>
      </c>
      <c r="O74" s="49">
        <f>_xlfn.XLOOKUP(_Shipments[[#This Row],[CLN]],[2]Dados!$D:$D,[2]Dados!$R:$R,"-")</f>
        <v>60</v>
      </c>
      <c r="P74" s="49" t="str" cm="1">
        <f t="array" ref="P74">_xlfn.LET(_xlpm.t,_xlfn.XLOOKUP(_Shipments[[#This Row],[CLN]],[2]Dados!$D:$D,[2]Dados!$Q:$Q,"-"),_xlfn.IFS(LEFT(_xlpm.t,3)="PAS","Saco",LEFT(_xlpm.t,3)="PBT","Big Bag",TRUE,"-"))</f>
        <v>Saco</v>
      </c>
      <c r="Q74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15</v>
      </c>
      <c r="R74" s="89">
        <f>IF(_Shipments[[#This Row],[Embalagem]]="Big Bag",_Shipments[[#This Row],[Qtd.]],ROUNDUP(_Shipments[[#This Row],[Qtd.]]/_Shipments[[#This Row],[Qtde. sacos/palete]],0))</f>
        <v>1</v>
      </c>
      <c r="S74" s="26" t="s">
        <v>131</v>
      </c>
      <c r="T74" s="51">
        <v>34999248710</v>
      </c>
      <c r="U74" s="26" t="s">
        <v>132</v>
      </c>
      <c r="V74" s="26" t="s">
        <v>133</v>
      </c>
      <c r="W74" s="26" t="s">
        <v>126</v>
      </c>
      <c r="Y74" s="26">
        <v>7244341</v>
      </c>
    </row>
    <row r="75" spans="1:25" x14ac:dyDescent="0.25">
      <c r="A75" s="47">
        <f>_xlfn.XLOOKUP(_Shipments[[#This Row],[Shipment]],[1]Report!$G:$G,[1]Report!$B:$B,"-")</f>
        <v>46275.333333333336</v>
      </c>
      <c r="B75" s="26">
        <v>7241954</v>
      </c>
      <c r="C75" s="26">
        <v>5541984145</v>
      </c>
      <c r="D75" s="26">
        <v>15</v>
      </c>
      <c r="E75" s="26" t="s">
        <v>33</v>
      </c>
      <c r="F75" s="85">
        <v>40</v>
      </c>
      <c r="G75" s="26" t="s">
        <v>283</v>
      </c>
      <c r="H75" s="26" t="s">
        <v>64</v>
      </c>
      <c r="I75" s="26" t="s">
        <v>65</v>
      </c>
      <c r="J75" s="26">
        <v>40</v>
      </c>
      <c r="K75" s="26">
        <v>7566290</v>
      </c>
      <c r="L75" s="26" t="s">
        <v>210</v>
      </c>
      <c r="M75" s="26" t="s">
        <v>35</v>
      </c>
      <c r="N75" s="48">
        <f>IF(_Shipments[[#This Row],[Embalagem]]="Big Bag",_Shipments[[#This Row],[Qtd.]]*_Shipments[[#This Row],[Qtde. sacos/palete]],_Shipments[[#This Row],[Qtd.]])</f>
        <v>40</v>
      </c>
      <c r="O75" s="49">
        <f>_xlfn.XLOOKUP(_Shipments[[#This Row],[CLN]],[2]Dados!$D:$D,[2]Dados!$R:$R,"-")</f>
        <v>50</v>
      </c>
      <c r="P75" s="49" t="str" cm="1">
        <f t="array" ref="P75">_xlfn.LET(_xlpm.t,_xlfn.XLOOKUP(_Shipments[[#This Row],[CLN]],[2]Dados!$D:$D,[2]Dados!$Q:$Q,"-"),_xlfn.IFS(LEFT(_xlpm.t,3)="PAS","Saco",LEFT(_xlpm.t,3)="PBT","Big Bag",TRUE,"-"))</f>
        <v>Saco</v>
      </c>
      <c r="Q75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19.2</v>
      </c>
      <c r="R75" s="89">
        <f>IF(_Shipments[[#This Row],[Embalagem]]="Big Bag",_Shipments[[#This Row],[Qtd.]],ROUNDUP(_Shipments[[#This Row],[Qtd.]]/_Shipments[[#This Row],[Qtde. sacos/palete]],0))</f>
        <v>1</v>
      </c>
      <c r="S75" s="26" t="s">
        <v>131</v>
      </c>
      <c r="T75" s="51">
        <v>34999248710</v>
      </c>
      <c r="U75" s="26" t="s">
        <v>132</v>
      </c>
      <c r="V75" s="26" t="s">
        <v>133</v>
      </c>
      <c r="W75" s="26" t="s">
        <v>126</v>
      </c>
      <c r="Y75" s="26">
        <v>7244342</v>
      </c>
    </row>
    <row r="76" spans="1:25" x14ac:dyDescent="0.25">
      <c r="A76" s="47">
        <f>_xlfn.XLOOKUP(_Shipments[[#This Row],[Shipment]],[1]Report!$G:$G,[1]Report!$B:$B,"-")</f>
        <v>46275.333333333336</v>
      </c>
      <c r="B76" s="26">
        <v>7241954</v>
      </c>
      <c r="C76" s="26">
        <v>5541984145</v>
      </c>
      <c r="D76" s="26">
        <v>16</v>
      </c>
      <c r="E76" s="26" t="s">
        <v>30</v>
      </c>
      <c r="F76" s="85">
        <v>13</v>
      </c>
      <c r="G76" s="26" t="s">
        <v>283</v>
      </c>
      <c r="H76" s="26" t="s">
        <v>64</v>
      </c>
      <c r="I76" s="26" t="s">
        <v>65</v>
      </c>
      <c r="J76" s="26">
        <v>13</v>
      </c>
      <c r="K76" s="26">
        <v>7566291</v>
      </c>
      <c r="L76" s="26" t="s">
        <v>211</v>
      </c>
      <c r="M76" s="26" t="s">
        <v>32</v>
      </c>
      <c r="N76" s="48">
        <f>IF(_Shipments[[#This Row],[Embalagem]]="Big Bag",_Shipments[[#This Row],[Qtd.]]*_Shipments[[#This Row],[Qtde. sacos/palete]],_Shipments[[#This Row],[Qtd.]])</f>
        <v>13</v>
      </c>
      <c r="O76" s="49">
        <f>_xlfn.XLOOKUP(_Shipments[[#This Row],[CLN]],[2]Dados!$D:$D,[2]Dados!$R:$R,"-")</f>
        <v>60</v>
      </c>
      <c r="P76" s="49" t="str" cm="1">
        <f t="array" ref="P76">_xlfn.LET(_xlpm.t,_xlfn.XLOOKUP(_Shipments[[#This Row],[CLN]],[2]Dados!$D:$D,[2]Dados!$Q:$Q,"-"),_xlfn.IFS(LEFT(_xlpm.t,3)="PAS","Saco",LEFT(_xlpm.t,3)="PBT","Big Bag",TRUE,"-"))</f>
        <v>Saco</v>
      </c>
      <c r="Q76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16.670000000000002</v>
      </c>
      <c r="R76" s="89">
        <f>IF(_Shipments[[#This Row],[Embalagem]]="Big Bag",_Shipments[[#This Row],[Qtd.]],ROUNDUP(_Shipments[[#This Row],[Qtd.]]/_Shipments[[#This Row],[Qtde. sacos/palete]],0))</f>
        <v>1</v>
      </c>
      <c r="S76" s="26" t="s">
        <v>131</v>
      </c>
      <c r="T76" s="51">
        <v>34999248710</v>
      </c>
      <c r="U76" s="26" t="s">
        <v>132</v>
      </c>
      <c r="V76" s="26" t="s">
        <v>133</v>
      </c>
      <c r="W76" s="26" t="s">
        <v>126</v>
      </c>
      <c r="Y76" s="26">
        <v>7244343</v>
      </c>
    </row>
    <row r="77" spans="1:25" x14ac:dyDescent="0.25">
      <c r="A77" s="47">
        <f>_xlfn.XLOOKUP(_Shipments[[#This Row],[Shipment]],[1]Report!$G:$G,[1]Report!$B:$B,"-")</f>
        <v>46275.333333333336</v>
      </c>
      <c r="B77" s="26">
        <v>7241954</v>
      </c>
      <c r="C77" s="26">
        <v>5541984145</v>
      </c>
      <c r="D77" s="26">
        <v>17</v>
      </c>
      <c r="E77" s="26" t="s">
        <v>36</v>
      </c>
      <c r="F77" s="85">
        <v>22</v>
      </c>
      <c r="G77" s="26" t="s">
        <v>283</v>
      </c>
      <c r="H77" s="26" t="s">
        <v>64</v>
      </c>
      <c r="I77" s="26" t="s">
        <v>65</v>
      </c>
      <c r="J77" s="26">
        <v>22</v>
      </c>
      <c r="K77" s="26">
        <v>7566301</v>
      </c>
      <c r="L77" s="26" t="s">
        <v>212</v>
      </c>
      <c r="M77" s="26" t="s">
        <v>38</v>
      </c>
      <c r="N77" s="48">
        <f>IF(_Shipments[[#This Row],[Embalagem]]="Big Bag",_Shipments[[#This Row],[Qtd.]]*_Shipments[[#This Row],[Qtde. sacos/palete]],_Shipments[[#This Row],[Qtd.]])</f>
        <v>22</v>
      </c>
      <c r="O77" s="49">
        <f>_xlfn.XLOOKUP(_Shipments[[#This Row],[CLN]],[2]Dados!$D:$D,[2]Dados!$R:$R,"-")</f>
        <v>60</v>
      </c>
      <c r="P77" s="49" t="str" cm="1">
        <f t="array" ref="P77">_xlfn.LET(_xlpm.t,_xlfn.XLOOKUP(_Shipments[[#This Row],[CLN]],[2]Dados!$D:$D,[2]Dados!$Q:$Q,"-"),_xlfn.IFS(LEFT(_xlpm.t,3)="PAS","Saco",LEFT(_xlpm.t,3)="PBT","Big Bag",TRUE,"-"))</f>
        <v>Saco</v>
      </c>
      <c r="Q77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17.47</v>
      </c>
      <c r="R77" s="89">
        <f>IF(_Shipments[[#This Row],[Embalagem]]="Big Bag",_Shipments[[#This Row],[Qtd.]],ROUNDUP(_Shipments[[#This Row],[Qtd.]]/_Shipments[[#This Row],[Qtde. sacos/palete]],0))</f>
        <v>1</v>
      </c>
      <c r="S77" s="26" t="s">
        <v>131</v>
      </c>
      <c r="T77" s="51">
        <v>34999248710</v>
      </c>
      <c r="U77" s="26" t="s">
        <v>132</v>
      </c>
      <c r="V77" s="26" t="s">
        <v>133</v>
      </c>
      <c r="W77" s="26" t="s">
        <v>126</v>
      </c>
    </row>
    <row r="78" spans="1:25" x14ac:dyDescent="0.25">
      <c r="A78" s="47">
        <f>_xlfn.XLOOKUP(_Shipments[[#This Row],[Shipment]],[1]Report!$G:$G,[1]Report!$B:$B,"-")</f>
        <v>46275.333333333336</v>
      </c>
      <c r="B78" s="26">
        <v>7241954</v>
      </c>
      <c r="C78" s="26">
        <v>5541984145</v>
      </c>
      <c r="D78" s="26">
        <v>18</v>
      </c>
      <c r="E78" s="26" t="s">
        <v>36</v>
      </c>
      <c r="F78" s="85">
        <v>24</v>
      </c>
      <c r="G78" s="26" t="s">
        <v>283</v>
      </c>
      <c r="H78" s="26" t="s">
        <v>64</v>
      </c>
      <c r="I78" s="26" t="s">
        <v>65</v>
      </c>
      <c r="J78" s="26">
        <v>24</v>
      </c>
      <c r="K78" s="26">
        <v>7566302</v>
      </c>
      <c r="L78" s="26" t="s">
        <v>213</v>
      </c>
      <c r="M78" s="26" t="s">
        <v>38</v>
      </c>
      <c r="N78" s="48">
        <f>IF(_Shipments[[#This Row],[Embalagem]]="Big Bag",_Shipments[[#This Row],[Qtd.]]*_Shipments[[#This Row],[Qtde. sacos/palete]],_Shipments[[#This Row],[Qtd.]])</f>
        <v>24</v>
      </c>
      <c r="O78" s="49">
        <f>_xlfn.XLOOKUP(_Shipments[[#This Row],[CLN]],[2]Dados!$D:$D,[2]Dados!$R:$R,"-")</f>
        <v>50</v>
      </c>
      <c r="P78" s="49" t="str" cm="1">
        <f t="array" ref="P78">_xlfn.LET(_xlpm.t,_xlfn.XLOOKUP(_Shipments[[#This Row],[CLN]],[2]Dados!$D:$D,[2]Dados!$Q:$Q,"-"),_xlfn.IFS(LEFT(_xlpm.t,3)="PAS","Saco",LEFT(_xlpm.t,3)="PBT","Big Bag",TRUE,"-"))</f>
        <v>Saco</v>
      </c>
      <c r="Q78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17.600000000000001</v>
      </c>
      <c r="R78" s="89">
        <f>IF(_Shipments[[#This Row],[Embalagem]]="Big Bag",_Shipments[[#This Row],[Qtd.]],ROUNDUP(_Shipments[[#This Row],[Qtd.]]/_Shipments[[#This Row],[Qtde. sacos/palete]],0))</f>
        <v>1</v>
      </c>
      <c r="S78" s="26" t="s">
        <v>131</v>
      </c>
      <c r="T78" s="51">
        <v>34999248710</v>
      </c>
      <c r="U78" s="26" t="s">
        <v>132</v>
      </c>
      <c r="V78" s="26" t="s">
        <v>133</v>
      </c>
      <c r="W78" s="26" t="s">
        <v>126</v>
      </c>
    </row>
    <row r="79" spans="1:25" x14ac:dyDescent="0.25">
      <c r="A79" s="47">
        <f>_xlfn.XLOOKUP(_Shipments[[#This Row],[Shipment]],[1]Report!$G:$G,[1]Report!$B:$B,"-")</f>
        <v>46275.333333333336</v>
      </c>
      <c r="B79" s="26">
        <v>7241954</v>
      </c>
      <c r="C79" s="26">
        <v>5541984145</v>
      </c>
      <c r="D79" s="26">
        <v>19</v>
      </c>
      <c r="E79" s="26" t="s">
        <v>36</v>
      </c>
      <c r="F79" s="85">
        <v>28</v>
      </c>
      <c r="G79" s="26" t="s">
        <v>283</v>
      </c>
      <c r="H79" s="26" t="s">
        <v>64</v>
      </c>
      <c r="I79" s="26" t="s">
        <v>65</v>
      </c>
      <c r="J79" s="26">
        <v>28</v>
      </c>
      <c r="K79" s="26">
        <v>7520935</v>
      </c>
      <c r="L79" s="26" t="s">
        <v>214</v>
      </c>
      <c r="M79" s="26" t="s">
        <v>46</v>
      </c>
      <c r="N79" s="48">
        <f>IF(_Shipments[[#This Row],[Embalagem]]="Big Bag",_Shipments[[#This Row],[Qtd.]]*_Shipments[[#This Row],[Qtde. sacos/palete]],_Shipments[[#This Row],[Qtd.]])</f>
        <v>28</v>
      </c>
      <c r="O79" s="49">
        <f>_xlfn.XLOOKUP(_Shipments[[#This Row],[CLN]],[2]Dados!$D:$D,[2]Dados!$R:$R,"-")</f>
        <v>60</v>
      </c>
      <c r="P79" s="49" t="str" cm="1">
        <f t="array" ref="P79">_xlfn.LET(_xlpm.t,_xlfn.XLOOKUP(_Shipments[[#This Row],[CLN]],[2]Dados!$D:$D,[2]Dados!$Q:$Q,"-"),_xlfn.IFS(LEFT(_xlpm.t,3)="PAS","Saco",LEFT(_xlpm.t,3)="PBT","Big Bag",TRUE,"-"))</f>
        <v>Saco</v>
      </c>
      <c r="Q79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16.91</v>
      </c>
      <c r="R79" s="89">
        <f>IF(_Shipments[[#This Row],[Embalagem]]="Big Bag",_Shipments[[#This Row],[Qtd.]],ROUNDUP(_Shipments[[#This Row],[Qtd.]]/_Shipments[[#This Row],[Qtde. sacos/palete]],0))</f>
        <v>1</v>
      </c>
      <c r="S79" s="26" t="s">
        <v>131</v>
      </c>
      <c r="T79" s="51">
        <v>34999248710</v>
      </c>
      <c r="U79" s="26" t="s">
        <v>132</v>
      </c>
      <c r="V79" s="26" t="s">
        <v>133</v>
      </c>
      <c r="W79" s="26" t="s">
        <v>126</v>
      </c>
    </row>
    <row r="80" spans="1:25" x14ac:dyDescent="0.25">
      <c r="A80" s="47">
        <f>_xlfn.XLOOKUP(_Shipments[[#This Row],[Shipment]],[1]Report!$G:$G,[1]Report!$B:$B,"-")</f>
        <v>46275.333333333336</v>
      </c>
      <c r="B80" s="26">
        <v>7241954</v>
      </c>
      <c r="C80" s="26">
        <v>5541984145</v>
      </c>
      <c r="D80" s="26">
        <v>20</v>
      </c>
      <c r="E80" s="26" t="s">
        <v>36</v>
      </c>
      <c r="F80" s="85">
        <v>33</v>
      </c>
      <c r="G80" s="26" t="s">
        <v>283</v>
      </c>
      <c r="H80" s="26" t="s">
        <v>64</v>
      </c>
      <c r="I80" s="26" t="s">
        <v>65</v>
      </c>
      <c r="J80" s="26">
        <v>33</v>
      </c>
      <c r="K80" s="26">
        <v>7550836</v>
      </c>
      <c r="L80" s="26" t="s">
        <v>215</v>
      </c>
      <c r="M80" s="26" t="s">
        <v>38</v>
      </c>
      <c r="N80" s="48">
        <f>IF(_Shipments[[#This Row],[Embalagem]]="Big Bag",_Shipments[[#This Row],[Qtd.]]*_Shipments[[#This Row],[Qtde. sacos/palete]],_Shipments[[#This Row],[Qtd.]])</f>
        <v>33</v>
      </c>
      <c r="O80" s="49">
        <f>_xlfn.XLOOKUP(_Shipments[[#This Row],[CLN]],[2]Dados!$D:$D,[2]Dados!$R:$R,"-")</f>
        <v>60</v>
      </c>
      <c r="P80" s="49" t="str" cm="1">
        <f t="array" ref="P80">_xlfn.LET(_xlpm.t,_xlfn.XLOOKUP(_Shipments[[#This Row],[CLN]],[2]Dados!$D:$D,[2]Dados!$Q:$Q,"-"),_xlfn.IFS(LEFT(_xlpm.t,3)="PAS","Saco",LEFT(_xlpm.t,3)="PBT","Big Bag",TRUE,"-"))</f>
        <v>Saco</v>
      </c>
      <c r="Q80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14.89</v>
      </c>
      <c r="R80" s="89">
        <f>IF(_Shipments[[#This Row],[Embalagem]]="Big Bag",_Shipments[[#This Row],[Qtd.]],ROUNDUP(_Shipments[[#This Row],[Qtd.]]/_Shipments[[#This Row],[Qtde. sacos/palete]],0))</f>
        <v>1</v>
      </c>
      <c r="S80" s="26" t="s">
        <v>131</v>
      </c>
      <c r="T80" s="51">
        <v>34999248710</v>
      </c>
      <c r="U80" s="26" t="s">
        <v>132</v>
      </c>
      <c r="V80" s="26" t="s">
        <v>133</v>
      </c>
      <c r="W80" s="26" t="s">
        <v>126</v>
      </c>
    </row>
    <row r="81" spans="1:23" x14ac:dyDescent="0.25">
      <c r="A81" s="47">
        <f>_xlfn.XLOOKUP(_Shipments[[#This Row],[Shipment]],[1]Report!$G:$G,[1]Report!$B:$B,"-")</f>
        <v>46275.333333333336</v>
      </c>
      <c r="B81" s="26">
        <v>7241954</v>
      </c>
      <c r="C81" s="26">
        <v>5541984145</v>
      </c>
      <c r="D81" s="26">
        <v>21</v>
      </c>
      <c r="E81" s="26" t="s">
        <v>33</v>
      </c>
      <c r="F81" s="85">
        <v>22</v>
      </c>
      <c r="G81" s="26" t="s">
        <v>283</v>
      </c>
      <c r="H81" s="26" t="s">
        <v>64</v>
      </c>
      <c r="I81" s="26" t="s">
        <v>65</v>
      </c>
      <c r="J81" s="26">
        <v>22</v>
      </c>
      <c r="K81" s="26">
        <v>7520962</v>
      </c>
      <c r="L81" s="26" t="s">
        <v>216</v>
      </c>
      <c r="M81" s="26" t="s">
        <v>61</v>
      </c>
      <c r="N81" s="48">
        <f>IF(_Shipments[[#This Row],[Embalagem]]="Big Bag",_Shipments[[#This Row],[Qtd.]]*_Shipments[[#This Row],[Qtde. sacos/palete]],_Shipments[[#This Row],[Qtd.]])</f>
        <v>22</v>
      </c>
      <c r="O81" s="49">
        <f>_xlfn.XLOOKUP(_Shipments[[#This Row],[CLN]],[2]Dados!$D:$D,[2]Dados!$R:$R,"-")</f>
        <v>45</v>
      </c>
      <c r="P81" s="49" t="str" cm="1">
        <f t="array" ref="P81">_xlfn.LET(_xlpm.t,_xlfn.XLOOKUP(_Shipments[[#This Row],[CLN]],[2]Dados!$D:$D,[2]Dados!$Q:$Q,"-"),_xlfn.IFS(LEFT(_xlpm.t,3)="PAS","Saco",LEFT(_xlpm.t,3)="PBT","Big Bag",TRUE,"-"))</f>
        <v>Saco</v>
      </c>
      <c r="Q81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22.38</v>
      </c>
      <c r="R81" s="89">
        <f>IF(_Shipments[[#This Row],[Embalagem]]="Big Bag",_Shipments[[#This Row],[Qtd.]],ROUNDUP(_Shipments[[#This Row],[Qtd.]]/_Shipments[[#This Row],[Qtde. sacos/palete]],0))</f>
        <v>1</v>
      </c>
      <c r="S81" s="26" t="s">
        <v>131</v>
      </c>
      <c r="T81" s="51">
        <v>34999248710</v>
      </c>
      <c r="U81" s="26" t="s">
        <v>132</v>
      </c>
      <c r="V81" s="26" t="s">
        <v>133</v>
      </c>
      <c r="W81" s="26" t="s">
        <v>126</v>
      </c>
    </row>
    <row r="82" spans="1:23" x14ac:dyDescent="0.25">
      <c r="A82" s="47">
        <f>_xlfn.XLOOKUP(_Shipments[[#This Row],[Shipment]],[1]Report!$G:$G,[1]Report!$B:$B,"-")</f>
        <v>46268.333333333336</v>
      </c>
      <c r="B82" s="26">
        <v>7241962</v>
      </c>
      <c r="C82" s="26">
        <v>5541984151</v>
      </c>
      <c r="D82" s="26">
        <v>1</v>
      </c>
      <c r="E82" s="26" t="s">
        <v>13</v>
      </c>
      <c r="F82" s="85">
        <v>18</v>
      </c>
      <c r="G82" s="26" t="s">
        <v>283</v>
      </c>
      <c r="H82" s="26" t="s">
        <v>26</v>
      </c>
      <c r="I82" s="26" t="s">
        <v>27</v>
      </c>
      <c r="J82" s="26">
        <v>18</v>
      </c>
      <c r="K82" s="26">
        <v>7518210</v>
      </c>
      <c r="L82" s="26" t="s">
        <v>178</v>
      </c>
      <c r="M82" s="26" t="s">
        <v>35</v>
      </c>
      <c r="N82" s="48">
        <f>IF(_Shipments[[#This Row],[Embalagem]]="Big Bag",_Shipments[[#This Row],[Qtd.]]*_Shipments[[#This Row],[Qtde. sacos/palete]],_Shipments[[#This Row],[Qtd.]])</f>
        <v>720</v>
      </c>
      <c r="O82" s="49">
        <f>_xlfn.XLOOKUP(_Shipments[[#This Row],[CLN]],[2]Dados!$D:$D,[2]Dados!$R:$R,"-")</f>
        <v>40</v>
      </c>
      <c r="P82" s="49" t="str" cm="1">
        <f t="array" ref="P82">_xlfn.LET(_xlpm.t,_xlfn.XLOOKUP(_Shipments[[#This Row],[CLN]],[2]Dados!$D:$D,[2]Dados!$Q:$Q,"-"),_xlfn.IFS(LEFT(_xlpm.t,3)="PAS","Saco",LEFT(_xlpm.t,3)="PBT","Big Bag",TRUE,"-"))</f>
        <v>Big Bag</v>
      </c>
      <c r="Q82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667.6</v>
      </c>
      <c r="R82" s="89">
        <f>IF(_Shipments[[#This Row],[Embalagem]]="Big Bag",_Shipments[[#This Row],[Qtd.]],ROUNDUP(_Shipments[[#This Row],[Qtd.]]/_Shipments[[#This Row],[Qtde. sacos/palete]],0))</f>
        <v>18</v>
      </c>
      <c r="S82" s="26" t="s">
        <v>183</v>
      </c>
      <c r="T82" s="51">
        <v>34999031784</v>
      </c>
      <c r="U82" s="26" t="s">
        <v>184</v>
      </c>
      <c r="V82" s="26" t="s">
        <v>185</v>
      </c>
      <c r="W82" s="26" t="s">
        <v>126</v>
      </c>
    </row>
    <row r="83" spans="1:23" x14ac:dyDescent="0.25">
      <c r="A83" s="47">
        <f>_xlfn.XLOOKUP(_Shipments[[#This Row],[Shipment]],[1]Report!$G:$G,[1]Report!$B:$B,"-")</f>
        <v>46268.333333333336</v>
      </c>
      <c r="B83" s="26">
        <v>7241962</v>
      </c>
      <c r="C83" s="26">
        <v>5541984151</v>
      </c>
      <c r="D83" s="26">
        <v>2</v>
      </c>
      <c r="E83" s="26" t="s">
        <v>16</v>
      </c>
      <c r="F83" s="85">
        <v>3</v>
      </c>
      <c r="G83" s="26" t="s">
        <v>283</v>
      </c>
      <c r="H83" s="26" t="s">
        <v>26</v>
      </c>
      <c r="I83" s="26" t="s">
        <v>27</v>
      </c>
      <c r="J83" s="26">
        <v>3</v>
      </c>
      <c r="K83" s="26">
        <v>7518134</v>
      </c>
      <c r="L83" s="26" t="s">
        <v>63</v>
      </c>
      <c r="M83" s="26" t="s">
        <v>38</v>
      </c>
      <c r="N83" s="48">
        <f>IF(_Shipments[[#This Row],[Embalagem]]="Big Bag",_Shipments[[#This Row],[Qtd.]]*_Shipments[[#This Row],[Qtde. sacos/palete]],_Shipments[[#This Row],[Qtd.]])</f>
        <v>120</v>
      </c>
      <c r="O83" s="49">
        <f>_xlfn.XLOOKUP(_Shipments[[#This Row],[CLN]],[2]Dados!$D:$D,[2]Dados!$R:$R,"-")</f>
        <v>40</v>
      </c>
      <c r="P83" s="49" t="str" cm="1">
        <f t="array" ref="P83">_xlfn.LET(_xlpm.t,_xlfn.XLOOKUP(_Shipments[[#This Row],[CLN]],[2]Dados!$D:$D,[2]Dados!$Q:$Q,"-"),_xlfn.IFS(LEFT(_xlpm.t,3)="PAS","Saco",LEFT(_xlpm.t,3)="PBT","Big Bag",TRUE,"-"))</f>
        <v>Big Bag</v>
      </c>
      <c r="Q83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591.59999999999991</v>
      </c>
      <c r="R83" s="89">
        <f>IF(_Shipments[[#This Row],[Embalagem]]="Big Bag",_Shipments[[#This Row],[Qtd.]],ROUNDUP(_Shipments[[#This Row],[Qtd.]]/_Shipments[[#This Row],[Qtde. sacos/palete]],0))</f>
        <v>3</v>
      </c>
      <c r="S83" s="26" t="s">
        <v>183</v>
      </c>
      <c r="T83" s="51">
        <v>34999031784</v>
      </c>
      <c r="U83" s="26" t="s">
        <v>184</v>
      </c>
      <c r="V83" s="26" t="s">
        <v>185</v>
      </c>
      <c r="W83" s="26" t="s">
        <v>126</v>
      </c>
    </row>
    <row r="84" spans="1:23" x14ac:dyDescent="0.25">
      <c r="A84" s="47">
        <f>_xlfn.XLOOKUP(_Shipments[[#This Row],[Shipment]],[1]Report!$G:$G,[1]Report!$B:$B,"-")</f>
        <v>46275.333333333336</v>
      </c>
      <c r="B84" s="26">
        <v>7241989</v>
      </c>
      <c r="C84" s="26">
        <v>5541984189</v>
      </c>
      <c r="D84" s="26">
        <v>1</v>
      </c>
      <c r="E84" s="26" t="s">
        <v>16</v>
      </c>
      <c r="F84" s="85">
        <v>21</v>
      </c>
      <c r="G84" s="26" t="s">
        <v>283</v>
      </c>
      <c r="H84" s="26" t="s">
        <v>64</v>
      </c>
      <c r="I84" s="26" t="s">
        <v>65</v>
      </c>
      <c r="J84" s="26">
        <v>21</v>
      </c>
      <c r="K84" s="26">
        <v>7518145</v>
      </c>
      <c r="L84" s="26" t="s">
        <v>195</v>
      </c>
      <c r="M84" s="26" t="s">
        <v>46</v>
      </c>
      <c r="N84" s="48">
        <f>IF(_Shipments[[#This Row],[Embalagem]]="Big Bag",_Shipments[[#This Row],[Qtd.]]*_Shipments[[#This Row],[Qtde. sacos/palete]],_Shipments[[#This Row],[Qtd.]])</f>
        <v>840</v>
      </c>
      <c r="O84" s="49">
        <f>_xlfn.XLOOKUP(_Shipments[[#This Row],[CLN]],[2]Dados!$D:$D,[2]Dados!$R:$R,"-")</f>
        <v>40</v>
      </c>
      <c r="P84" s="49" t="str" cm="1">
        <f t="array" ref="P84">_xlfn.LET(_xlpm.t,_xlfn.XLOOKUP(_Shipments[[#This Row],[CLN]],[2]Dados!$D:$D,[2]Dados!$Q:$Q,"-"),_xlfn.IFS(LEFT(_xlpm.t,3)="PAS","Saco",LEFT(_xlpm.t,3)="PBT","Big Bag",TRUE,"-"))</f>
        <v>Big Bag</v>
      </c>
      <c r="Q84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678.40000000000009</v>
      </c>
      <c r="R84" s="89">
        <f>IF(_Shipments[[#This Row],[Embalagem]]="Big Bag",_Shipments[[#This Row],[Qtd.]],ROUNDUP(_Shipments[[#This Row],[Qtd.]]/_Shipments[[#This Row],[Qtde. sacos/palete]],0))</f>
        <v>21</v>
      </c>
      <c r="S84" s="26" t="s">
        <v>136</v>
      </c>
      <c r="T84" s="51">
        <v>34991030020</v>
      </c>
      <c r="U84" s="26" t="s">
        <v>137</v>
      </c>
      <c r="V84" s="26" t="s">
        <v>220</v>
      </c>
      <c r="W84" s="26" t="s">
        <v>126</v>
      </c>
    </row>
    <row r="85" spans="1:23" x14ac:dyDescent="0.25">
      <c r="A85" s="47">
        <f>_xlfn.XLOOKUP(_Shipments[[#This Row],[Shipment]],[1]Report!$G:$G,[1]Report!$B:$B,"-")</f>
        <v>46275.375</v>
      </c>
      <c r="B85" s="26">
        <v>7241990</v>
      </c>
      <c r="C85" s="26">
        <v>5541984190</v>
      </c>
      <c r="D85" s="26">
        <v>1</v>
      </c>
      <c r="E85" s="26" t="s">
        <v>13</v>
      </c>
      <c r="F85" s="85">
        <v>21</v>
      </c>
      <c r="G85" s="26" t="s">
        <v>283</v>
      </c>
      <c r="H85" s="26" t="s">
        <v>64</v>
      </c>
      <c r="I85" s="26" t="s">
        <v>65</v>
      </c>
      <c r="J85" s="26">
        <v>21</v>
      </c>
      <c r="K85" s="26">
        <v>7518218</v>
      </c>
      <c r="L85" s="26" t="s">
        <v>217</v>
      </c>
      <c r="M85" s="26" t="s">
        <v>35</v>
      </c>
      <c r="N85" s="48">
        <f>IF(_Shipments[[#This Row],[Embalagem]]="Big Bag",_Shipments[[#This Row],[Qtd.]]*_Shipments[[#This Row],[Qtde. sacos/palete]],_Shipments[[#This Row],[Qtd.]])</f>
        <v>840</v>
      </c>
      <c r="O85" s="49">
        <f>_xlfn.XLOOKUP(_Shipments[[#This Row],[CLN]],[2]Dados!$D:$D,[2]Dados!$R:$R,"-")</f>
        <v>40</v>
      </c>
      <c r="P85" s="49" t="str" cm="1">
        <f t="array" ref="P85">_xlfn.LET(_xlpm.t,_xlfn.XLOOKUP(_Shipments[[#This Row],[CLN]],[2]Dados!$D:$D,[2]Dados!$Q:$Q,"-"),_xlfn.IFS(LEFT(_xlpm.t,3)="PAS","Saco",LEFT(_xlpm.t,3)="PBT","Big Bag",TRUE,"-"))</f>
        <v>Big Bag</v>
      </c>
      <c r="Q85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756.80000000000007</v>
      </c>
      <c r="R85" s="89">
        <f>IF(_Shipments[[#This Row],[Embalagem]]="Big Bag",_Shipments[[#This Row],[Qtd.]],ROUNDUP(_Shipments[[#This Row],[Qtd.]]/_Shipments[[#This Row],[Qtde. sacos/palete]],0))</f>
        <v>21</v>
      </c>
      <c r="S85" s="26" t="s">
        <v>141</v>
      </c>
      <c r="T85" s="51">
        <v>34999810409</v>
      </c>
      <c r="U85" s="26" t="s">
        <v>142</v>
      </c>
      <c r="V85" s="26" t="s">
        <v>143</v>
      </c>
      <c r="W85" s="26" t="s">
        <v>126</v>
      </c>
    </row>
    <row r="86" spans="1:23" x14ac:dyDescent="0.25">
      <c r="A86" s="47">
        <f>_xlfn.XLOOKUP(_Shipments[[#This Row],[Shipment]],[1]Report!$G:$G,[1]Report!$B:$B,"-")</f>
        <v>46275.375</v>
      </c>
      <c r="B86" s="26">
        <v>7241991</v>
      </c>
      <c r="C86" s="26">
        <v>5541984191</v>
      </c>
      <c r="D86" s="26">
        <v>1</v>
      </c>
      <c r="E86" s="26" t="s">
        <v>56</v>
      </c>
      <c r="F86" s="85">
        <v>19</v>
      </c>
      <c r="G86" s="26" t="s">
        <v>283</v>
      </c>
      <c r="H86" s="26" t="s">
        <v>64</v>
      </c>
      <c r="I86" s="26" t="s">
        <v>65</v>
      </c>
      <c r="J86" s="26">
        <v>19</v>
      </c>
      <c r="K86" s="26">
        <v>7518200</v>
      </c>
      <c r="L86" s="26" t="s">
        <v>218</v>
      </c>
      <c r="M86" s="26" t="s">
        <v>32</v>
      </c>
      <c r="N86" s="48">
        <f>IF(_Shipments[[#This Row],[Embalagem]]="Big Bag",_Shipments[[#This Row],[Qtd.]]*_Shipments[[#This Row],[Qtde. sacos/palete]],_Shipments[[#This Row],[Qtd.]])</f>
        <v>760</v>
      </c>
      <c r="O86" s="49">
        <f>_xlfn.XLOOKUP(_Shipments[[#This Row],[CLN]],[2]Dados!$D:$D,[2]Dados!$R:$R,"-")</f>
        <v>40</v>
      </c>
      <c r="P86" s="49" t="str" cm="1">
        <f t="array" ref="P86">_xlfn.LET(_xlpm.t,_xlfn.XLOOKUP(_Shipments[[#This Row],[CLN]],[2]Dados!$D:$D,[2]Dados!$Q:$Q,"-"),_xlfn.IFS(LEFT(_xlpm.t,3)="PAS","Saco",LEFT(_xlpm.t,3)="PBT","Big Bag",TRUE,"-"))</f>
        <v>Big Bag</v>
      </c>
      <c r="Q86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666.80000000000007</v>
      </c>
      <c r="R86" s="89">
        <f>IF(_Shipments[[#This Row],[Embalagem]]="Big Bag",_Shipments[[#This Row],[Qtd.]],ROUNDUP(_Shipments[[#This Row],[Qtd.]]/_Shipments[[#This Row],[Qtde. sacos/palete]],0))</f>
        <v>19</v>
      </c>
      <c r="S86" s="26" t="s">
        <v>225</v>
      </c>
      <c r="T86" s="51">
        <v>34991337791</v>
      </c>
      <c r="U86" s="26" t="s">
        <v>120</v>
      </c>
      <c r="V86" s="26" t="s">
        <v>121</v>
      </c>
      <c r="W86" s="26" t="s">
        <v>126</v>
      </c>
    </row>
    <row r="87" spans="1:23" x14ac:dyDescent="0.25">
      <c r="A87" s="47">
        <f>_xlfn.XLOOKUP(_Shipments[[#This Row],[Shipment]],[1]Report!$G:$G,[1]Report!$B:$B,"-")</f>
        <v>46275.375</v>
      </c>
      <c r="B87" s="26">
        <v>7241991</v>
      </c>
      <c r="C87" s="26">
        <v>5541984191</v>
      </c>
      <c r="D87" s="26">
        <v>2</v>
      </c>
      <c r="E87" s="26" t="s">
        <v>16</v>
      </c>
      <c r="F87" s="85">
        <v>2</v>
      </c>
      <c r="G87" s="26" t="s">
        <v>283</v>
      </c>
      <c r="H87" s="26" t="s">
        <v>64</v>
      </c>
      <c r="I87" s="26" t="s">
        <v>65</v>
      </c>
      <c r="J87" s="26">
        <v>2</v>
      </c>
      <c r="K87" s="26">
        <v>7566370</v>
      </c>
      <c r="L87" s="26" t="s">
        <v>186</v>
      </c>
      <c r="M87" s="26" t="s">
        <v>38</v>
      </c>
      <c r="N87" s="48">
        <f>IF(_Shipments[[#This Row],[Embalagem]]="Big Bag",_Shipments[[#This Row],[Qtd.]]*_Shipments[[#This Row],[Qtde. sacos/palete]],_Shipments[[#This Row],[Qtd.]])</f>
        <v>80</v>
      </c>
      <c r="O87" s="49">
        <f>_xlfn.XLOOKUP(_Shipments[[#This Row],[CLN]],[2]Dados!$D:$D,[2]Dados!$R:$R,"-")</f>
        <v>40</v>
      </c>
      <c r="P87" s="49" t="str" cm="1">
        <f t="array" ref="P87">_xlfn.LET(_xlpm.t,_xlfn.XLOOKUP(_Shipments[[#This Row],[CLN]],[2]Dados!$D:$D,[2]Dados!$Q:$Q,"-"),_xlfn.IFS(LEFT(_xlpm.t,3)="PAS","Saco",LEFT(_xlpm.t,3)="PBT","Big Bag",TRUE,"-"))</f>
        <v>Big Bag</v>
      </c>
      <c r="Q87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707.2</v>
      </c>
      <c r="R87" s="89">
        <f>IF(_Shipments[[#This Row],[Embalagem]]="Big Bag",_Shipments[[#This Row],[Qtd.]],ROUNDUP(_Shipments[[#This Row],[Qtd.]]/_Shipments[[#This Row],[Qtde. sacos/palete]],0))</f>
        <v>2</v>
      </c>
      <c r="S87" s="26" t="s">
        <v>225</v>
      </c>
      <c r="T87" s="51">
        <v>34991337791</v>
      </c>
      <c r="U87" s="26" t="s">
        <v>120</v>
      </c>
      <c r="V87" s="26" t="s">
        <v>121</v>
      </c>
      <c r="W87" s="26" t="s">
        <v>126</v>
      </c>
    </row>
    <row r="88" spans="1:23" x14ac:dyDescent="0.25">
      <c r="A88" s="47">
        <f>_xlfn.XLOOKUP(_Shipments[[#This Row],[Shipment]],[1]Report!$G:$G,[1]Report!$B:$B,"-")</f>
        <v>46276.333333333336</v>
      </c>
      <c r="B88" s="26">
        <v>7241993</v>
      </c>
      <c r="C88" s="26">
        <v>5541984192</v>
      </c>
      <c r="D88" s="26">
        <v>1</v>
      </c>
      <c r="E88" s="26" t="s">
        <v>16</v>
      </c>
      <c r="F88" s="85">
        <v>20</v>
      </c>
      <c r="G88" s="26" t="s">
        <v>283</v>
      </c>
      <c r="H88" s="26" t="s">
        <v>64</v>
      </c>
      <c r="I88" s="26" t="s">
        <v>65</v>
      </c>
      <c r="J88" s="26">
        <v>20</v>
      </c>
      <c r="K88" s="26">
        <v>7566370</v>
      </c>
      <c r="L88" s="26" t="s">
        <v>186</v>
      </c>
      <c r="M88" s="26" t="s">
        <v>38</v>
      </c>
      <c r="N88" s="48">
        <f>IF(_Shipments[[#This Row],[Embalagem]]="Big Bag",_Shipments[[#This Row],[Qtd.]]*_Shipments[[#This Row],[Qtde. sacos/palete]],_Shipments[[#This Row],[Qtd.]])</f>
        <v>800</v>
      </c>
      <c r="O88" s="49">
        <f>_xlfn.XLOOKUP(_Shipments[[#This Row],[CLN]],[2]Dados!$D:$D,[2]Dados!$R:$R,"-")</f>
        <v>40</v>
      </c>
      <c r="P88" s="49" t="str" cm="1">
        <f t="array" ref="P88">_xlfn.LET(_xlpm.t,_xlfn.XLOOKUP(_Shipments[[#This Row],[CLN]],[2]Dados!$D:$D,[2]Dados!$Q:$Q,"-"),_xlfn.IFS(LEFT(_xlpm.t,3)="PAS","Saco",LEFT(_xlpm.t,3)="PBT","Big Bag",TRUE,"-"))</f>
        <v>Big Bag</v>
      </c>
      <c r="Q88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707.2</v>
      </c>
      <c r="R88" s="89">
        <f>IF(_Shipments[[#This Row],[Embalagem]]="Big Bag",_Shipments[[#This Row],[Qtd.]],ROUNDUP(_Shipments[[#This Row],[Qtd.]]/_Shipments[[#This Row],[Qtde. sacos/palete]],0))</f>
        <v>20</v>
      </c>
      <c r="S88" s="26" t="s">
        <v>136</v>
      </c>
      <c r="T88" s="51">
        <v>34991030020</v>
      </c>
      <c r="U88" s="26" t="s">
        <v>137</v>
      </c>
      <c r="V88" s="26" t="s">
        <v>220</v>
      </c>
      <c r="W88" s="26" t="s">
        <v>126</v>
      </c>
    </row>
    <row r="89" spans="1:23" x14ac:dyDescent="0.25">
      <c r="A89" s="47">
        <f>_xlfn.XLOOKUP(_Shipments[[#This Row],[Shipment]],[1]Report!$G:$G,[1]Report!$B:$B,"-")</f>
        <v>46276.333333333336</v>
      </c>
      <c r="B89" s="26">
        <v>7241994</v>
      </c>
      <c r="C89" s="26">
        <v>5541984193</v>
      </c>
      <c r="D89" s="26">
        <v>1</v>
      </c>
      <c r="E89" s="26" t="s">
        <v>56</v>
      </c>
      <c r="F89" s="85">
        <v>21</v>
      </c>
      <c r="G89" s="26" t="s">
        <v>283</v>
      </c>
      <c r="H89" s="26" t="s">
        <v>64</v>
      </c>
      <c r="I89" s="26" t="s">
        <v>65</v>
      </c>
      <c r="J89" s="26">
        <v>21</v>
      </c>
      <c r="K89" s="26">
        <v>7518190</v>
      </c>
      <c r="L89" s="26" t="s">
        <v>187</v>
      </c>
      <c r="M89" s="26" t="s">
        <v>32</v>
      </c>
      <c r="N89" s="48">
        <f>IF(_Shipments[[#This Row],[Embalagem]]="Big Bag",_Shipments[[#This Row],[Qtd.]]*_Shipments[[#This Row],[Qtde. sacos/palete]],_Shipments[[#This Row],[Qtd.]])</f>
        <v>840</v>
      </c>
      <c r="O89" s="49">
        <f>_xlfn.XLOOKUP(_Shipments[[#This Row],[CLN]],[2]Dados!$D:$D,[2]Dados!$R:$R,"-")</f>
        <v>40</v>
      </c>
      <c r="P89" s="49" t="str" cm="1">
        <f t="array" ref="P89">_xlfn.LET(_xlpm.t,_xlfn.XLOOKUP(_Shipments[[#This Row],[CLN]],[2]Dados!$D:$D,[2]Dados!$Q:$Q,"-"),_xlfn.IFS(LEFT(_xlpm.t,3)="PAS","Saco",LEFT(_xlpm.t,3)="PBT","Big Bag",TRUE,"-"))</f>
        <v>Big Bag</v>
      </c>
      <c r="Q89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588.40000000000009</v>
      </c>
      <c r="R89" s="89">
        <f>IF(_Shipments[[#This Row],[Embalagem]]="Big Bag",_Shipments[[#This Row],[Qtd.]],ROUNDUP(_Shipments[[#This Row],[Qtd.]]/_Shipments[[#This Row],[Qtde. sacos/palete]],0))</f>
        <v>21</v>
      </c>
      <c r="S89" s="26" t="s">
        <v>128</v>
      </c>
      <c r="T89" s="51">
        <v>34997330803</v>
      </c>
      <c r="U89" s="26" t="s">
        <v>129</v>
      </c>
      <c r="V89" s="26" t="s">
        <v>130</v>
      </c>
      <c r="W89" s="26" t="s">
        <v>126</v>
      </c>
    </row>
    <row r="90" spans="1:23" x14ac:dyDescent="0.25">
      <c r="A90" s="47">
        <f>_xlfn.XLOOKUP(_Shipments[[#This Row],[Shipment]],[1]Report!$G:$G,[1]Report!$B:$B,"-")</f>
        <v>46276.375</v>
      </c>
      <c r="B90" s="26">
        <v>7241996</v>
      </c>
      <c r="C90" s="26">
        <v>5541984194</v>
      </c>
      <c r="D90" s="26">
        <v>1</v>
      </c>
      <c r="E90" s="26" t="s">
        <v>56</v>
      </c>
      <c r="F90" s="85">
        <v>3</v>
      </c>
      <c r="G90" s="26" t="s">
        <v>283</v>
      </c>
      <c r="H90" s="26" t="s">
        <v>64</v>
      </c>
      <c r="I90" s="26" t="s">
        <v>65</v>
      </c>
      <c r="J90" s="26">
        <v>3</v>
      </c>
      <c r="K90" s="26">
        <v>7518190</v>
      </c>
      <c r="L90" s="26" t="s">
        <v>187</v>
      </c>
      <c r="M90" s="26" t="s">
        <v>32</v>
      </c>
      <c r="N90" s="48">
        <f>IF(_Shipments[[#This Row],[Embalagem]]="Big Bag",_Shipments[[#This Row],[Qtd.]]*_Shipments[[#This Row],[Qtde. sacos/palete]],_Shipments[[#This Row],[Qtd.]])</f>
        <v>120</v>
      </c>
      <c r="O90" s="49">
        <f>_xlfn.XLOOKUP(_Shipments[[#This Row],[CLN]],[2]Dados!$D:$D,[2]Dados!$R:$R,"-")</f>
        <v>40</v>
      </c>
      <c r="P90" s="49" t="str" cm="1">
        <f t="array" ref="P90">_xlfn.LET(_xlpm.t,_xlfn.XLOOKUP(_Shipments[[#This Row],[CLN]],[2]Dados!$D:$D,[2]Dados!$Q:$Q,"-"),_xlfn.IFS(LEFT(_xlpm.t,3)="PAS","Saco",LEFT(_xlpm.t,3)="PBT","Big Bag",TRUE,"-"))</f>
        <v>Big Bag</v>
      </c>
      <c r="Q90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588.40000000000009</v>
      </c>
      <c r="R90" s="89">
        <f>IF(_Shipments[[#This Row],[Embalagem]]="Big Bag",_Shipments[[#This Row],[Qtd.]],ROUNDUP(_Shipments[[#This Row],[Qtd.]]/_Shipments[[#This Row],[Qtde. sacos/palete]],0))</f>
        <v>3</v>
      </c>
      <c r="S90" s="26" t="s">
        <v>141</v>
      </c>
      <c r="T90" s="51">
        <v>34999810409</v>
      </c>
      <c r="U90" s="26" t="s">
        <v>142</v>
      </c>
      <c r="V90" s="26" t="s">
        <v>143</v>
      </c>
      <c r="W90" s="26" t="s">
        <v>126</v>
      </c>
    </row>
    <row r="91" spans="1:23" x14ac:dyDescent="0.25">
      <c r="A91" s="47">
        <f>_xlfn.XLOOKUP(_Shipments[[#This Row],[Shipment]],[1]Report!$G:$G,[1]Report!$B:$B,"-")</f>
        <v>46276.375</v>
      </c>
      <c r="B91" s="26">
        <v>7241996</v>
      </c>
      <c r="C91" s="26">
        <v>5541984194</v>
      </c>
      <c r="D91" s="26">
        <v>2</v>
      </c>
      <c r="E91" s="26" t="s">
        <v>59</v>
      </c>
      <c r="F91" s="85">
        <v>17</v>
      </c>
      <c r="G91" s="26" t="s">
        <v>283</v>
      </c>
      <c r="H91" s="26" t="s">
        <v>64</v>
      </c>
      <c r="I91" s="26" t="s">
        <v>65</v>
      </c>
      <c r="J91" s="26">
        <v>17</v>
      </c>
      <c r="K91" s="26">
        <v>7518229</v>
      </c>
      <c r="L91" s="26" t="s">
        <v>188</v>
      </c>
      <c r="M91" s="26" t="s">
        <v>61</v>
      </c>
      <c r="N91" s="48">
        <f>IF(_Shipments[[#This Row],[Embalagem]]="Big Bag",_Shipments[[#This Row],[Qtd.]]*_Shipments[[#This Row],[Qtde. sacos/palete]],_Shipments[[#This Row],[Qtd.]])</f>
        <v>680</v>
      </c>
      <c r="O91" s="49">
        <f>_xlfn.XLOOKUP(_Shipments[[#This Row],[CLN]],[2]Dados!$D:$D,[2]Dados!$R:$R,"-")</f>
        <v>40</v>
      </c>
      <c r="P91" s="49" t="str" cm="1">
        <f t="array" ref="P91">_xlfn.LET(_xlpm.t,_xlfn.XLOOKUP(_Shipments[[#This Row],[CLN]],[2]Dados!$D:$D,[2]Dados!$Q:$Q,"-"),_xlfn.IFS(LEFT(_xlpm.t,3)="PAS","Saco",LEFT(_xlpm.t,3)="PBT","Big Bag",TRUE,"-"))</f>
        <v>Big Bag</v>
      </c>
      <c r="Q91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895.19999999999993</v>
      </c>
      <c r="R91" s="89">
        <f>IF(_Shipments[[#This Row],[Embalagem]]="Big Bag",_Shipments[[#This Row],[Qtd.]],ROUNDUP(_Shipments[[#This Row],[Qtd.]]/_Shipments[[#This Row],[Qtde. sacos/palete]],0))</f>
        <v>17</v>
      </c>
      <c r="S91" s="26" t="s">
        <v>141</v>
      </c>
      <c r="T91" s="51">
        <v>34999810409</v>
      </c>
      <c r="U91" s="26" t="s">
        <v>142</v>
      </c>
      <c r="V91" s="26" t="s">
        <v>143</v>
      </c>
      <c r="W91" s="26" t="s">
        <v>126</v>
      </c>
    </row>
    <row r="92" spans="1:23" x14ac:dyDescent="0.25">
      <c r="A92" s="47">
        <f>_xlfn.XLOOKUP(_Shipments[[#This Row],[Shipment]],[1]Report!$G:$G,[1]Report!$B:$B,"-")</f>
        <v>46276.375</v>
      </c>
      <c r="B92" s="26">
        <v>7241997</v>
      </c>
      <c r="C92" s="26">
        <v>5541984195</v>
      </c>
      <c r="D92" s="26">
        <v>1</v>
      </c>
      <c r="E92" s="26" t="s">
        <v>25</v>
      </c>
      <c r="F92" s="85">
        <v>1198</v>
      </c>
      <c r="G92" s="26" t="s">
        <v>283</v>
      </c>
      <c r="H92" s="26" t="s">
        <v>64</v>
      </c>
      <c r="I92" s="26" t="s">
        <v>65</v>
      </c>
      <c r="J92" s="26">
        <v>1198</v>
      </c>
      <c r="K92" s="26">
        <v>7559911</v>
      </c>
      <c r="L92" s="26" t="s">
        <v>189</v>
      </c>
      <c r="M92" s="26" t="s">
        <v>29</v>
      </c>
      <c r="N92" s="48">
        <f>IF(_Shipments[[#This Row],[Embalagem]]="Big Bag",_Shipments[[#This Row],[Qtd.]]*_Shipments[[#This Row],[Qtde. sacos/palete]],_Shipments[[#This Row],[Qtd.]])</f>
        <v>1198</v>
      </c>
      <c r="O92" s="49">
        <f>_xlfn.XLOOKUP(_Shipments[[#This Row],[CLN]],[2]Dados!$D:$D,[2]Dados!$R:$R,"-")</f>
        <v>70</v>
      </c>
      <c r="P92" s="49" t="str" cm="1">
        <f t="array" ref="P92">_xlfn.LET(_xlpm.t,_xlfn.XLOOKUP(_Shipments[[#This Row],[CLN]],[2]Dados!$D:$D,[2]Dados!$Q:$Q,"-"),_xlfn.IFS(LEFT(_xlpm.t,3)="PAS","Saco",LEFT(_xlpm.t,3)="PBT","Big Bag",TRUE,"-"))</f>
        <v>Saco</v>
      </c>
      <c r="Q92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12.57</v>
      </c>
      <c r="R92" s="89">
        <f>IF(_Shipments[[#This Row],[Embalagem]]="Big Bag",_Shipments[[#This Row],[Qtd.]],ROUNDUP(_Shipments[[#This Row],[Qtd.]]/_Shipments[[#This Row],[Qtde. sacos/palete]],0))</f>
        <v>18</v>
      </c>
      <c r="S92" s="26" t="s">
        <v>165</v>
      </c>
      <c r="T92" s="51">
        <v>34991057132</v>
      </c>
      <c r="U92" s="26" t="s">
        <v>156</v>
      </c>
      <c r="V92" s="26" t="s">
        <v>157</v>
      </c>
      <c r="W92" s="26" t="s">
        <v>126</v>
      </c>
    </row>
    <row r="93" spans="1:23" x14ac:dyDescent="0.25">
      <c r="A93" s="47">
        <f>_xlfn.XLOOKUP(_Shipments[[#This Row],[Shipment]],[1]Report!$G:$G,[1]Report!$B:$B,"-")</f>
        <v>46276.375</v>
      </c>
      <c r="B93" s="26">
        <v>7241997</v>
      </c>
      <c r="C93" s="26">
        <v>5541984195</v>
      </c>
      <c r="D93" s="26">
        <v>2</v>
      </c>
      <c r="E93" s="26" t="s">
        <v>36</v>
      </c>
      <c r="F93" s="85">
        <v>39</v>
      </c>
      <c r="G93" s="26" t="s">
        <v>283</v>
      </c>
      <c r="H93" s="26" t="s">
        <v>64</v>
      </c>
      <c r="I93" s="26" t="s">
        <v>65</v>
      </c>
      <c r="J93" s="26">
        <v>39</v>
      </c>
      <c r="K93" s="26">
        <v>7566354</v>
      </c>
      <c r="L93" s="26" t="s">
        <v>190</v>
      </c>
      <c r="M93" s="26" t="s">
        <v>38</v>
      </c>
      <c r="N93" s="48">
        <f>IF(_Shipments[[#This Row],[Embalagem]]="Big Bag",_Shipments[[#This Row],[Qtd.]]*_Shipments[[#This Row],[Qtde. sacos/palete]],_Shipments[[#This Row],[Qtd.]])</f>
        <v>39</v>
      </c>
      <c r="O93" s="49">
        <f>_xlfn.XLOOKUP(_Shipments[[#This Row],[CLN]],[2]Dados!$D:$D,[2]Dados!$R:$R,"-")</f>
        <v>60</v>
      </c>
      <c r="P93" s="49" t="str" cm="1">
        <f t="array" ref="P93">_xlfn.LET(_xlpm.t,_xlfn.XLOOKUP(_Shipments[[#This Row],[CLN]],[2]Dados!$D:$D,[2]Dados!$Q:$Q,"-"),_xlfn.IFS(LEFT(_xlpm.t,3)="PAS","Saco",LEFT(_xlpm.t,3)="PBT","Big Bag",TRUE,"-"))</f>
        <v>Saco</v>
      </c>
      <c r="Q93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17.27</v>
      </c>
      <c r="R93" s="89">
        <f>IF(_Shipments[[#This Row],[Embalagem]]="Big Bag",_Shipments[[#This Row],[Qtd.]],ROUNDUP(_Shipments[[#This Row],[Qtd.]]/_Shipments[[#This Row],[Qtde. sacos/palete]],0))</f>
        <v>1</v>
      </c>
      <c r="S93" s="26" t="s">
        <v>165</v>
      </c>
      <c r="T93" s="51">
        <v>34991057132</v>
      </c>
      <c r="U93" s="26" t="s">
        <v>156</v>
      </c>
      <c r="V93" s="26" t="s">
        <v>157</v>
      </c>
      <c r="W93" s="26" t="s">
        <v>126</v>
      </c>
    </row>
    <row r="94" spans="1:23" x14ac:dyDescent="0.25">
      <c r="A94" s="47">
        <f>_xlfn.XLOOKUP(_Shipments[[#This Row],[Shipment]],[1]Report!$G:$G,[1]Report!$B:$B,"-")</f>
        <v>46276.375</v>
      </c>
      <c r="B94" s="26">
        <v>7241997</v>
      </c>
      <c r="C94" s="26">
        <v>5541984195</v>
      </c>
      <c r="D94" s="26">
        <v>3</v>
      </c>
      <c r="E94" s="26" t="s">
        <v>36</v>
      </c>
      <c r="F94" s="85">
        <v>39</v>
      </c>
      <c r="G94" s="26" t="s">
        <v>283</v>
      </c>
      <c r="H94" s="26" t="s">
        <v>64</v>
      </c>
      <c r="I94" s="26" t="s">
        <v>65</v>
      </c>
      <c r="J94" s="26">
        <v>39</v>
      </c>
      <c r="K94" s="26">
        <v>7566355</v>
      </c>
      <c r="L94" s="26" t="s">
        <v>191</v>
      </c>
      <c r="M94" s="26" t="s">
        <v>38</v>
      </c>
      <c r="N94" s="48">
        <f>IF(_Shipments[[#This Row],[Embalagem]]="Big Bag",_Shipments[[#This Row],[Qtd.]]*_Shipments[[#This Row],[Qtde. sacos/palete]],_Shipments[[#This Row],[Qtd.]])</f>
        <v>39</v>
      </c>
      <c r="O94" s="49">
        <f>_xlfn.XLOOKUP(_Shipments[[#This Row],[CLN]],[2]Dados!$D:$D,[2]Dados!$R:$R,"-")</f>
        <v>50</v>
      </c>
      <c r="P94" s="49" t="str" cm="1">
        <f t="array" ref="P94">_xlfn.LET(_xlpm.t,_xlfn.XLOOKUP(_Shipments[[#This Row],[CLN]],[2]Dados!$D:$D,[2]Dados!$Q:$Q,"-"),_xlfn.IFS(LEFT(_xlpm.t,3)="PAS","Saco",LEFT(_xlpm.t,3)="PBT","Big Bag",TRUE,"-"))</f>
        <v>Saco</v>
      </c>
      <c r="Q94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17.510000000000002</v>
      </c>
      <c r="R94" s="89">
        <f>IF(_Shipments[[#This Row],[Embalagem]]="Big Bag",_Shipments[[#This Row],[Qtd.]],ROUNDUP(_Shipments[[#This Row],[Qtd.]]/_Shipments[[#This Row],[Qtde. sacos/palete]],0))</f>
        <v>1</v>
      </c>
      <c r="S94" s="26" t="s">
        <v>165</v>
      </c>
      <c r="T94" s="51">
        <v>34991057132</v>
      </c>
      <c r="U94" s="26" t="s">
        <v>156</v>
      </c>
      <c r="V94" s="26" t="s">
        <v>157</v>
      </c>
      <c r="W94" s="26" t="s">
        <v>126</v>
      </c>
    </row>
    <row r="95" spans="1:23" x14ac:dyDescent="0.25">
      <c r="A95" s="47">
        <f>_xlfn.XLOOKUP(_Shipments[[#This Row],[Shipment]],[1]Report!$G:$G,[1]Report!$B:$B,"-")</f>
        <v>46289.416666666664</v>
      </c>
      <c r="B95" s="26">
        <v>7242699</v>
      </c>
      <c r="C95" s="26">
        <v>5541984817</v>
      </c>
      <c r="D95" s="26">
        <v>1</v>
      </c>
      <c r="E95" s="26" t="s">
        <v>16</v>
      </c>
      <c r="F95" s="85">
        <v>4</v>
      </c>
      <c r="G95" s="26" t="s">
        <v>283</v>
      </c>
      <c r="H95" s="26" t="s">
        <v>64</v>
      </c>
      <c r="I95" s="26" t="s">
        <v>65</v>
      </c>
      <c r="J95" s="26">
        <v>4</v>
      </c>
      <c r="K95" s="26">
        <v>7518147</v>
      </c>
      <c r="L95" s="26" t="s">
        <v>226</v>
      </c>
      <c r="M95" s="26" t="s">
        <v>46</v>
      </c>
      <c r="N95" s="48">
        <f>IF(_Shipments[[#This Row],[Embalagem]]="Big Bag",_Shipments[[#This Row],[Qtd.]]*_Shipments[[#This Row],[Qtde. sacos/palete]],_Shipments[[#This Row],[Qtd.]])</f>
        <v>160</v>
      </c>
      <c r="O95" s="49">
        <f>_xlfn.XLOOKUP(_Shipments[[#This Row],[CLN]],[2]Dados!$D:$D,[2]Dados!$R:$R,"-")</f>
        <v>40</v>
      </c>
      <c r="P95" s="49" t="str" cm="1">
        <f t="array" ref="P95">_xlfn.LET(_xlpm.t,_xlfn.XLOOKUP(_Shipments[[#This Row],[CLN]],[2]Dados!$D:$D,[2]Dados!$Q:$Q,"-"),_xlfn.IFS(LEFT(_xlpm.t,3)="PAS","Saco",LEFT(_xlpm.t,3)="PBT","Big Bag",TRUE,"-"))</f>
        <v>Big Bag</v>
      </c>
      <c r="Q95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692.8</v>
      </c>
      <c r="R95" s="89">
        <f>IF(_Shipments[[#This Row],[Embalagem]]="Big Bag",_Shipments[[#This Row],[Qtd.]],ROUNDUP(_Shipments[[#This Row],[Qtd.]]/_Shipments[[#This Row],[Qtde. sacos/palete]],0))</f>
        <v>4</v>
      </c>
      <c r="S95" s="26" t="s">
        <v>249</v>
      </c>
      <c r="T95" s="51">
        <v>34996968579</v>
      </c>
      <c r="U95" s="26" t="s">
        <v>250</v>
      </c>
      <c r="V95" s="26" t="s">
        <v>251</v>
      </c>
      <c r="W95" s="26" t="s">
        <v>126</v>
      </c>
    </row>
    <row r="96" spans="1:23" x14ac:dyDescent="0.25">
      <c r="A96" s="47">
        <f>_xlfn.XLOOKUP(_Shipments[[#This Row],[Shipment]],[1]Report!$G:$G,[1]Report!$B:$B,"-")</f>
        <v>46289.416666666664</v>
      </c>
      <c r="B96" s="26">
        <v>7242699</v>
      </c>
      <c r="C96" s="26">
        <v>5541984817</v>
      </c>
      <c r="D96" s="26">
        <v>2</v>
      </c>
      <c r="E96" s="26" t="s">
        <v>36</v>
      </c>
      <c r="F96" s="85">
        <v>24</v>
      </c>
      <c r="G96" s="26" t="s">
        <v>283</v>
      </c>
      <c r="H96" s="26" t="s">
        <v>64</v>
      </c>
      <c r="I96" s="26" t="s">
        <v>65</v>
      </c>
      <c r="J96" s="26">
        <v>24</v>
      </c>
      <c r="K96" s="26">
        <v>7559904</v>
      </c>
      <c r="L96" s="26" t="s">
        <v>284</v>
      </c>
      <c r="M96" s="26" t="s">
        <v>46</v>
      </c>
      <c r="N96" s="48">
        <f>IF(_Shipments[[#This Row],[Embalagem]]="Big Bag",_Shipments[[#This Row],[Qtd.]]*_Shipments[[#This Row],[Qtde. sacos/palete]],_Shipments[[#This Row],[Qtd.]])</f>
        <v>24</v>
      </c>
      <c r="O96" s="49">
        <f>_xlfn.XLOOKUP(_Shipments[[#This Row],[CLN]],[2]Dados!$D:$D,[2]Dados!$R:$R,"-")</f>
        <v>45</v>
      </c>
      <c r="P96" s="49" t="str" cm="1">
        <f t="array" ref="P96">_xlfn.LET(_xlpm.t,_xlfn.XLOOKUP(_Shipments[[#This Row],[CLN]],[2]Dados!$D:$D,[2]Dados!$Q:$Q,"-"),_xlfn.IFS(LEFT(_xlpm.t,3)="PAS","Saco",LEFT(_xlpm.t,3)="PBT","Big Bag",TRUE,"-"))</f>
        <v>Saco</v>
      </c>
      <c r="Q96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19.91</v>
      </c>
      <c r="R96" s="89">
        <f>IF(_Shipments[[#This Row],[Embalagem]]="Big Bag",_Shipments[[#This Row],[Qtd.]],ROUNDUP(_Shipments[[#This Row],[Qtd.]]/_Shipments[[#This Row],[Qtde. sacos/palete]],0))</f>
        <v>1</v>
      </c>
      <c r="S96" s="26" t="s">
        <v>249</v>
      </c>
      <c r="T96" s="51">
        <v>34996968579</v>
      </c>
      <c r="U96" s="26" t="s">
        <v>250</v>
      </c>
      <c r="V96" s="26" t="s">
        <v>251</v>
      </c>
      <c r="W96" s="26" t="s">
        <v>126</v>
      </c>
    </row>
    <row r="97" spans="1:23" x14ac:dyDescent="0.25">
      <c r="A97" s="47">
        <f>_xlfn.XLOOKUP(_Shipments[[#This Row],[Shipment]],[1]Report!$G:$G,[1]Report!$B:$B,"-")</f>
        <v>46289.416666666664</v>
      </c>
      <c r="B97" s="26">
        <v>7242699</v>
      </c>
      <c r="C97" s="26">
        <v>5541984817</v>
      </c>
      <c r="D97" s="26">
        <v>3</v>
      </c>
      <c r="E97" s="26" t="s">
        <v>36</v>
      </c>
      <c r="F97" s="85">
        <v>14</v>
      </c>
      <c r="G97" s="26" t="s">
        <v>283</v>
      </c>
      <c r="H97" s="26" t="s">
        <v>64</v>
      </c>
      <c r="I97" s="26" t="s">
        <v>65</v>
      </c>
      <c r="J97" s="26">
        <v>14</v>
      </c>
      <c r="K97" s="26">
        <v>7566289</v>
      </c>
      <c r="L97" s="26" t="s">
        <v>285</v>
      </c>
      <c r="M97" s="26" t="s">
        <v>46</v>
      </c>
      <c r="N97" s="48">
        <f>IF(_Shipments[[#This Row],[Embalagem]]="Big Bag",_Shipments[[#This Row],[Qtd.]]*_Shipments[[#This Row],[Qtde. sacos/palete]],_Shipments[[#This Row],[Qtd.]])</f>
        <v>14</v>
      </c>
      <c r="O97" s="49">
        <f>_xlfn.XLOOKUP(_Shipments[[#This Row],[CLN]],[2]Dados!$D:$D,[2]Dados!$R:$R,"-")</f>
        <v>45</v>
      </c>
      <c r="P97" s="49" t="str" cm="1">
        <f t="array" ref="P97">_xlfn.LET(_xlpm.t,_xlfn.XLOOKUP(_Shipments[[#This Row],[CLN]],[2]Dados!$D:$D,[2]Dados!$Q:$Q,"-"),_xlfn.IFS(LEFT(_xlpm.t,3)="PAS","Saco",LEFT(_xlpm.t,3)="PBT","Big Bag",TRUE,"-"))</f>
        <v>Saco</v>
      </c>
      <c r="Q97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19.739999999999998</v>
      </c>
      <c r="R97" s="89">
        <f>IF(_Shipments[[#This Row],[Embalagem]]="Big Bag",_Shipments[[#This Row],[Qtd.]],ROUNDUP(_Shipments[[#This Row],[Qtd.]]/_Shipments[[#This Row],[Qtde. sacos/palete]],0))</f>
        <v>1</v>
      </c>
      <c r="S97" s="26" t="s">
        <v>249</v>
      </c>
      <c r="T97" s="51">
        <v>34996968579</v>
      </c>
      <c r="U97" s="26" t="s">
        <v>250</v>
      </c>
      <c r="V97" s="26" t="s">
        <v>251</v>
      </c>
      <c r="W97" s="26" t="s">
        <v>126</v>
      </c>
    </row>
    <row r="98" spans="1:23" x14ac:dyDescent="0.25">
      <c r="A98" s="47">
        <f>_xlfn.XLOOKUP(_Shipments[[#This Row],[Shipment]],[1]Report!$G:$G,[1]Report!$B:$B,"-")</f>
        <v>46289.416666666664</v>
      </c>
      <c r="B98" s="26">
        <v>7242699</v>
      </c>
      <c r="C98" s="26">
        <v>5541984817</v>
      </c>
      <c r="D98" s="26">
        <v>4</v>
      </c>
      <c r="E98" s="26" t="s">
        <v>36</v>
      </c>
      <c r="F98" s="85">
        <v>22</v>
      </c>
      <c r="G98" s="26" t="s">
        <v>283</v>
      </c>
      <c r="H98" s="26" t="s">
        <v>64</v>
      </c>
      <c r="I98" s="26" t="s">
        <v>65</v>
      </c>
      <c r="J98" s="26">
        <v>22</v>
      </c>
      <c r="K98" s="26">
        <v>7566293</v>
      </c>
      <c r="L98" s="26" t="s">
        <v>286</v>
      </c>
      <c r="M98" s="26" t="s">
        <v>46</v>
      </c>
      <c r="N98" s="48">
        <f>IF(_Shipments[[#This Row],[Embalagem]]="Big Bag",_Shipments[[#This Row],[Qtd.]]*_Shipments[[#This Row],[Qtde. sacos/palete]],_Shipments[[#This Row],[Qtd.]])</f>
        <v>22</v>
      </c>
      <c r="O98" s="49">
        <f>_xlfn.XLOOKUP(_Shipments[[#This Row],[CLN]],[2]Dados!$D:$D,[2]Dados!$R:$R,"-")</f>
        <v>50</v>
      </c>
      <c r="P98" s="49" t="str" cm="1">
        <f t="array" ref="P98">_xlfn.LET(_xlpm.t,_xlfn.XLOOKUP(_Shipments[[#This Row],[CLN]],[2]Dados!$D:$D,[2]Dados!$Q:$Q,"-"),_xlfn.IFS(LEFT(_xlpm.t,3)="PAS","Saco",LEFT(_xlpm.t,3)="PBT","Big Bag",TRUE,"-"))</f>
        <v>Saco</v>
      </c>
      <c r="Q98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19.7</v>
      </c>
      <c r="R98" s="89">
        <f>IF(_Shipments[[#This Row],[Embalagem]]="Big Bag",_Shipments[[#This Row],[Qtd.]],ROUNDUP(_Shipments[[#This Row],[Qtd.]]/_Shipments[[#This Row],[Qtde. sacos/palete]],0))</f>
        <v>1</v>
      </c>
      <c r="S98" s="26" t="s">
        <v>249</v>
      </c>
      <c r="T98" s="51">
        <v>34996968579</v>
      </c>
      <c r="U98" s="26" t="s">
        <v>250</v>
      </c>
      <c r="V98" s="26" t="s">
        <v>251</v>
      </c>
      <c r="W98" s="26" t="s">
        <v>126</v>
      </c>
    </row>
    <row r="99" spans="1:23" x14ac:dyDescent="0.25">
      <c r="A99" s="47">
        <f>_xlfn.XLOOKUP(_Shipments[[#This Row],[Shipment]],[1]Report!$G:$G,[1]Report!$B:$B,"-")</f>
        <v>46289.416666666664</v>
      </c>
      <c r="B99" s="26">
        <v>7242699</v>
      </c>
      <c r="C99" s="26">
        <v>5541984817</v>
      </c>
      <c r="D99" s="26">
        <v>5</v>
      </c>
      <c r="E99" s="26" t="s">
        <v>33</v>
      </c>
      <c r="F99" s="85">
        <v>34</v>
      </c>
      <c r="G99" s="26" t="s">
        <v>283</v>
      </c>
      <c r="H99" s="26" t="s">
        <v>64</v>
      </c>
      <c r="I99" s="26" t="s">
        <v>65</v>
      </c>
      <c r="J99" s="26">
        <v>34</v>
      </c>
      <c r="K99" s="26">
        <v>7566336</v>
      </c>
      <c r="L99" s="26" t="s">
        <v>287</v>
      </c>
      <c r="M99" s="26" t="s">
        <v>35</v>
      </c>
      <c r="N99" s="48">
        <f>IF(_Shipments[[#This Row],[Embalagem]]="Big Bag",_Shipments[[#This Row],[Qtd.]]*_Shipments[[#This Row],[Qtde. sacos/palete]],_Shipments[[#This Row],[Qtd.]])</f>
        <v>34</v>
      </c>
      <c r="O99" s="49">
        <f>_xlfn.XLOOKUP(_Shipments[[#This Row],[CLN]],[2]Dados!$D:$D,[2]Dados!$R:$R,"-")</f>
        <v>50</v>
      </c>
      <c r="P99" s="49" t="str" cm="1">
        <f t="array" ref="P99">_xlfn.LET(_xlpm.t,_xlfn.XLOOKUP(_Shipments[[#This Row],[CLN]],[2]Dados!$D:$D,[2]Dados!$Q:$Q,"-"),_xlfn.IFS(LEFT(_xlpm.t,3)="PAS","Saco",LEFT(_xlpm.t,3)="PBT","Big Bag",TRUE,"-"))</f>
        <v>Saco</v>
      </c>
      <c r="Q99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19.05</v>
      </c>
      <c r="R99" s="89">
        <f>IF(_Shipments[[#This Row],[Embalagem]]="Big Bag",_Shipments[[#This Row],[Qtd.]],ROUNDUP(_Shipments[[#This Row],[Qtd.]]/_Shipments[[#This Row],[Qtde. sacos/palete]],0))</f>
        <v>1</v>
      </c>
      <c r="S99" s="26" t="s">
        <v>249</v>
      </c>
      <c r="T99" s="51">
        <v>34996968579</v>
      </c>
      <c r="U99" s="26" t="s">
        <v>250</v>
      </c>
      <c r="V99" s="26" t="s">
        <v>251</v>
      </c>
      <c r="W99" s="26" t="s">
        <v>126</v>
      </c>
    </row>
    <row r="100" spans="1:23" x14ac:dyDescent="0.25">
      <c r="A100" s="47">
        <f>_xlfn.XLOOKUP(_Shipments[[#This Row],[Shipment]],[1]Report!$G:$G,[1]Report!$B:$B,"-")</f>
        <v>46289.416666666664</v>
      </c>
      <c r="B100" s="26">
        <v>7242699</v>
      </c>
      <c r="C100" s="26">
        <v>5541984817</v>
      </c>
      <c r="D100" s="26">
        <v>6</v>
      </c>
      <c r="E100" s="26" t="s">
        <v>33</v>
      </c>
      <c r="F100" s="85">
        <v>22</v>
      </c>
      <c r="G100" s="26" t="s">
        <v>283</v>
      </c>
      <c r="H100" s="26" t="s">
        <v>64</v>
      </c>
      <c r="I100" s="26" t="s">
        <v>65</v>
      </c>
      <c r="J100" s="26">
        <v>22</v>
      </c>
      <c r="K100" s="26">
        <v>7566337</v>
      </c>
      <c r="L100" s="26" t="s">
        <v>288</v>
      </c>
      <c r="M100" s="26" t="s">
        <v>35</v>
      </c>
      <c r="N100" s="48">
        <f>IF(_Shipments[[#This Row],[Embalagem]]="Big Bag",_Shipments[[#This Row],[Qtd.]]*_Shipments[[#This Row],[Qtde. sacos/palete]],_Shipments[[#This Row],[Qtd.]])</f>
        <v>22</v>
      </c>
      <c r="O100" s="49">
        <f>_xlfn.XLOOKUP(_Shipments[[#This Row],[CLN]],[2]Dados!$D:$D,[2]Dados!$R:$R,"-")</f>
        <v>50</v>
      </c>
      <c r="P100" s="49" t="str" cm="1">
        <f t="array" ref="P100">_xlfn.LET(_xlpm.t,_xlfn.XLOOKUP(_Shipments[[#This Row],[CLN]],[2]Dados!$D:$D,[2]Dados!$Q:$Q,"-"),_xlfn.IFS(LEFT(_xlpm.t,3)="PAS","Saco",LEFT(_xlpm.t,3)="PBT","Big Bag",TRUE,"-"))</f>
        <v>Saco</v>
      </c>
      <c r="Q100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18.920000000000002</v>
      </c>
      <c r="R100" s="89">
        <f>IF(_Shipments[[#This Row],[Embalagem]]="Big Bag",_Shipments[[#This Row],[Qtd.]],ROUNDUP(_Shipments[[#This Row],[Qtd.]]/_Shipments[[#This Row],[Qtde. sacos/palete]],0))</f>
        <v>1</v>
      </c>
      <c r="S100" s="26" t="s">
        <v>249</v>
      </c>
      <c r="T100" s="51">
        <v>34996968579</v>
      </c>
      <c r="U100" s="26" t="s">
        <v>250</v>
      </c>
      <c r="V100" s="26" t="s">
        <v>251</v>
      </c>
      <c r="W100" s="26" t="s">
        <v>126</v>
      </c>
    </row>
    <row r="101" spans="1:23" x14ac:dyDescent="0.25">
      <c r="A101" s="47">
        <f>_xlfn.XLOOKUP(_Shipments[[#This Row],[Shipment]],[1]Report!$G:$G,[1]Report!$B:$B,"-")</f>
        <v>46289.416666666664</v>
      </c>
      <c r="B101" s="26">
        <v>7242699</v>
      </c>
      <c r="C101" s="26">
        <v>5541984817</v>
      </c>
      <c r="D101" s="26">
        <v>7</v>
      </c>
      <c r="E101" s="26" t="s">
        <v>30</v>
      </c>
      <c r="F101" s="85">
        <v>26</v>
      </c>
      <c r="G101" s="26" t="s">
        <v>283</v>
      </c>
      <c r="H101" s="26" t="s">
        <v>64</v>
      </c>
      <c r="I101" s="26" t="s">
        <v>65</v>
      </c>
      <c r="J101" s="26">
        <v>26</v>
      </c>
      <c r="K101" s="26">
        <v>7566341</v>
      </c>
      <c r="L101" s="26" t="s">
        <v>289</v>
      </c>
      <c r="M101" s="26" t="s">
        <v>32</v>
      </c>
      <c r="N101" s="48">
        <f>IF(_Shipments[[#This Row],[Embalagem]]="Big Bag",_Shipments[[#This Row],[Qtd.]]*_Shipments[[#This Row],[Qtde. sacos/palete]],_Shipments[[#This Row],[Qtd.]])</f>
        <v>26</v>
      </c>
      <c r="O101" s="49">
        <f>_xlfn.XLOOKUP(_Shipments[[#This Row],[CLN]],[2]Dados!$D:$D,[2]Dados!$R:$R,"-")</f>
        <v>60</v>
      </c>
      <c r="P101" s="49" t="str" cm="1">
        <f t="array" ref="P101">_xlfn.LET(_xlpm.t,_xlfn.XLOOKUP(_Shipments[[#This Row],[CLN]],[2]Dados!$D:$D,[2]Dados!$Q:$Q,"-"),_xlfn.IFS(LEFT(_xlpm.t,3)="PAS","Saco",LEFT(_xlpm.t,3)="PBT","Big Bag",TRUE,"-"))</f>
        <v>Saco</v>
      </c>
      <c r="Q101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16.690000000000001</v>
      </c>
      <c r="R101" s="89">
        <f>IF(_Shipments[[#This Row],[Embalagem]]="Big Bag",_Shipments[[#This Row],[Qtd.]],ROUNDUP(_Shipments[[#This Row],[Qtd.]]/_Shipments[[#This Row],[Qtde. sacos/palete]],0))</f>
        <v>1</v>
      </c>
      <c r="S101" s="26" t="s">
        <v>249</v>
      </c>
      <c r="T101" s="51">
        <v>34996968579</v>
      </c>
      <c r="U101" s="26" t="s">
        <v>250</v>
      </c>
      <c r="V101" s="26" t="s">
        <v>251</v>
      </c>
      <c r="W101" s="26" t="s">
        <v>126</v>
      </c>
    </row>
    <row r="102" spans="1:23" x14ac:dyDescent="0.25">
      <c r="A102" s="47">
        <f>_xlfn.XLOOKUP(_Shipments[[#This Row],[Shipment]],[1]Report!$G:$G,[1]Report!$B:$B,"-")</f>
        <v>46289.416666666664</v>
      </c>
      <c r="B102" s="26">
        <v>7242699</v>
      </c>
      <c r="C102" s="26">
        <v>5541984817</v>
      </c>
      <c r="D102" s="26">
        <v>8</v>
      </c>
      <c r="E102" s="26" t="s">
        <v>36</v>
      </c>
      <c r="F102" s="85">
        <v>22</v>
      </c>
      <c r="G102" s="26" t="s">
        <v>283</v>
      </c>
      <c r="H102" s="26" t="s">
        <v>64</v>
      </c>
      <c r="I102" s="26" t="s">
        <v>65</v>
      </c>
      <c r="J102" s="26">
        <v>22</v>
      </c>
      <c r="K102" s="26">
        <v>7566352</v>
      </c>
      <c r="L102" s="26" t="s">
        <v>290</v>
      </c>
      <c r="M102" s="26" t="s">
        <v>38</v>
      </c>
      <c r="N102" s="48">
        <f>IF(_Shipments[[#This Row],[Embalagem]]="Big Bag",_Shipments[[#This Row],[Qtd.]]*_Shipments[[#This Row],[Qtde. sacos/palete]],_Shipments[[#This Row],[Qtd.]])</f>
        <v>22</v>
      </c>
      <c r="O102" s="49">
        <f>_xlfn.XLOOKUP(_Shipments[[#This Row],[CLN]],[2]Dados!$D:$D,[2]Dados!$R:$R,"-")</f>
        <v>50</v>
      </c>
      <c r="P102" s="49" t="str" cm="1">
        <f t="array" ref="P102">_xlfn.LET(_xlpm.t,_xlfn.XLOOKUP(_Shipments[[#This Row],[CLN]],[2]Dados!$D:$D,[2]Dados!$Q:$Q,"-"),_xlfn.IFS(LEFT(_xlpm.t,3)="PAS","Saco",LEFT(_xlpm.t,3)="PBT","Big Bag",TRUE,"-"))</f>
        <v>Saco</v>
      </c>
      <c r="Q102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17.68</v>
      </c>
      <c r="R102" s="89">
        <f>IF(_Shipments[[#This Row],[Embalagem]]="Big Bag",_Shipments[[#This Row],[Qtd.]],ROUNDUP(_Shipments[[#This Row],[Qtd.]]/_Shipments[[#This Row],[Qtde. sacos/palete]],0))</f>
        <v>1</v>
      </c>
      <c r="S102" s="26" t="s">
        <v>249</v>
      </c>
      <c r="T102" s="51">
        <v>34996968579</v>
      </c>
      <c r="U102" s="26" t="s">
        <v>250</v>
      </c>
      <c r="V102" s="26" t="s">
        <v>251</v>
      </c>
      <c r="W102" s="26" t="s">
        <v>126</v>
      </c>
    </row>
    <row r="103" spans="1:23" x14ac:dyDescent="0.25">
      <c r="A103" s="47">
        <f>_xlfn.XLOOKUP(_Shipments[[#This Row],[Shipment]],[1]Report!$G:$G,[1]Report!$B:$B,"-")</f>
        <v>46289.416666666664</v>
      </c>
      <c r="B103" s="26">
        <v>7242699</v>
      </c>
      <c r="C103" s="26">
        <v>5541984817</v>
      </c>
      <c r="D103" s="26">
        <v>9</v>
      </c>
      <c r="E103" s="26" t="s">
        <v>36</v>
      </c>
      <c r="F103" s="85">
        <v>36</v>
      </c>
      <c r="G103" s="26" t="s">
        <v>283</v>
      </c>
      <c r="H103" s="26" t="s">
        <v>64</v>
      </c>
      <c r="I103" s="26" t="s">
        <v>65</v>
      </c>
      <c r="J103" s="26">
        <v>36</v>
      </c>
      <c r="K103" s="26">
        <v>7566294</v>
      </c>
      <c r="L103" s="26" t="s">
        <v>291</v>
      </c>
      <c r="M103" s="26" t="s">
        <v>46</v>
      </c>
      <c r="N103" s="48">
        <f>IF(_Shipments[[#This Row],[Embalagem]]="Big Bag",_Shipments[[#This Row],[Qtd.]]*_Shipments[[#This Row],[Qtde. sacos/palete]],_Shipments[[#This Row],[Qtd.]])</f>
        <v>36</v>
      </c>
      <c r="O103" s="49">
        <f>_xlfn.XLOOKUP(_Shipments[[#This Row],[CLN]],[2]Dados!$D:$D,[2]Dados!$R:$R,"-")</f>
        <v>50</v>
      </c>
      <c r="P103" s="49" t="str" cm="1">
        <f t="array" ref="P103">_xlfn.LET(_xlpm.t,_xlfn.XLOOKUP(_Shipments[[#This Row],[CLN]],[2]Dados!$D:$D,[2]Dados!$Q:$Q,"-"),_xlfn.IFS(LEFT(_xlpm.t,3)="PAS","Saco",LEFT(_xlpm.t,3)="PBT","Big Bag",TRUE,"-"))</f>
        <v>Saco</v>
      </c>
      <c r="Q103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19.57</v>
      </c>
      <c r="R103" s="89">
        <f>IF(_Shipments[[#This Row],[Embalagem]]="Big Bag",_Shipments[[#This Row],[Qtd.]],ROUNDUP(_Shipments[[#This Row],[Qtd.]]/_Shipments[[#This Row],[Qtde. sacos/palete]],0))</f>
        <v>1</v>
      </c>
      <c r="S103" s="26" t="s">
        <v>249</v>
      </c>
      <c r="T103" s="51">
        <v>34996968579</v>
      </c>
      <c r="U103" s="26" t="s">
        <v>250</v>
      </c>
      <c r="V103" s="26" t="s">
        <v>251</v>
      </c>
      <c r="W103" s="26" t="s">
        <v>126</v>
      </c>
    </row>
    <row r="104" spans="1:23" x14ac:dyDescent="0.25">
      <c r="A104" s="47">
        <f>_xlfn.XLOOKUP(_Shipments[[#This Row],[Shipment]],[1]Report!$G:$G,[1]Report!$B:$B,"-")</f>
        <v>46289.416666666664</v>
      </c>
      <c r="B104" s="26">
        <v>7242699</v>
      </c>
      <c r="C104" s="26">
        <v>5541984817</v>
      </c>
      <c r="D104" s="26">
        <v>10</v>
      </c>
      <c r="E104" s="26" t="s">
        <v>36</v>
      </c>
      <c r="F104" s="85">
        <v>31</v>
      </c>
      <c r="G104" s="26" t="s">
        <v>283</v>
      </c>
      <c r="H104" s="26" t="s">
        <v>64</v>
      </c>
      <c r="I104" s="26" t="s">
        <v>65</v>
      </c>
      <c r="J104" s="26">
        <v>31</v>
      </c>
      <c r="K104" s="26">
        <v>7566295</v>
      </c>
      <c r="L104" s="26" t="s">
        <v>292</v>
      </c>
      <c r="M104" s="26" t="s">
        <v>46</v>
      </c>
      <c r="N104" s="48">
        <f>IF(_Shipments[[#This Row],[Embalagem]]="Big Bag",_Shipments[[#This Row],[Qtd.]]*_Shipments[[#This Row],[Qtde. sacos/palete]],_Shipments[[#This Row],[Qtd.]])</f>
        <v>31</v>
      </c>
      <c r="O104" s="49">
        <f>_xlfn.XLOOKUP(_Shipments[[#This Row],[CLN]],[2]Dados!$D:$D,[2]Dados!$R:$R,"-")</f>
        <v>50</v>
      </c>
      <c r="P104" s="49" t="str" cm="1">
        <f t="array" ref="P104">_xlfn.LET(_xlpm.t,_xlfn.XLOOKUP(_Shipments[[#This Row],[CLN]],[2]Dados!$D:$D,[2]Dados!$Q:$Q,"-"),_xlfn.IFS(LEFT(_xlpm.t,3)="PAS","Saco",LEFT(_xlpm.t,3)="PBT","Big Bag",TRUE,"-"))</f>
        <v>Saco</v>
      </c>
      <c r="Q104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19.57</v>
      </c>
      <c r="R104" s="89">
        <f>IF(_Shipments[[#This Row],[Embalagem]]="Big Bag",_Shipments[[#This Row],[Qtd.]],ROUNDUP(_Shipments[[#This Row],[Qtd.]]/_Shipments[[#This Row],[Qtde. sacos/palete]],0))</f>
        <v>1</v>
      </c>
      <c r="S104" s="26" t="s">
        <v>249</v>
      </c>
      <c r="T104" s="51">
        <v>34996968579</v>
      </c>
      <c r="U104" s="26" t="s">
        <v>250</v>
      </c>
      <c r="V104" s="26" t="s">
        <v>251</v>
      </c>
      <c r="W104" s="26" t="s">
        <v>126</v>
      </c>
    </row>
    <row r="105" spans="1:23" x14ac:dyDescent="0.25">
      <c r="A105" s="47">
        <f>_xlfn.XLOOKUP(_Shipments[[#This Row],[Shipment]],[1]Report!$G:$G,[1]Report!$B:$B,"-")</f>
        <v>46289.416666666664</v>
      </c>
      <c r="B105" s="26">
        <v>7242699</v>
      </c>
      <c r="C105" s="26">
        <v>5541984817</v>
      </c>
      <c r="D105" s="26">
        <v>11</v>
      </c>
      <c r="E105" s="26" t="s">
        <v>36</v>
      </c>
      <c r="F105" s="85">
        <v>28</v>
      </c>
      <c r="G105" s="26" t="s">
        <v>283</v>
      </c>
      <c r="H105" s="26" t="s">
        <v>64</v>
      </c>
      <c r="I105" s="26" t="s">
        <v>65</v>
      </c>
      <c r="J105" s="26">
        <v>28</v>
      </c>
      <c r="K105" s="26">
        <v>7566297</v>
      </c>
      <c r="L105" s="26" t="s">
        <v>293</v>
      </c>
      <c r="M105" s="26" t="s">
        <v>46</v>
      </c>
      <c r="N105" s="48">
        <f>IF(_Shipments[[#This Row],[Embalagem]]="Big Bag",_Shipments[[#This Row],[Qtd.]]*_Shipments[[#This Row],[Qtde. sacos/palete]],_Shipments[[#This Row],[Qtd.]])</f>
        <v>28</v>
      </c>
      <c r="O105" s="49">
        <f>_xlfn.XLOOKUP(_Shipments[[#This Row],[CLN]],[2]Dados!$D:$D,[2]Dados!$R:$R,"-")</f>
        <v>50</v>
      </c>
      <c r="P105" s="49" t="str" cm="1">
        <f t="array" ref="P105">_xlfn.LET(_xlpm.t,_xlfn.XLOOKUP(_Shipments[[#This Row],[CLN]],[2]Dados!$D:$D,[2]Dados!$Q:$Q,"-"),_xlfn.IFS(LEFT(_xlpm.t,3)="PAS","Saco",LEFT(_xlpm.t,3)="PBT","Big Bag",TRUE,"-"))</f>
        <v>Saco</v>
      </c>
      <c r="Q105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19.649999999999999</v>
      </c>
      <c r="R105" s="89">
        <f>IF(_Shipments[[#This Row],[Embalagem]]="Big Bag",_Shipments[[#This Row],[Qtd.]],ROUNDUP(_Shipments[[#This Row],[Qtd.]]/_Shipments[[#This Row],[Qtde. sacos/palete]],0))</f>
        <v>1</v>
      </c>
      <c r="S105" s="26" t="s">
        <v>249</v>
      </c>
      <c r="T105" s="51">
        <v>34996968579</v>
      </c>
      <c r="U105" s="26" t="s">
        <v>250</v>
      </c>
      <c r="V105" s="26" t="s">
        <v>251</v>
      </c>
      <c r="W105" s="26" t="s">
        <v>126</v>
      </c>
    </row>
    <row r="106" spans="1:23" x14ac:dyDescent="0.25">
      <c r="A106" s="47">
        <f>_xlfn.XLOOKUP(_Shipments[[#This Row],[Shipment]],[1]Report!$G:$G,[1]Report!$B:$B,"-")</f>
        <v>46289.416666666664</v>
      </c>
      <c r="B106" s="26">
        <v>7242699</v>
      </c>
      <c r="C106" s="26">
        <v>5541984817</v>
      </c>
      <c r="D106" s="26">
        <v>12</v>
      </c>
      <c r="E106" s="26" t="s">
        <v>36</v>
      </c>
      <c r="F106" s="85">
        <v>39</v>
      </c>
      <c r="G106" s="26" t="s">
        <v>283</v>
      </c>
      <c r="H106" s="26" t="s">
        <v>64</v>
      </c>
      <c r="I106" s="26" t="s">
        <v>65</v>
      </c>
      <c r="J106" s="26">
        <v>39</v>
      </c>
      <c r="K106" s="26">
        <v>7566351</v>
      </c>
      <c r="L106" s="26" t="s">
        <v>294</v>
      </c>
      <c r="M106" s="26" t="s">
        <v>38</v>
      </c>
      <c r="N106" s="48">
        <f>IF(_Shipments[[#This Row],[Embalagem]]="Big Bag",_Shipments[[#This Row],[Qtd.]]*_Shipments[[#This Row],[Qtde. sacos/palete]],_Shipments[[#This Row],[Qtd.]])</f>
        <v>39</v>
      </c>
      <c r="O106" s="49">
        <f>_xlfn.XLOOKUP(_Shipments[[#This Row],[CLN]],[2]Dados!$D:$D,[2]Dados!$R:$R,"-")</f>
        <v>50</v>
      </c>
      <c r="P106" s="49" t="str" cm="1">
        <f t="array" ref="P106">_xlfn.LET(_xlpm.t,_xlfn.XLOOKUP(_Shipments[[#This Row],[CLN]],[2]Dados!$D:$D,[2]Dados!$Q:$Q,"-"),_xlfn.IFS(LEFT(_xlpm.t,3)="PAS","Saco",LEFT(_xlpm.t,3)="PBT","Big Bag",TRUE,"-"))</f>
        <v>Saco</v>
      </c>
      <c r="Q106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17.68</v>
      </c>
      <c r="R106" s="89">
        <f>IF(_Shipments[[#This Row],[Embalagem]]="Big Bag",_Shipments[[#This Row],[Qtd.]],ROUNDUP(_Shipments[[#This Row],[Qtd.]]/_Shipments[[#This Row],[Qtde. sacos/palete]],0))</f>
        <v>1</v>
      </c>
      <c r="S106" s="26" t="s">
        <v>249</v>
      </c>
      <c r="T106" s="51">
        <v>34996968579</v>
      </c>
      <c r="U106" s="26" t="s">
        <v>250</v>
      </c>
      <c r="V106" s="26" t="s">
        <v>251</v>
      </c>
      <c r="W106" s="26" t="s">
        <v>126</v>
      </c>
    </row>
    <row r="107" spans="1:23" x14ac:dyDescent="0.25">
      <c r="A107" s="47">
        <f>_xlfn.XLOOKUP(_Shipments[[#This Row],[Shipment]],[1]Report!$G:$G,[1]Report!$B:$B,"-")</f>
        <v>46289.416666666664</v>
      </c>
      <c r="B107" s="26">
        <v>7242699</v>
      </c>
      <c r="C107" s="26">
        <v>5541984817</v>
      </c>
      <c r="D107" s="26">
        <v>13</v>
      </c>
      <c r="E107" s="26" t="s">
        <v>36</v>
      </c>
      <c r="F107" s="85">
        <v>34</v>
      </c>
      <c r="G107" s="26" t="s">
        <v>283</v>
      </c>
      <c r="H107" s="26" t="s">
        <v>64</v>
      </c>
      <c r="I107" s="26" t="s">
        <v>65</v>
      </c>
      <c r="J107" s="26">
        <v>34</v>
      </c>
      <c r="K107" s="26">
        <v>7566353</v>
      </c>
      <c r="L107" s="26" t="s">
        <v>295</v>
      </c>
      <c r="M107" s="26" t="s">
        <v>38</v>
      </c>
      <c r="N107" s="48">
        <f>IF(_Shipments[[#This Row],[Embalagem]]="Big Bag",_Shipments[[#This Row],[Qtd.]]*_Shipments[[#This Row],[Qtde. sacos/palete]],_Shipments[[#This Row],[Qtd.]])</f>
        <v>34</v>
      </c>
      <c r="O107" s="49">
        <f>_xlfn.XLOOKUP(_Shipments[[#This Row],[CLN]],[2]Dados!$D:$D,[2]Dados!$R:$R,"-")</f>
        <v>50</v>
      </c>
      <c r="P107" s="49" t="str" cm="1">
        <f t="array" ref="P107">_xlfn.LET(_xlpm.t,_xlfn.XLOOKUP(_Shipments[[#This Row],[CLN]],[2]Dados!$D:$D,[2]Dados!$Q:$Q,"-"),_xlfn.IFS(LEFT(_xlpm.t,3)="PAS","Saco",LEFT(_xlpm.t,3)="PBT","Big Bag",TRUE,"-"))</f>
        <v>Saco</v>
      </c>
      <c r="Q107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17.52</v>
      </c>
      <c r="R107" s="89">
        <f>IF(_Shipments[[#This Row],[Embalagem]]="Big Bag",_Shipments[[#This Row],[Qtd.]],ROUNDUP(_Shipments[[#This Row],[Qtd.]]/_Shipments[[#This Row],[Qtde. sacos/palete]],0))</f>
        <v>1</v>
      </c>
      <c r="S107" s="26" t="s">
        <v>249</v>
      </c>
      <c r="T107" s="51">
        <v>34996968579</v>
      </c>
      <c r="U107" s="26" t="s">
        <v>250</v>
      </c>
      <c r="V107" s="26" t="s">
        <v>251</v>
      </c>
      <c r="W107" s="26" t="s">
        <v>126</v>
      </c>
    </row>
    <row r="108" spans="1:23" x14ac:dyDescent="0.25">
      <c r="A108" s="47">
        <f>_xlfn.XLOOKUP(_Shipments[[#This Row],[Shipment]],[1]Report!$G:$G,[1]Report!$B:$B,"-")</f>
        <v>46289.416666666664</v>
      </c>
      <c r="B108" s="26">
        <v>7242699</v>
      </c>
      <c r="C108" s="26">
        <v>5541984817</v>
      </c>
      <c r="D108" s="26">
        <v>14</v>
      </c>
      <c r="E108" s="26" t="s">
        <v>36</v>
      </c>
      <c r="F108" s="85">
        <v>39</v>
      </c>
      <c r="G108" s="26" t="s">
        <v>283</v>
      </c>
      <c r="H108" s="26" t="s">
        <v>64</v>
      </c>
      <c r="I108" s="26" t="s">
        <v>65</v>
      </c>
      <c r="J108" s="26">
        <v>39</v>
      </c>
      <c r="K108" s="26">
        <v>7566356</v>
      </c>
      <c r="L108" s="26" t="s">
        <v>296</v>
      </c>
      <c r="M108" s="26" t="s">
        <v>38</v>
      </c>
      <c r="N108" s="48">
        <f>IF(_Shipments[[#This Row],[Embalagem]]="Big Bag",_Shipments[[#This Row],[Qtd.]]*_Shipments[[#This Row],[Qtde. sacos/palete]],_Shipments[[#This Row],[Qtd.]])</f>
        <v>39</v>
      </c>
      <c r="O108" s="49">
        <f>_xlfn.XLOOKUP(_Shipments[[#This Row],[CLN]],[2]Dados!$D:$D,[2]Dados!$R:$R,"-")</f>
        <v>60</v>
      </c>
      <c r="P108" s="49" t="str" cm="1">
        <f t="array" ref="P108">_xlfn.LET(_xlpm.t,_xlfn.XLOOKUP(_Shipments[[#This Row],[CLN]],[2]Dados!$D:$D,[2]Dados!$Q:$Q,"-"),_xlfn.IFS(LEFT(_xlpm.t,3)="PAS","Saco",LEFT(_xlpm.t,3)="PBT","Big Bag",TRUE,"-"))</f>
        <v>Saco</v>
      </c>
      <c r="Q108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17.23</v>
      </c>
      <c r="R108" s="89">
        <f>IF(_Shipments[[#This Row],[Embalagem]]="Big Bag",_Shipments[[#This Row],[Qtd.]],ROUNDUP(_Shipments[[#This Row],[Qtd.]]/_Shipments[[#This Row],[Qtde. sacos/palete]],0))</f>
        <v>1</v>
      </c>
      <c r="S108" s="26" t="s">
        <v>249</v>
      </c>
      <c r="T108" s="51">
        <v>34996968579</v>
      </c>
      <c r="U108" s="26" t="s">
        <v>250</v>
      </c>
      <c r="V108" s="26" t="s">
        <v>251</v>
      </c>
      <c r="W108" s="26" t="s">
        <v>126</v>
      </c>
    </row>
    <row r="109" spans="1:23" x14ac:dyDescent="0.25">
      <c r="A109" s="47">
        <f>_xlfn.XLOOKUP(_Shipments[[#This Row],[Shipment]],[1]Report!$G:$G,[1]Report!$B:$B,"-")</f>
        <v>46289.416666666664</v>
      </c>
      <c r="B109" s="26">
        <v>7242699</v>
      </c>
      <c r="C109" s="26">
        <v>5541984817</v>
      </c>
      <c r="D109" s="26">
        <v>15</v>
      </c>
      <c r="E109" s="26" t="s">
        <v>16</v>
      </c>
      <c r="F109" s="85">
        <v>4</v>
      </c>
      <c r="G109" s="26" t="s">
        <v>283</v>
      </c>
      <c r="H109" s="26" t="s">
        <v>64</v>
      </c>
      <c r="I109" s="26" t="s">
        <v>65</v>
      </c>
      <c r="J109" s="26">
        <v>4</v>
      </c>
      <c r="K109" s="26">
        <v>7573704</v>
      </c>
      <c r="L109" s="26" t="s">
        <v>297</v>
      </c>
      <c r="M109" s="26" t="s">
        <v>46</v>
      </c>
      <c r="N109" s="48">
        <f>IF(_Shipments[[#This Row],[Embalagem]]="Big Bag",_Shipments[[#This Row],[Qtd.]]*_Shipments[[#This Row],[Qtde. sacos/palete]],_Shipments[[#This Row],[Qtd.]])</f>
        <v>160</v>
      </c>
      <c r="O109" s="49">
        <f>_xlfn.XLOOKUP(_Shipments[[#This Row],[CLN]],[2]Dados!$D:$D,[2]Dados!$R:$R,"-")</f>
        <v>40</v>
      </c>
      <c r="P109" s="49" t="str" cm="1">
        <f t="array" ref="P109">_xlfn.LET(_xlpm.t,_xlfn.XLOOKUP(_Shipments[[#This Row],[CLN]],[2]Dados!$D:$D,[2]Dados!$Q:$Q,"-"),_xlfn.IFS(LEFT(_xlpm.t,3)="PAS","Saco",LEFT(_xlpm.t,3)="PBT","Big Bag",TRUE,"-"))</f>
        <v>Big Bag</v>
      </c>
      <c r="Q109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786</v>
      </c>
      <c r="R109" s="89">
        <f>IF(_Shipments[[#This Row],[Embalagem]]="Big Bag",_Shipments[[#This Row],[Qtd.]],ROUNDUP(_Shipments[[#This Row],[Qtd.]]/_Shipments[[#This Row],[Qtde. sacos/palete]],0))</f>
        <v>4</v>
      </c>
      <c r="S109" s="26" t="s">
        <v>249</v>
      </c>
      <c r="T109" s="51">
        <v>34996968579</v>
      </c>
      <c r="U109" s="26" t="s">
        <v>250</v>
      </c>
      <c r="V109" s="26" t="s">
        <v>251</v>
      </c>
      <c r="W109" s="26" t="s">
        <v>126</v>
      </c>
    </row>
    <row r="110" spans="1:23" x14ac:dyDescent="0.25">
      <c r="A110" s="47">
        <f>_xlfn.XLOOKUP(_Shipments[[#This Row],[Shipment]],[1]Report!$G:$G,[1]Report!$B:$B,"-")</f>
        <v>46290.333333333336</v>
      </c>
      <c r="B110" s="26">
        <v>7242700</v>
      </c>
      <c r="C110" s="26">
        <v>5541984818</v>
      </c>
      <c r="D110" s="26">
        <v>1</v>
      </c>
      <c r="E110" s="26" t="s">
        <v>16</v>
      </c>
      <c r="F110" s="85">
        <v>20</v>
      </c>
      <c r="G110" s="26" t="s">
        <v>283</v>
      </c>
      <c r="H110" s="26" t="s">
        <v>64</v>
      </c>
      <c r="I110" s="26" t="s">
        <v>65</v>
      </c>
      <c r="J110" s="26">
        <v>20</v>
      </c>
      <c r="K110" s="26">
        <v>7573704</v>
      </c>
      <c r="L110" s="26" t="s">
        <v>297</v>
      </c>
      <c r="M110" s="26" t="s">
        <v>46</v>
      </c>
      <c r="N110" s="48">
        <f>IF(_Shipments[[#This Row],[Embalagem]]="Big Bag",_Shipments[[#This Row],[Qtd.]]*_Shipments[[#This Row],[Qtde. sacos/palete]],_Shipments[[#This Row],[Qtd.]])</f>
        <v>800</v>
      </c>
      <c r="O110" s="49">
        <f>_xlfn.XLOOKUP(_Shipments[[#This Row],[CLN]],[2]Dados!$D:$D,[2]Dados!$R:$R,"-")</f>
        <v>40</v>
      </c>
      <c r="P110" s="49" t="str" cm="1">
        <f t="array" ref="P110">_xlfn.LET(_xlpm.t,_xlfn.XLOOKUP(_Shipments[[#This Row],[CLN]],[2]Dados!$D:$D,[2]Dados!$Q:$Q,"-"),_xlfn.IFS(LEFT(_xlpm.t,3)="PAS","Saco",LEFT(_xlpm.t,3)="PBT","Big Bag",TRUE,"-"))</f>
        <v>Big Bag</v>
      </c>
      <c r="Q110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786</v>
      </c>
      <c r="R110" s="89">
        <f>IF(_Shipments[[#This Row],[Embalagem]]="Big Bag",_Shipments[[#This Row],[Qtd.]],ROUNDUP(_Shipments[[#This Row],[Qtd.]]/_Shipments[[#This Row],[Qtde. sacos/palete]],0))</f>
        <v>20</v>
      </c>
      <c r="S110" s="26" t="s">
        <v>141</v>
      </c>
      <c r="T110" s="51">
        <v>34999810409</v>
      </c>
      <c r="U110" s="26" t="s">
        <v>142</v>
      </c>
      <c r="V110" s="26" t="s">
        <v>143</v>
      </c>
      <c r="W110" s="26" t="s">
        <v>126</v>
      </c>
    </row>
    <row r="111" spans="1:23" x14ac:dyDescent="0.25">
      <c r="A111" s="47">
        <f>_xlfn.XLOOKUP(_Shipments[[#This Row],[Shipment]],[1]Report!$G:$G,[1]Report!$B:$B,"-")</f>
        <v>46289.333333333336</v>
      </c>
      <c r="B111" s="26">
        <v>7242701</v>
      </c>
      <c r="C111" s="26">
        <v>5541989382</v>
      </c>
      <c r="D111" s="26">
        <v>1</v>
      </c>
      <c r="E111" s="26" t="s">
        <v>16</v>
      </c>
      <c r="F111" s="85">
        <v>10</v>
      </c>
      <c r="G111" s="26" t="s">
        <v>283</v>
      </c>
      <c r="H111" s="26" t="s">
        <v>64</v>
      </c>
      <c r="I111" s="26" t="s">
        <v>65</v>
      </c>
      <c r="J111" s="26">
        <v>10</v>
      </c>
      <c r="K111" s="26">
        <v>7573707</v>
      </c>
      <c r="L111" s="26" t="s">
        <v>298</v>
      </c>
      <c r="M111" s="26" t="s">
        <v>38</v>
      </c>
      <c r="N111" s="48">
        <f>IF(_Shipments[[#This Row],[Embalagem]]="Big Bag",_Shipments[[#This Row],[Qtd.]]*_Shipments[[#This Row],[Qtde. sacos/palete]],_Shipments[[#This Row],[Qtd.]])</f>
        <v>400</v>
      </c>
      <c r="O111" s="49">
        <f>_xlfn.XLOOKUP(_Shipments[[#This Row],[CLN]],[2]Dados!$D:$D,[2]Dados!$R:$R,"-")</f>
        <v>40</v>
      </c>
      <c r="P111" s="49" t="str" cm="1">
        <f t="array" ref="P111">_xlfn.LET(_xlpm.t,_xlfn.XLOOKUP(_Shipments[[#This Row],[CLN]],[2]Dados!$D:$D,[2]Dados!$Q:$Q,"-"),_xlfn.IFS(LEFT(_xlpm.t,3)="PAS","Saco",LEFT(_xlpm.t,3)="PBT","Big Bag",TRUE,"-"))</f>
        <v>Big Bag</v>
      </c>
      <c r="Q111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689.2</v>
      </c>
      <c r="R111" s="89">
        <f>IF(_Shipments[[#This Row],[Embalagem]]="Big Bag",_Shipments[[#This Row],[Qtd.]],ROUNDUP(_Shipments[[#This Row],[Qtd.]]/_Shipments[[#This Row],[Qtde. sacos/palete]],0))</f>
        <v>10</v>
      </c>
      <c r="S111" s="26" t="s">
        <v>225</v>
      </c>
      <c r="T111" s="51">
        <v>34991337791</v>
      </c>
      <c r="U111" s="26" t="s">
        <v>120</v>
      </c>
      <c r="V111" s="26" t="s">
        <v>121</v>
      </c>
      <c r="W111" s="26" t="s">
        <v>126</v>
      </c>
    </row>
    <row r="112" spans="1:23" x14ac:dyDescent="0.25">
      <c r="A112" s="47">
        <f>_xlfn.XLOOKUP(_Shipments[[#This Row],[Shipment]],[1]Report!$G:$G,[1]Report!$B:$B,"-")</f>
        <v>46289.333333333336</v>
      </c>
      <c r="B112" s="26">
        <v>7242701</v>
      </c>
      <c r="C112" s="26">
        <v>5541989382</v>
      </c>
      <c r="D112" s="26">
        <v>2</v>
      </c>
      <c r="E112" s="26" t="s">
        <v>299</v>
      </c>
      <c r="F112" s="85">
        <v>11</v>
      </c>
      <c r="G112" s="26" t="s">
        <v>283</v>
      </c>
      <c r="H112" s="26" t="s">
        <v>64</v>
      </c>
      <c r="I112" s="26" t="s">
        <v>65</v>
      </c>
      <c r="J112" s="26">
        <v>11</v>
      </c>
      <c r="K112" s="26">
        <v>7574612</v>
      </c>
      <c r="L112" s="26" t="s">
        <v>304</v>
      </c>
      <c r="M112" s="26" t="s">
        <v>29</v>
      </c>
      <c r="N112" s="48">
        <f>IF(_Shipments[[#This Row],[Embalagem]]="Big Bag",_Shipments[[#This Row],[Qtd.]]*_Shipments[[#This Row],[Qtde. sacos/palete]],_Shipments[[#This Row],[Qtd.]])</f>
        <v>440</v>
      </c>
      <c r="O112" s="49">
        <f>_xlfn.XLOOKUP(_Shipments[[#This Row],[CLN]],[2]Dados!$D:$D,[2]Dados!$R:$R,"-")</f>
        <v>40</v>
      </c>
      <c r="P112" s="49" t="str" cm="1">
        <f t="array" ref="P112">_xlfn.LET(_xlpm.t,_xlfn.XLOOKUP(_Shipments[[#This Row],[CLN]],[2]Dados!$D:$D,[2]Dados!$Q:$Q,"-"),_xlfn.IFS(LEFT(_xlpm.t,3)="PAS","Saco",LEFT(_xlpm.t,3)="PBT","Big Bag",TRUE,"-"))</f>
        <v>Big Bag</v>
      </c>
      <c r="Q112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596</v>
      </c>
      <c r="R112" s="89">
        <f>IF(_Shipments[[#This Row],[Embalagem]]="Big Bag",_Shipments[[#This Row],[Qtd.]],ROUNDUP(_Shipments[[#This Row],[Qtd.]]/_Shipments[[#This Row],[Qtde. sacos/palete]],0))</f>
        <v>11</v>
      </c>
      <c r="S112" s="26" t="s">
        <v>225</v>
      </c>
      <c r="T112" s="51">
        <v>34991337791</v>
      </c>
      <c r="U112" s="26" t="s">
        <v>120</v>
      </c>
      <c r="V112" s="26" t="s">
        <v>121</v>
      </c>
      <c r="W112" s="26" t="s">
        <v>126</v>
      </c>
    </row>
    <row r="113" spans="1:23" x14ac:dyDescent="0.25">
      <c r="A113" s="47">
        <f>_xlfn.XLOOKUP(_Shipments[[#This Row],[Shipment]],[1]Report!$G:$G,[1]Report!$B:$B,"-")</f>
        <v>46289.375</v>
      </c>
      <c r="B113" s="26">
        <v>7242702</v>
      </c>
      <c r="C113" s="26">
        <v>5541989385</v>
      </c>
      <c r="D113" s="26">
        <v>1</v>
      </c>
      <c r="E113" s="26" t="s">
        <v>16</v>
      </c>
      <c r="F113" s="85">
        <v>21</v>
      </c>
      <c r="G113" s="26" t="s">
        <v>283</v>
      </c>
      <c r="H113" s="26" t="s">
        <v>64</v>
      </c>
      <c r="I113" s="26" t="s">
        <v>65</v>
      </c>
      <c r="J113" s="26">
        <v>21</v>
      </c>
      <c r="K113" s="26">
        <v>7573703</v>
      </c>
      <c r="L113" s="26" t="s">
        <v>300</v>
      </c>
      <c r="M113" s="26" t="s">
        <v>46</v>
      </c>
      <c r="N113" s="48">
        <f>IF(_Shipments[[#This Row],[Embalagem]]="Big Bag",_Shipments[[#This Row],[Qtd.]]*_Shipments[[#This Row],[Qtde. sacos/palete]],_Shipments[[#This Row],[Qtd.]])</f>
        <v>840</v>
      </c>
      <c r="O113" s="49">
        <f>_xlfn.XLOOKUP(_Shipments[[#This Row],[CLN]],[2]Dados!$D:$D,[2]Dados!$R:$R,"-")</f>
        <v>40</v>
      </c>
      <c r="P113" s="49" t="str" cm="1">
        <f t="array" ref="P113">_xlfn.LET(_xlpm.t,_xlfn.XLOOKUP(_Shipments[[#This Row],[CLN]],[2]Dados!$D:$D,[2]Dados!$Q:$Q,"-"),_xlfn.IFS(LEFT(_xlpm.t,3)="PAS","Saco",LEFT(_xlpm.t,3)="PBT","Big Bag",TRUE,"-"))</f>
        <v>Big Bag</v>
      </c>
      <c r="Q113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782.8</v>
      </c>
      <c r="R113" s="89">
        <f>IF(_Shipments[[#This Row],[Embalagem]]="Big Bag",_Shipments[[#This Row],[Qtd.]],ROUNDUP(_Shipments[[#This Row],[Qtd.]]/_Shipments[[#This Row],[Qtde. sacos/palete]],0))</f>
        <v>21</v>
      </c>
      <c r="S113" s="26" t="s">
        <v>141</v>
      </c>
      <c r="T113" s="51">
        <v>34999810409</v>
      </c>
      <c r="U113" s="26" t="s">
        <v>142</v>
      </c>
      <c r="V113" s="26" t="s">
        <v>143</v>
      </c>
      <c r="W113" s="26" t="s">
        <v>126</v>
      </c>
    </row>
    <row r="114" spans="1:23" x14ac:dyDescent="0.25">
      <c r="A114" s="47">
        <f>_xlfn.XLOOKUP(_Shipments[[#This Row],[Shipment]],[1]Report!$G:$G,[1]Report!$B:$B,"-")</f>
        <v>46289.375</v>
      </c>
      <c r="B114" s="26">
        <v>7242703</v>
      </c>
      <c r="C114" s="26">
        <v>5541989387</v>
      </c>
      <c r="D114" s="26">
        <v>1</v>
      </c>
      <c r="E114" s="26" t="s">
        <v>16</v>
      </c>
      <c r="F114" s="85">
        <v>20</v>
      </c>
      <c r="G114" s="26" t="s">
        <v>283</v>
      </c>
      <c r="H114" s="26" t="s">
        <v>64</v>
      </c>
      <c r="I114" s="26" t="s">
        <v>65</v>
      </c>
      <c r="J114" s="26">
        <v>20</v>
      </c>
      <c r="K114" s="26">
        <v>7573703</v>
      </c>
      <c r="L114" s="26" t="s">
        <v>300</v>
      </c>
      <c r="M114" s="26" t="s">
        <v>46</v>
      </c>
      <c r="N114" s="48">
        <f>IF(_Shipments[[#This Row],[Embalagem]]="Big Bag",_Shipments[[#This Row],[Qtd.]]*_Shipments[[#This Row],[Qtde. sacos/palete]],_Shipments[[#This Row],[Qtd.]])</f>
        <v>800</v>
      </c>
      <c r="O114" s="49">
        <f>_xlfn.XLOOKUP(_Shipments[[#This Row],[CLN]],[2]Dados!$D:$D,[2]Dados!$R:$R,"-")</f>
        <v>40</v>
      </c>
      <c r="P114" s="49" t="str" cm="1">
        <f t="array" ref="P114">_xlfn.LET(_xlpm.t,_xlfn.XLOOKUP(_Shipments[[#This Row],[CLN]],[2]Dados!$D:$D,[2]Dados!$Q:$Q,"-"),_xlfn.IFS(LEFT(_xlpm.t,3)="PAS","Saco",LEFT(_xlpm.t,3)="PBT","Big Bag",TRUE,"-"))</f>
        <v>Big Bag</v>
      </c>
      <c r="Q114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782.8</v>
      </c>
      <c r="R114" s="89">
        <f>IF(_Shipments[[#This Row],[Embalagem]]="Big Bag",_Shipments[[#This Row],[Qtd.]],ROUNDUP(_Shipments[[#This Row],[Qtd.]]/_Shipments[[#This Row],[Qtde. sacos/palete]],0))</f>
        <v>20</v>
      </c>
      <c r="S114" s="26" t="s">
        <v>136</v>
      </c>
      <c r="T114" s="51">
        <v>34991030020</v>
      </c>
      <c r="U114" s="26" t="s">
        <v>137</v>
      </c>
      <c r="V114" s="26" t="s">
        <v>220</v>
      </c>
      <c r="W114" s="26" t="s">
        <v>126</v>
      </c>
    </row>
    <row r="115" spans="1:23" x14ac:dyDescent="0.25">
      <c r="A115" s="47">
        <f>_xlfn.XLOOKUP(_Shipments[[#This Row],[Shipment]],[1]Report!$G:$G,[1]Report!$B:$B,"-")</f>
        <v>46290.333333333336</v>
      </c>
      <c r="B115" s="26">
        <v>7242704</v>
      </c>
      <c r="C115" s="26">
        <v>5541989390</v>
      </c>
      <c r="D115" s="26">
        <v>1</v>
      </c>
      <c r="E115" s="26" t="s">
        <v>16</v>
      </c>
      <c r="F115" s="85">
        <v>16</v>
      </c>
      <c r="G115" s="26" t="s">
        <v>283</v>
      </c>
      <c r="H115" s="26" t="s">
        <v>64</v>
      </c>
      <c r="I115" s="26" t="s">
        <v>65</v>
      </c>
      <c r="J115" s="26">
        <v>16</v>
      </c>
      <c r="K115" s="26">
        <v>7566367</v>
      </c>
      <c r="L115" s="26" t="s">
        <v>301</v>
      </c>
      <c r="M115" s="26" t="s">
        <v>46</v>
      </c>
      <c r="N115" s="48">
        <f>IF(_Shipments[[#This Row],[Embalagem]]="Big Bag",_Shipments[[#This Row],[Qtd.]]*_Shipments[[#This Row],[Qtde. sacos/palete]],_Shipments[[#This Row],[Qtd.]])</f>
        <v>640</v>
      </c>
      <c r="O115" s="49">
        <f>_xlfn.XLOOKUP(_Shipments[[#This Row],[CLN]],[2]Dados!$D:$D,[2]Dados!$R:$R,"-")</f>
        <v>40</v>
      </c>
      <c r="P115" s="49" t="str" cm="1">
        <f t="array" ref="P115">_xlfn.LET(_xlpm.t,_xlfn.XLOOKUP(_Shipments[[#This Row],[CLN]],[2]Dados!$D:$D,[2]Dados!$Q:$Q,"-"),_xlfn.IFS(LEFT(_xlpm.t,3)="PAS","Saco",LEFT(_xlpm.t,3)="PBT","Big Bag",TRUE,"-"))</f>
        <v>Big Bag</v>
      </c>
      <c r="Q115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782.8</v>
      </c>
      <c r="R115" s="89">
        <f>IF(_Shipments[[#This Row],[Embalagem]]="Big Bag",_Shipments[[#This Row],[Qtd.]],ROUNDUP(_Shipments[[#This Row],[Qtd.]]/_Shipments[[#This Row],[Qtde. sacos/palete]],0))</f>
        <v>16</v>
      </c>
      <c r="S115" s="26" t="s">
        <v>136</v>
      </c>
      <c r="T115" s="51">
        <v>34991030020</v>
      </c>
      <c r="U115" s="26" t="s">
        <v>137</v>
      </c>
      <c r="V115" s="26" t="s">
        <v>220</v>
      </c>
      <c r="W115" s="26" t="s">
        <v>126</v>
      </c>
    </row>
    <row r="116" spans="1:23" x14ac:dyDescent="0.25">
      <c r="A116" s="47">
        <f>_xlfn.XLOOKUP(_Shipments[[#This Row],[Shipment]],[1]Report!$G:$G,[1]Report!$B:$B,"-")</f>
        <v>46290.333333333336</v>
      </c>
      <c r="B116" s="90">
        <v>7242704</v>
      </c>
      <c r="C116" s="26">
        <v>5541989390</v>
      </c>
      <c r="D116" s="26">
        <v>2</v>
      </c>
      <c r="E116" s="26" t="s">
        <v>299</v>
      </c>
      <c r="F116" s="85">
        <v>5</v>
      </c>
      <c r="G116" s="26" t="s">
        <v>283</v>
      </c>
      <c r="H116" s="26" t="s">
        <v>64</v>
      </c>
      <c r="I116" s="26" t="s">
        <v>65</v>
      </c>
      <c r="J116" s="26">
        <v>5</v>
      </c>
      <c r="K116" s="26">
        <v>7573800</v>
      </c>
      <c r="L116" s="26" t="s">
        <v>303</v>
      </c>
      <c r="M116" s="26" t="s">
        <v>29</v>
      </c>
      <c r="N116" s="48">
        <f>IF(_Shipments[[#This Row],[Embalagem]]="Big Bag",_Shipments[[#This Row],[Qtd.]]*_Shipments[[#This Row],[Qtde. sacos/palete]],_Shipments[[#This Row],[Qtd.]])</f>
        <v>200</v>
      </c>
      <c r="O116" s="49">
        <f>_xlfn.XLOOKUP(_Shipments[[#This Row],[CLN]],[2]Dados!$D:$D,[2]Dados!$R:$R,"-")</f>
        <v>40</v>
      </c>
      <c r="P116" s="49" t="str" cm="1">
        <f t="array" ref="P116">_xlfn.LET(_xlpm.t,_xlfn.XLOOKUP(_Shipments[[#This Row],[CLN]],[2]Dados!$D:$D,[2]Dados!$Q:$Q,"-"),_xlfn.IFS(LEFT(_xlpm.t,3)="PAS","Saco",LEFT(_xlpm.t,3)="PBT","Big Bag",TRUE,"-"))</f>
        <v>Big Bag</v>
      </c>
      <c r="Q116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567.6</v>
      </c>
      <c r="R116" s="89">
        <f>IF(_Shipments[[#This Row],[Embalagem]]="Big Bag",_Shipments[[#This Row],[Qtd.]],ROUNDUP(_Shipments[[#This Row],[Qtd.]]/_Shipments[[#This Row],[Qtde. sacos/palete]],0))</f>
        <v>5</v>
      </c>
      <c r="S116" s="26" t="s">
        <v>136</v>
      </c>
      <c r="T116" s="51">
        <v>34991030020</v>
      </c>
      <c r="U116" s="26" t="s">
        <v>137</v>
      </c>
      <c r="V116" s="26" t="s">
        <v>220</v>
      </c>
      <c r="W116" s="26" t="s">
        <v>126</v>
      </c>
    </row>
    <row r="117" spans="1:23" x14ac:dyDescent="0.25">
      <c r="A117" s="47">
        <f>_xlfn.XLOOKUP(_Shipments[[#This Row],[Shipment]],[1]Report!$G:$G,[1]Report!$B:$B,"-")</f>
        <v>46279.333333333336</v>
      </c>
      <c r="B117" s="90">
        <v>7242802</v>
      </c>
      <c r="C117" s="26">
        <v>5541984864</v>
      </c>
      <c r="D117" s="26">
        <v>1</v>
      </c>
      <c r="E117" s="26" t="s">
        <v>16</v>
      </c>
      <c r="F117" s="85">
        <v>21</v>
      </c>
      <c r="G117" s="26" t="s">
        <v>283</v>
      </c>
      <c r="H117" s="26" t="s">
        <v>64</v>
      </c>
      <c r="I117" s="26" t="s">
        <v>65</v>
      </c>
      <c r="J117" s="26">
        <v>21</v>
      </c>
      <c r="K117" s="26">
        <v>7518147</v>
      </c>
      <c r="L117" s="26" t="s">
        <v>226</v>
      </c>
      <c r="M117" s="26" t="s">
        <v>46</v>
      </c>
      <c r="N117" s="48">
        <f>IF(_Shipments[[#This Row],[Embalagem]]="Big Bag",_Shipments[[#This Row],[Qtd.]]*_Shipments[[#This Row],[Qtde. sacos/palete]],_Shipments[[#This Row],[Qtd.]])</f>
        <v>840</v>
      </c>
      <c r="O117" s="49">
        <f>_xlfn.XLOOKUP(_Shipments[[#This Row],[CLN]],[2]Dados!$D:$D,[2]Dados!$R:$R,"-")</f>
        <v>40</v>
      </c>
      <c r="P117" s="49" t="str" cm="1">
        <f t="array" ref="P117">_xlfn.LET(_xlpm.t,_xlfn.XLOOKUP(_Shipments[[#This Row],[CLN]],[2]Dados!$D:$D,[2]Dados!$Q:$Q,"-"),_xlfn.IFS(LEFT(_xlpm.t,3)="PAS","Saco",LEFT(_xlpm.t,3)="PBT","Big Bag",TRUE,"-"))</f>
        <v>Big Bag</v>
      </c>
      <c r="Q117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692.8</v>
      </c>
      <c r="R117" s="89">
        <f>IF(_Shipments[[#This Row],[Embalagem]]="Big Bag",_Shipments[[#This Row],[Qtd.]],ROUNDUP(_Shipments[[#This Row],[Qtd.]]/_Shipments[[#This Row],[Qtde. sacos/palete]],0))</f>
        <v>21</v>
      </c>
      <c r="S117" s="26" t="s">
        <v>136</v>
      </c>
      <c r="T117" s="51">
        <v>34991030020</v>
      </c>
      <c r="U117" s="26" t="s">
        <v>137</v>
      </c>
      <c r="V117" s="26" t="s">
        <v>220</v>
      </c>
      <c r="W117" s="26" t="s">
        <v>126</v>
      </c>
    </row>
    <row r="118" spans="1:23" x14ac:dyDescent="0.25">
      <c r="A118" s="47">
        <f>_xlfn.XLOOKUP(_Shipments[[#This Row],[Shipment]],[1]Report!$G:$G,[1]Report!$B:$B,"-")</f>
        <v>46279.333333333336</v>
      </c>
      <c r="B118" s="90">
        <v>7242804</v>
      </c>
      <c r="C118" s="26">
        <v>5541984867</v>
      </c>
      <c r="D118" s="26">
        <v>1</v>
      </c>
      <c r="E118" s="26" t="s">
        <v>16</v>
      </c>
      <c r="F118" s="85">
        <v>21</v>
      </c>
      <c r="G118" s="26" t="s">
        <v>283</v>
      </c>
      <c r="H118" s="26" t="s">
        <v>64</v>
      </c>
      <c r="I118" s="26" t="s">
        <v>65</v>
      </c>
      <c r="J118" s="26">
        <v>21</v>
      </c>
      <c r="K118" s="26">
        <v>7561715</v>
      </c>
      <c r="L118" s="26" t="s">
        <v>227</v>
      </c>
      <c r="M118" s="26" t="s">
        <v>38</v>
      </c>
      <c r="N118" s="48">
        <f>IF(_Shipments[[#This Row],[Embalagem]]="Big Bag",_Shipments[[#This Row],[Qtd.]]*_Shipments[[#This Row],[Qtde. sacos/palete]],_Shipments[[#This Row],[Qtd.]])</f>
        <v>840</v>
      </c>
      <c r="O118" s="49">
        <f>_xlfn.XLOOKUP(_Shipments[[#This Row],[CLN]],[2]Dados!$D:$D,[2]Dados!$R:$R,"-")</f>
        <v>40</v>
      </c>
      <c r="P118" s="49" t="str" cm="1">
        <f t="array" ref="P118">_xlfn.LET(_xlpm.t,_xlfn.XLOOKUP(_Shipments[[#This Row],[CLN]],[2]Dados!$D:$D,[2]Dados!$Q:$Q,"-"),_xlfn.IFS(LEFT(_xlpm.t,3)="PAS","Saco",LEFT(_xlpm.t,3)="PBT","Big Bag",TRUE,"-"))</f>
        <v>Big Bag</v>
      </c>
      <c r="Q118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598.80000000000007</v>
      </c>
      <c r="R118" s="89">
        <f>IF(_Shipments[[#This Row],[Embalagem]]="Big Bag",_Shipments[[#This Row],[Qtd.]],ROUNDUP(_Shipments[[#This Row],[Qtd.]]/_Shipments[[#This Row],[Qtde. sacos/palete]],0))</f>
        <v>21</v>
      </c>
      <c r="S118" s="26" t="s">
        <v>128</v>
      </c>
      <c r="T118" s="51">
        <v>34997330803</v>
      </c>
      <c r="U118" s="26" t="s">
        <v>129</v>
      </c>
      <c r="V118" s="26" t="s">
        <v>130</v>
      </c>
      <c r="W118" s="26" t="s">
        <v>126</v>
      </c>
    </row>
    <row r="119" spans="1:23" x14ac:dyDescent="0.25">
      <c r="A119" s="47">
        <f>_xlfn.XLOOKUP(_Shipments[[#This Row],[Shipment]],[1]Report!$G:$G,[1]Report!$B:$B,"-")</f>
        <v>46279.375</v>
      </c>
      <c r="B119" s="90">
        <v>7242805</v>
      </c>
      <c r="C119" s="26">
        <v>5541984868</v>
      </c>
      <c r="D119" s="26">
        <v>1</v>
      </c>
      <c r="E119" s="26" t="s">
        <v>16</v>
      </c>
      <c r="F119" s="85">
        <v>13</v>
      </c>
      <c r="G119" s="26" t="s">
        <v>283</v>
      </c>
      <c r="H119" s="26" t="s">
        <v>64</v>
      </c>
      <c r="I119" s="26" t="s">
        <v>65</v>
      </c>
      <c r="J119" s="26">
        <v>13</v>
      </c>
      <c r="K119" s="26">
        <v>7561715</v>
      </c>
      <c r="L119" s="26" t="s">
        <v>227</v>
      </c>
      <c r="M119" s="26" t="s">
        <v>38</v>
      </c>
      <c r="N119" s="48">
        <f>IF(_Shipments[[#This Row],[Embalagem]]="Big Bag",_Shipments[[#This Row],[Qtd.]]*_Shipments[[#This Row],[Qtde. sacos/palete]],_Shipments[[#This Row],[Qtd.]])</f>
        <v>520</v>
      </c>
      <c r="O119" s="49">
        <f>_xlfn.XLOOKUP(_Shipments[[#This Row],[CLN]],[2]Dados!$D:$D,[2]Dados!$R:$R,"-")</f>
        <v>40</v>
      </c>
      <c r="P119" s="49" t="str" cm="1">
        <f t="array" ref="P119">_xlfn.LET(_xlpm.t,_xlfn.XLOOKUP(_Shipments[[#This Row],[CLN]],[2]Dados!$D:$D,[2]Dados!$Q:$Q,"-"),_xlfn.IFS(LEFT(_xlpm.t,3)="PAS","Saco",LEFT(_xlpm.t,3)="PBT","Big Bag",TRUE,"-"))</f>
        <v>Big Bag</v>
      </c>
      <c r="Q119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598.80000000000007</v>
      </c>
      <c r="R119" s="89">
        <f>IF(_Shipments[[#This Row],[Embalagem]]="Big Bag",_Shipments[[#This Row],[Qtd.]],ROUNDUP(_Shipments[[#This Row],[Qtd.]]/_Shipments[[#This Row],[Qtde. sacos/palete]],0))</f>
        <v>13</v>
      </c>
      <c r="S119" s="26" t="s">
        <v>225</v>
      </c>
      <c r="T119" s="51">
        <v>34991337791</v>
      </c>
      <c r="U119" s="26" t="s">
        <v>120</v>
      </c>
      <c r="V119" s="26" t="s">
        <v>121</v>
      </c>
      <c r="W119" s="26" t="s">
        <v>126</v>
      </c>
    </row>
    <row r="120" spans="1:23" x14ac:dyDescent="0.25">
      <c r="A120" s="47">
        <f>_xlfn.XLOOKUP(_Shipments[[#This Row],[Shipment]],[1]Report!$G:$G,[1]Report!$B:$B,"-")</f>
        <v>46279.375</v>
      </c>
      <c r="B120" s="90">
        <v>7242805</v>
      </c>
      <c r="C120" s="26">
        <v>5541984868</v>
      </c>
      <c r="D120" s="26">
        <v>2</v>
      </c>
      <c r="E120" s="26" t="s">
        <v>16</v>
      </c>
      <c r="F120" s="85">
        <v>7</v>
      </c>
      <c r="G120" s="26" t="s">
        <v>283</v>
      </c>
      <c r="H120" s="26" t="s">
        <v>64</v>
      </c>
      <c r="I120" s="26" t="s">
        <v>65</v>
      </c>
      <c r="J120" s="26">
        <v>7</v>
      </c>
      <c r="K120" s="26">
        <v>7518153</v>
      </c>
      <c r="L120" s="26" t="s">
        <v>228</v>
      </c>
      <c r="M120" s="26" t="s">
        <v>46</v>
      </c>
      <c r="N120" s="48">
        <f>IF(_Shipments[[#This Row],[Embalagem]]="Big Bag",_Shipments[[#This Row],[Qtd.]]*_Shipments[[#This Row],[Qtde. sacos/palete]],_Shipments[[#This Row],[Qtd.]])</f>
        <v>280</v>
      </c>
      <c r="O120" s="49">
        <f>_xlfn.XLOOKUP(_Shipments[[#This Row],[CLN]],[2]Dados!$D:$D,[2]Dados!$R:$R,"-")</f>
        <v>40</v>
      </c>
      <c r="P120" s="49" t="str" cm="1">
        <f t="array" ref="P120">_xlfn.LET(_xlpm.t,_xlfn.XLOOKUP(_Shipments[[#This Row],[CLN]],[2]Dados!$D:$D,[2]Dados!$Q:$Q,"-"),_xlfn.IFS(LEFT(_xlpm.t,3)="PAS","Saco",LEFT(_xlpm.t,3)="PBT","Big Bag",TRUE,"-"))</f>
        <v>Big Bag</v>
      </c>
      <c r="Q120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796.4</v>
      </c>
      <c r="R120" s="89">
        <f>IF(_Shipments[[#This Row],[Embalagem]]="Big Bag",_Shipments[[#This Row],[Qtd.]],ROUNDUP(_Shipments[[#This Row],[Qtd.]]/_Shipments[[#This Row],[Qtde. sacos/palete]],0))</f>
        <v>7</v>
      </c>
      <c r="S120" s="26" t="s">
        <v>225</v>
      </c>
      <c r="T120" s="51">
        <v>34991337791</v>
      </c>
      <c r="U120" s="26" t="s">
        <v>120</v>
      </c>
      <c r="V120" s="26" t="s">
        <v>121</v>
      </c>
      <c r="W120" s="26" t="s">
        <v>126</v>
      </c>
    </row>
    <row r="121" spans="1:23" x14ac:dyDescent="0.25">
      <c r="A121" s="47">
        <f>_xlfn.XLOOKUP(_Shipments[[#This Row],[Shipment]],[1]Report!$G:$G,[1]Report!$B:$B,"-")</f>
        <v>46279.375</v>
      </c>
      <c r="B121" s="90">
        <v>7242807</v>
      </c>
      <c r="C121" s="26">
        <v>5541984869</v>
      </c>
      <c r="D121" s="26">
        <v>1</v>
      </c>
      <c r="E121" s="26" t="s">
        <v>16</v>
      </c>
      <c r="F121" s="85">
        <v>21</v>
      </c>
      <c r="G121" s="26" t="s">
        <v>283</v>
      </c>
      <c r="H121" s="26" t="s">
        <v>64</v>
      </c>
      <c r="I121" s="26" t="s">
        <v>65</v>
      </c>
      <c r="J121" s="26">
        <v>21</v>
      </c>
      <c r="K121" s="26">
        <v>7518153</v>
      </c>
      <c r="L121" s="26" t="s">
        <v>228</v>
      </c>
      <c r="M121" s="26" t="s">
        <v>46</v>
      </c>
      <c r="N121" s="48">
        <f>IF(_Shipments[[#This Row],[Embalagem]]="Big Bag",_Shipments[[#This Row],[Qtd.]]*_Shipments[[#This Row],[Qtde. sacos/palete]],_Shipments[[#This Row],[Qtd.]])</f>
        <v>840</v>
      </c>
      <c r="O121" s="49">
        <f>_xlfn.XLOOKUP(_Shipments[[#This Row],[CLN]],[2]Dados!$D:$D,[2]Dados!$R:$R,"-")</f>
        <v>40</v>
      </c>
      <c r="P121" s="49" t="str" cm="1">
        <f t="array" ref="P121">_xlfn.LET(_xlpm.t,_xlfn.XLOOKUP(_Shipments[[#This Row],[CLN]],[2]Dados!$D:$D,[2]Dados!$Q:$Q,"-"),_xlfn.IFS(LEFT(_xlpm.t,3)="PAS","Saco",LEFT(_xlpm.t,3)="PBT","Big Bag",TRUE,"-"))</f>
        <v>Big Bag</v>
      </c>
      <c r="Q121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796.4</v>
      </c>
      <c r="R121" s="89">
        <f>IF(_Shipments[[#This Row],[Embalagem]]="Big Bag",_Shipments[[#This Row],[Qtd.]],ROUNDUP(_Shipments[[#This Row],[Qtd.]]/_Shipments[[#This Row],[Qtde. sacos/palete]],0))</f>
        <v>21</v>
      </c>
      <c r="S121" s="26" t="s">
        <v>138</v>
      </c>
      <c r="T121" s="51">
        <v>34991718554</v>
      </c>
      <c r="U121" s="26" t="s">
        <v>139</v>
      </c>
      <c r="V121" s="26" t="s">
        <v>140</v>
      </c>
      <c r="W121" s="26" t="s">
        <v>126</v>
      </c>
    </row>
    <row r="122" spans="1:23" x14ac:dyDescent="0.25">
      <c r="A122" s="47">
        <f>_xlfn.XLOOKUP(_Shipments[[#This Row],[Shipment]],[1]Report!$G:$G,[1]Report!$B:$B,"-")</f>
        <v>46280.333333333336</v>
      </c>
      <c r="B122" s="90">
        <v>7242808</v>
      </c>
      <c r="C122" s="26">
        <v>5541984875</v>
      </c>
      <c r="D122" s="26">
        <v>1</v>
      </c>
      <c r="E122" s="26" t="s">
        <v>16</v>
      </c>
      <c r="F122" s="85">
        <v>9</v>
      </c>
      <c r="G122" s="26" t="s">
        <v>283</v>
      </c>
      <c r="H122" s="26" t="s">
        <v>64</v>
      </c>
      <c r="I122" s="26" t="s">
        <v>65</v>
      </c>
      <c r="J122" s="26">
        <v>9</v>
      </c>
      <c r="K122" s="26">
        <v>7518153</v>
      </c>
      <c r="L122" s="26" t="s">
        <v>228</v>
      </c>
      <c r="M122" s="26" t="s">
        <v>46</v>
      </c>
      <c r="N122" s="48">
        <f>IF(_Shipments[[#This Row],[Embalagem]]="Big Bag",_Shipments[[#This Row],[Qtd.]]*_Shipments[[#This Row],[Qtde. sacos/palete]],_Shipments[[#This Row],[Qtd.]])</f>
        <v>360</v>
      </c>
      <c r="O122" s="49">
        <f>_xlfn.XLOOKUP(_Shipments[[#This Row],[CLN]],[2]Dados!$D:$D,[2]Dados!$R:$R,"-")</f>
        <v>40</v>
      </c>
      <c r="P122" s="49" t="str" cm="1">
        <f t="array" ref="P122">_xlfn.LET(_xlpm.t,_xlfn.XLOOKUP(_Shipments[[#This Row],[CLN]],[2]Dados!$D:$D,[2]Dados!$Q:$Q,"-"),_xlfn.IFS(LEFT(_xlpm.t,3)="PAS","Saco",LEFT(_xlpm.t,3)="PBT","Big Bag",TRUE,"-"))</f>
        <v>Big Bag</v>
      </c>
      <c r="Q122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796.4</v>
      </c>
      <c r="R122" s="89">
        <f>IF(_Shipments[[#This Row],[Embalagem]]="Big Bag",_Shipments[[#This Row],[Qtd.]],ROUNDUP(_Shipments[[#This Row],[Qtd.]]/_Shipments[[#This Row],[Qtde. sacos/palete]],0))</f>
        <v>9</v>
      </c>
      <c r="S122" s="26" t="s">
        <v>245</v>
      </c>
      <c r="T122" s="51" t="s">
        <v>248</v>
      </c>
      <c r="U122" s="26" t="s">
        <v>246</v>
      </c>
      <c r="V122" s="26" t="s">
        <v>247</v>
      </c>
      <c r="W122" s="26" t="s">
        <v>126</v>
      </c>
    </row>
    <row r="123" spans="1:23" x14ac:dyDescent="0.25">
      <c r="A123" s="47">
        <f>_xlfn.XLOOKUP(_Shipments[[#This Row],[Shipment]],[1]Report!$G:$G,[1]Report!$B:$B,"-")</f>
        <v>46280.333333333336</v>
      </c>
      <c r="B123" s="90">
        <v>7242808</v>
      </c>
      <c r="C123" s="26">
        <v>5541984875</v>
      </c>
      <c r="D123" s="26">
        <v>2</v>
      </c>
      <c r="E123" s="26" t="s">
        <v>16</v>
      </c>
      <c r="F123" s="85">
        <v>12</v>
      </c>
      <c r="G123" s="26" t="s">
        <v>283</v>
      </c>
      <c r="H123" s="26" t="s">
        <v>64</v>
      </c>
      <c r="I123" s="26" t="s">
        <v>65</v>
      </c>
      <c r="J123" s="26">
        <v>12</v>
      </c>
      <c r="K123" s="26">
        <v>7518161</v>
      </c>
      <c r="L123" s="26" t="s">
        <v>229</v>
      </c>
      <c r="M123" s="26" t="s">
        <v>46</v>
      </c>
      <c r="N123" s="48">
        <f>IF(_Shipments[[#This Row],[Embalagem]]="Big Bag",_Shipments[[#This Row],[Qtd.]]*_Shipments[[#This Row],[Qtde. sacos/palete]],_Shipments[[#This Row],[Qtd.]])</f>
        <v>480</v>
      </c>
      <c r="O123" s="49">
        <f>_xlfn.XLOOKUP(_Shipments[[#This Row],[CLN]],[2]Dados!$D:$D,[2]Dados!$R:$R,"-")</f>
        <v>40</v>
      </c>
      <c r="P123" s="49" t="str" cm="1">
        <f t="array" ref="P123">_xlfn.LET(_xlpm.t,_xlfn.XLOOKUP(_Shipments[[#This Row],[CLN]],[2]Dados!$D:$D,[2]Dados!$Q:$Q,"-"),_xlfn.IFS(LEFT(_xlpm.t,3)="PAS","Saco",LEFT(_xlpm.t,3)="PBT","Big Bag",TRUE,"-"))</f>
        <v>Big Bag</v>
      </c>
      <c r="Q123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788</v>
      </c>
      <c r="R123" s="89">
        <f>IF(_Shipments[[#This Row],[Embalagem]]="Big Bag",_Shipments[[#This Row],[Qtd.]],ROUNDUP(_Shipments[[#This Row],[Qtd.]]/_Shipments[[#This Row],[Qtde. sacos/palete]],0))</f>
        <v>12</v>
      </c>
      <c r="S123" s="26" t="s">
        <v>245</v>
      </c>
      <c r="T123" s="51" t="s">
        <v>248</v>
      </c>
      <c r="U123" s="26" t="s">
        <v>246</v>
      </c>
      <c r="V123" s="26" t="s">
        <v>247</v>
      </c>
      <c r="W123" s="26" t="s">
        <v>126</v>
      </c>
    </row>
    <row r="124" spans="1:23" x14ac:dyDescent="0.25">
      <c r="A124" s="47">
        <f>_xlfn.XLOOKUP(_Shipments[[#This Row],[Shipment]],[1]Report!$G:$G,[1]Report!$B:$B,"-")</f>
        <v>46280.333333333336</v>
      </c>
      <c r="B124" s="26">
        <v>7242811</v>
      </c>
      <c r="C124" s="26">
        <v>5541984876</v>
      </c>
      <c r="D124" s="26">
        <v>1</v>
      </c>
      <c r="E124" s="26" t="s">
        <v>16</v>
      </c>
      <c r="F124" s="85">
        <v>20</v>
      </c>
      <c r="G124" s="26" t="s">
        <v>283</v>
      </c>
      <c r="H124" s="26" t="s">
        <v>64</v>
      </c>
      <c r="I124" s="26" t="s">
        <v>65</v>
      </c>
      <c r="J124" s="26">
        <v>20</v>
      </c>
      <c r="K124" s="26">
        <v>7518161</v>
      </c>
      <c r="L124" s="26" t="s">
        <v>229</v>
      </c>
      <c r="M124" s="26" t="s">
        <v>46</v>
      </c>
      <c r="N124" s="48">
        <f>IF(_Shipments[[#This Row],[Embalagem]]="Big Bag",_Shipments[[#This Row],[Qtd.]]*_Shipments[[#This Row],[Qtde. sacos/palete]],_Shipments[[#This Row],[Qtd.]])</f>
        <v>800</v>
      </c>
      <c r="O124" s="49">
        <f>_xlfn.XLOOKUP(_Shipments[[#This Row],[CLN]],[2]Dados!$D:$D,[2]Dados!$R:$R,"-")</f>
        <v>40</v>
      </c>
      <c r="P124" s="49" t="str" cm="1">
        <f t="array" ref="P124">_xlfn.LET(_xlpm.t,_xlfn.XLOOKUP(_Shipments[[#This Row],[CLN]],[2]Dados!$D:$D,[2]Dados!$Q:$Q,"-"),_xlfn.IFS(LEFT(_xlpm.t,3)="PAS","Saco",LEFT(_xlpm.t,3)="PBT","Big Bag",TRUE,"-"))</f>
        <v>Big Bag</v>
      </c>
      <c r="Q124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788</v>
      </c>
      <c r="R124" s="89">
        <f>IF(_Shipments[[#This Row],[Embalagem]]="Big Bag",_Shipments[[#This Row],[Qtd.]],ROUNDUP(_Shipments[[#This Row],[Qtd.]]/_Shipments[[#This Row],[Qtde. sacos/palete]],0))</f>
        <v>20</v>
      </c>
      <c r="S124" s="26" t="s">
        <v>241</v>
      </c>
      <c r="T124" s="51" t="s">
        <v>244</v>
      </c>
      <c r="U124" s="26" t="s">
        <v>242</v>
      </c>
      <c r="V124" s="26" t="s">
        <v>243</v>
      </c>
      <c r="W124" s="26" t="s">
        <v>126</v>
      </c>
    </row>
    <row r="125" spans="1:23" x14ac:dyDescent="0.25">
      <c r="A125" s="47">
        <f>_xlfn.XLOOKUP(_Shipments[[#This Row],[Shipment]],[1]Report!$G:$G,[1]Report!$B:$B,"-")</f>
        <v>46280.375</v>
      </c>
      <c r="B125" s="26">
        <v>7242816</v>
      </c>
      <c r="C125" s="26">
        <v>5541984880</v>
      </c>
      <c r="D125" s="26">
        <v>1</v>
      </c>
      <c r="E125" s="26" t="s">
        <v>16</v>
      </c>
      <c r="F125" s="85">
        <v>21</v>
      </c>
      <c r="G125" s="26" t="s">
        <v>283</v>
      </c>
      <c r="H125" s="26" t="s">
        <v>64</v>
      </c>
      <c r="I125" s="26" t="s">
        <v>65</v>
      </c>
      <c r="J125" s="26">
        <v>21</v>
      </c>
      <c r="K125" s="26">
        <v>7561729</v>
      </c>
      <c r="L125" s="26" t="s">
        <v>230</v>
      </c>
      <c r="M125" s="26" t="s">
        <v>38</v>
      </c>
      <c r="N125" s="48">
        <f>IF(_Shipments[[#This Row],[Embalagem]]="Big Bag",_Shipments[[#This Row],[Qtd.]]*_Shipments[[#This Row],[Qtde. sacos/palete]],_Shipments[[#This Row],[Qtd.]])</f>
        <v>840</v>
      </c>
      <c r="O125" s="49">
        <f>_xlfn.XLOOKUP(_Shipments[[#This Row],[CLN]],[2]Dados!$D:$D,[2]Dados!$R:$R,"-")</f>
        <v>40</v>
      </c>
      <c r="P125" s="49" t="str" cm="1">
        <f t="array" ref="P125">_xlfn.LET(_xlpm.t,_xlfn.XLOOKUP(_Shipments[[#This Row],[CLN]],[2]Dados!$D:$D,[2]Dados!$Q:$Q,"-"),_xlfn.IFS(LEFT(_xlpm.t,3)="PAS","Saco",LEFT(_xlpm.t,3)="PBT","Big Bag",TRUE,"-"))</f>
        <v>Big Bag</v>
      </c>
      <c r="Q125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698.8</v>
      </c>
      <c r="R125" s="89">
        <f>IF(_Shipments[[#This Row],[Embalagem]]="Big Bag",_Shipments[[#This Row],[Qtd.]],ROUNDUP(_Shipments[[#This Row],[Qtd.]]/_Shipments[[#This Row],[Qtde. sacos/palete]],0))</f>
        <v>21</v>
      </c>
      <c r="S125" s="26" t="s">
        <v>225</v>
      </c>
      <c r="T125" s="51">
        <v>34991337791</v>
      </c>
      <c r="U125" s="26" t="s">
        <v>120</v>
      </c>
      <c r="V125" s="26" t="s">
        <v>121</v>
      </c>
      <c r="W125" s="26" t="s">
        <v>126</v>
      </c>
    </row>
    <row r="126" spans="1:23" x14ac:dyDescent="0.25">
      <c r="A126" s="47">
        <f>_xlfn.XLOOKUP(_Shipments[[#This Row],[Shipment]],[1]Report!$G:$G,[1]Report!$B:$B,"-")</f>
        <v>46280.375</v>
      </c>
      <c r="B126" s="26">
        <v>7242819</v>
      </c>
      <c r="C126" s="26">
        <v>5541984881</v>
      </c>
      <c r="D126" s="26">
        <v>1</v>
      </c>
      <c r="E126" s="26" t="s">
        <v>16</v>
      </c>
      <c r="F126" s="85">
        <v>5</v>
      </c>
      <c r="G126" s="26" t="s">
        <v>283</v>
      </c>
      <c r="H126" s="26" t="s">
        <v>64</v>
      </c>
      <c r="I126" s="26" t="s">
        <v>65</v>
      </c>
      <c r="J126" s="26">
        <v>5</v>
      </c>
      <c r="K126" s="26">
        <v>7561729</v>
      </c>
      <c r="L126" s="26" t="s">
        <v>230</v>
      </c>
      <c r="M126" s="26" t="s">
        <v>38</v>
      </c>
      <c r="N126" s="48">
        <f>IF(_Shipments[[#This Row],[Embalagem]]="Big Bag",_Shipments[[#This Row],[Qtd.]]*_Shipments[[#This Row],[Qtde. sacos/palete]],_Shipments[[#This Row],[Qtd.]])</f>
        <v>200</v>
      </c>
      <c r="O126" s="49">
        <f>_xlfn.XLOOKUP(_Shipments[[#This Row],[CLN]],[2]Dados!$D:$D,[2]Dados!$R:$R,"-")</f>
        <v>40</v>
      </c>
      <c r="P126" s="49" t="str" cm="1">
        <f t="array" ref="P126">_xlfn.LET(_xlpm.t,_xlfn.XLOOKUP(_Shipments[[#This Row],[CLN]],[2]Dados!$D:$D,[2]Dados!$Q:$Q,"-"),_xlfn.IFS(LEFT(_xlpm.t,3)="PAS","Saco",LEFT(_xlpm.t,3)="PBT","Big Bag",TRUE,"-"))</f>
        <v>Big Bag</v>
      </c>
      <c r="Q126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698.8</v>
      </c>
      <c r="R126" s="89">
        <f>IF(_Shipments[[#This Row],[Embalagem]]="Big Bag",_Shipments[[#This Row],[Qtd.]],ROUNDUP(_Shipments[[#This Row],[Qtd.]]/_Shipments[[#This Row],[Qtde. sacos/palete]],0))</f>
        <v>5</v>
      </c>
      <c r="S126" s="26" t="s">
        <v>141</v>
      </c>
      <c r="T126" s="51">
        <v>34999810409</v>
      </c>
      <c r="U126" s="26" t="s">
        <v>142</v>
      </c>
      <c r="V126" s="26" t="s">
        <v>143</v>
      </c>
      <c r="W126" s="26" t="s">
        <v>126</v>
      </c>
    </row>
    <row r="127" spans="1:23" x14ac:dyDescent="0.25">
      <c r="A127" s="47">
        <f>_xlfn.XLOOKUP(_Shipments[[#This Row],[Shipment]],[1]Report!$G:$G,[1]Report!$B:$B,"-")</f>
        <v>46280.375</v>
      </c>
      <c r="B127" s="26">
        <v>7242819</v>
      </c>
      <c r="C127" s="26">
        <v>5541984881</v>
      </c>
      <c r="D127" s="26">
        <v>2</v>
      </c>
      <c r="E127" s="26" t="s">
        <v>16</v>
      </c>
      <c r="F127" s="85">
        <v>16</v>
      </c>
      <c r="G127" s="26" t="s">
        <v>283</v>
      </c>
      <c r="H127" s="26" t="s">
        <v>64</v>
      </c>
      <c r="I127" s="26" t="s">
        <v>65</v>
      </c>
      <c r="J127" s="26">
        <v>16</v>
      </c>
      <c r="K127" s="26">
        <v>7518139</v>
      </c>
      <c r="L127" s="26" t="s">
        <v>231</v>
      </c>
      <c r="M127" s="26" t="s">
        <v>46</v>
      </c>
      <c r="N127" s="48">
        <f>IF(_Shipments[[#This Row],[Embalagem]]="Big Bag",_Shipments[[#This Row],[Qtd.]]*_Shipments[[#This Row],[Qtde. sacos/palete]],_Shipments[[#This Row],[Qtd.]])</f>
        <v>640</v>
      </c>
      <c r="O127" s="49">
        <f>_xlfn.XLOOKUP(_Shipments[[#This Row],[CLN]],[2]Dados!$D:$D,[2]Dados!$R:$R,"-")</f>
        <v>40</v>
      </c>
      <c r="P127" s="49" t="str" cm="1">
        <f t="array" ref="P127">_xlfn.LET(_xlpm.t,_xlfn.XLOOKUP(_Shipments[[#This Row],[CLN]],[2]Dados!$D:$D,[2]Dados!$Q:$Q,"-"),_xlfn.IFS(LEFT(_xlpm.t,3)="PAS","Saco",LEFT(_xlpm.t,3)="PBT","Big Bag",TRUE,"-"))</f>
        <v>Big Bag</v>
      </c>
      <c r="Q127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673.6</v>
      </c>
      <c r="R127" s="89">
        <f>IF(_Shipments[[#This Row],[Embalagem]]="Big Bag",_Shipments[[#This Row],[Qtd.]],ROUNDUP(_Shipments[[#This Row],[Qtd.]]/_Shipments[[#This Row],[Qtde. sacos/palete]],0))</f>
        <v>16</v>
      </c>
      <c r="S127" s="26" t="s">
        <v>141</v>
      </c>
      <c r="T127" s="51">
        <v>34999810409</v>
      </c>
      <c r="U127" s="26" t="s">
        <v>142</v>
      </c>
      <c r="V127" s="26" t="s">
        <v>143</v>
      </c>
      <c r="W127" s="26" t="s">
        <v>126</v>
      </c>
    </row>
    <row r="128" spans="1:23" x14ac:dyDescent="0.25">
      <c r="A128" s="47">
        <f>_xlfn.XLOOKUP(_Shipments[[#This Row],[Shipment]],[1]Report!$G:$G,[1]Report!$B:$B,"-")</f>
        <v>46281.333333333336</v>
      </c>
      <c r="B128" s="26">
        <v>7242822</v>
      </c>
      <c r="C128" s="26">
        <v>5541984903</v>
      </c>
      <c r="D128" s="26">
        <v>1</v>
      </c>
      <c r="E128" s="26" t="s">
        <v>16</v>
      </c>
      <c r="F128" s="85">
        <v>21</v>
      </c>
      <c r="G128" s="26" t="s">
        <v>283</v>
      </c>
      <c r="H128" s="26" t="s">
        <v>64</v>
      </c>
      <c r="I128" s="26" t="s">
        <v>65</v>
      </c>
      <c r="J128" s="26">
        <v>21</v>
      </c>
      <c r="K128" s="26">
        <v>7518139</v>
      </c>
      <c r="L128" s="26" t="s">
        <v>231</v>
      </c>
      <c r="M128" s="26" t="s">
        <v>46</v>
      </c>
      <c r="N128" s="48">
        <f>IF(_Shipments[[#This Row],[Embalagem]]="Big Bag",_Shipments[[#This Row],[Qtd.]]*_Shipments[[#This Row],[Qtde. sacos/palete]],_Shipments[[#This Row],[Qtd.]])</f>
        <v>840</v>
      </c>
      <c r="O128" s="49">
        <f>_xlfn.XLOOKUP(_Shipments[[#This Row],[CLN]],[2]Dados!$D:$D,[2]Dados!$R:$R,"-")</f>
        <v>40</v>
      </c>
      <c r="P128" s="49" t="str" cm="1">
        <f t="array" ref="P128">_xlfn.LET(_xlpm.t,_xlfn.XLOOKUP(_Shipments[[#This Row],[CLN]],[2]Dados!$D:$D,[2]Dados!$Q:$Q,"-"),_xlfn.IFS(LEFT(_xlpm.t,3)="PAS","Saco",LEFT(_xlpm.t,3)="PBT","Big Bag",TRUE,"-"))</f>
        <v>Big Bag</v>
      </c>
      <c r="Q128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673.6</v>
      </c>
      <c r="R128" s="89">
        <f>IF(_Shipments[[#This Row],[Embalagem]]="Big Bag",_Shipments[[#This Row],[Qtd.]],ROUNDUP(_Shipments[[#This Row],[Qtd.]]/_Shipments[[#This Row],[Qtde. sacos/palete]],0))</f>
        <v>21</v>
      </c>
      <c r="S128" s="26" t="s">
        <v>128</v>
      </c>
      <c r="T128" s="51">
        <v>34997330803</v>
      </c>
      <c r="U128" s="26" t="s">
        <v>129</v>
      </c>
      <c r="V128" s="26" t="s">
        <v>130</v>
      </c>
      <c r="W128" s="26" t="s">
        <v>126</v>
      </c>
    </row>
    <row r="129" spans="1:23" x14ac:dyDescent="0.25">
      <c r="A129" s="47">
        <f>_xlfn.XLOOKUP(_Shipments[[#This Row],[Shipment]],[1]Report!$G:$G,[1]Report!$B:$B,"-")</f>
        <v>46281.333333333336</v>
      </c>
      <c r="B129" s="26">
        <v>7242827</v>
      </c>
      <c r="C129" s="26">
        <v>5541984905</v>
      </c>
      <c r="D129" s="26">
        <v>1</v>
      </c>
      <c r="E129" s="26" t="s">
        <v>16</v>
      </c>
      <c r="F129" s="85">
        <v>2</v>
      </c>
      <c r="G129" s="26" t="s">
        <v>283</v>
      </c>
      <c r="H129" s="26" t="s">
        <v>64</v>
      </c>
      <c r="I129" s="26" t="s">
        <v>65</v>
      </c>
      <c r="J129" s="26">
        <v>2</v>
      </c>
      <c r="K129" s="26">
        <v>7518139</v>
      </c>
      <c r="L129" s="26" t="s">
        <v>231</v>
      </c>
      <c r="M129" s="26" t="s">
        <v>46</v>
      </c>
      <c r="N129" s="48">
        <f>IF(_Shipments[[#This Row],[Embalagem]]="Big Bag",_Shipments[[#This Row],[Qtd.]]*_Shipments[[#This Row],[Qtde. sacos/palete]],_Shipments[[#This Row],[Qtd.]])</f>
        <v>80</v>
      </c>
      <c r="O129" s="49">
        <f>_xlfn.XLOOKUP(_Shipments[[#This Row],[CLN]],[2]Dados!$D:$D,[2]Dados!$R:$R,"-")</f>
        <v>40</v>
      </c>
      <c r="P129" s="49" t="str" cm="1">
        <f t="array" ref="P129">_xlfn.LET(_xlpm.t,_xlfn.XLOOKUP(_Shipments[[#This Row],[CLN]],[2]Dados!$D:$D,[2]Dados!$Q:$Q,"-"),_xlfn.IFS(LEFT(_xlpm.t,3)="PAS","Saco",LEFT(_xlpm.t,3)="PBT","Big Bag",TRUE,"-"))</f>
        <v>Big Bag</v>
      </c>
      <c r="Q129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673.6</v>
      </c>
      <c r="R129" s="89">
        <f>IF(_Shipments[[#This Row],[Embalagem]]="Big Bag",_Shipments[[#This Row],[Qtd.]],ROUNDUP(_Shipments[[#This Row],[Qtd.]]/_Shipments[[#This Row],[Qtde. sacos/palete]],0))</f>
        <v>2</v>
      </c>
      <c r="S129" s="26" t="s">
        <v>136</v>
      </c>
      <c r="T129" s="51">
        <v>34991030020</v>
      </c>
      <c r="U129" s="26" t="s">
        <v>137</v>
      </c>
      <c r="V129" s="26" t="s">
        <v>220</v>
      </c>
      <c r="W129" s="26" t="s">
        <v>126</v>
      </c>
    </row>
    <row r="130" spans="1:23" x14ac:dyDescent="0.25">
      <c r="A130" s="47">
        <f>_xlfn.XLOOKUP(_Shipments[[#This Row],[Shipment]],[1]Report!$G:$G,[1]Report!$B:$B,"-")</f>
        <v>46281.333333333336</v>
      </c>
      <c r="B130" s="26">
        <v>7242827</v>
      </c>
      <c r="C130" s="26">
        <v>5541984905</v>
      </c>
      <c r="D130" s="26">
        <v>2</v>
      </c>
      <c r="E130" s="26" t="s">
        <v>16</v>
      </c>
      <c r="F130" s="85">
        <v>8</v>
      </c>
      <c r="G130" s="26" t="s">
        <v>283</v>
      </c>
      <c r="H130" s="26" t="s">
        <v>64</v>
      </c>
      <c r="I130" s="26" t="s">
        <v>65</v>
      </c>
      <c r="J130" s="26">
        <v>8</v>
      </c>
      <c r="K130" s="26">
        <v>7518148</v>
      </c>
      <c r="L130" s="26" t="s">
        <v>232</v>
      </c>
      <c r="M130" s="26" t="s">
        <v>46</v>
      </c>
      <c r="N130" s="48">
        <f>IF(_Shipments[[#This Row],[Embalagem]]="Big Bag",_Shipments[[#This Row],[Qtd.]]*_Shipments[[#This Row],[Qtde. sacos/palete]],_Shipments[[#This Row],[Qtd.]])</f>
        <v>320</v>
      </c>
      <c r="O130" s="49">
        <f>_xlfn.XLOOKUP(_Shipments[[#This Row],[CLN]],[2]Dados!$D:$D,[2]Dados!$R:$R,"-")</f>
        <v>40</v>
      </c>
      <c r="P130" s="49" t="str" cm="1">
        <f t="array" ref="P130">_xlfn.LET(_xlpm.t,_xlfn.XLOOKUP(_Shipments[[#This Row],[CLN]],[2]Dados!$D:$D,[2]Dados!$Q:$Q,"-"),_xlfn.IFS(LEFT(_xlpm.t,3)="PAS","Saco",LEFT(_xlpm.t,3)="PBT","Big Bag",TRUE,"-"))</f>
        <v>Big Bag</v>
      </c>
      <c r="Q130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787.6</v>
      </c>
      <c r="R130" s="89">
        <f>IF(_Shipments[[#This Row],[Embalagem]]="Big Bag",_Shipments[[#This Row],[Qtd.]],ROUNDUP(_Shipments[[#This Row],[Qtd.]]/_Shipments[[#This Row],[Qtde. sacos/palete]],0))</f>
        <v>8</v>
      </c>
      <c r="S130" s="26" t="s">
        <v>136</v>
      </c>
      <c r="T130" s="51">
        <v>34991030020</v>
      </c>
      <c r="U130" s="26" t="s">
        <v>137</v>
      </c>
      <c r="V130" s="26" t="s">
        <v>220</v>
      </c>
      <c r="W130" s="26" t="s">
        <v>126</v>
      </c>
    </row>
    <row r="131" spans="1:23" x14ac:dyDescent="0.25">
      <c r="A131" s="47">
        <f>_xlfn.XLOOKUP(_Shipments[[#This Row],[Shipment]],[1]Report!$G:$G,[1]Report!$B:$B,"-")</f>
        <v>46281.333333333336</v>
      </c>
      <c r="B131" s="26">
        <v>7242827</v>
      </c>
      <c r="C131" s="26">
        <v>5541984905</v>
      </c>
      <c r="D131" s="26">
        <v>3</v>
      </c>
      <c r="E131" s="26" t="s">
        <v>16</v>
      </c>
      <c r="F131" s="85">
        <v>11</v>
      </c>
      <c r="G131" s="26" t="s">
        <v>283</v>
      </c>
      <c r="H131" s="26" t="s">
        <v>64</v>
      </c>
      <c r="I131" s="26" t="s">
        <v>65</v>
      </c>
      <c r="J131" s="26">
        <v>11</v>
      </c>
      <c r="K131" s="26">
        <v>7518156</v>
      </c>
      <c r="L131" s="26" t="s">
        <v>233</v>
      </c>
      <c r="M131" s="26" t="s">
        <v>46</v>
      </c>
      <c r="N131" s="48">
        <f>IF(_Shipments[[#This Row],[Embalagem]]="Big Bag",_Shipments[[#This Row],[Qtd.]]*_Shipments[[#This Row],[Qtde. sacos/palete]],_Shipments[[#This Row],[Qtd.]])</f>
        <v>440</v>
      </c>
      <c r="O131" s="49">
        <f>_xlfn.XLOOKUP(_Shipments[[#This Row],[CLN]],[2]Dados!$D:$D,[2]Dados!$R:$R,"-")</f>
        <v>40</v>
      </c>
      <c r="P131" s="49" t="str" cm="1">
        <f t="array" ref="P131">_xlfn.LET(_xlpm.t,_xlfn.XLOOKUP(_Shipments[[#This Row],[CLN]],[2]Dados!$D:$D,[2]Dados!$Q:$Q,"-"),_xlfn.IFS(LEFT(_xlpm.t,3)="PAS","Saco",LEFT(_xlpm.t,3)="PBT","Big Bag",TRUE,"-"))</f>
        <v>Big Bag</v>
      </c>
      <c r="Q131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789.59999999999991</v>
      </c>
      <c r="R131" s="89">
        <f>IF(_Shipments[[#This Row],[Embalagem]]="Big Bag",_Shipments[[#This Row],[Qtd.]],ROUNDUP(_Shipments[[#This Row],[Qtd.]]/_Shipments[[#This Row],[Qtde. sacos/palete]],0))</f>
        <v>11</v>
      </c>
      <c r="S131" s="26" t="s">
        <v>136</v>
      </c>
      <c r="T131" s="51">
        <v>34991030020</v>
      </c>
      <c r="U131" s="26" t="s">
        <v>137</v>
      </c>
      <c r="V131" s="26" t="s">
        <v>220</v>
      </c>
      <c r="W131" s="26" t="s">
        <v>126</v>
      </c>
    </row>
    <row r="132" spans="1:23" x14ac:dyDescent="0.25">
      <c r="A132" s="47">
        <f>_xlfn.XLOOKUP(_Shipments[[#This Row],[Shipment]],[1]Report!$G:$G,[1]Report!$B:$B,"-")</f>
        <v>46281.375</v>
      </c>
      <c r="B132" s="26">
        <v>7242830</v>
      </c>
      <c r="C132" s="26">
        <v>5541984913</v>
      </c>
      <c r="D132" s="26">
        <v>1</v>
      </c>
      <c r="E132" s="26" t="s">
        <v>16</v>
      </c>
      <c r="F132" s="85">
        <v>21</v>
      </c>
      <c r="G132" s="26" t="s">
        <v>283</v>
      </c>
      <c r="H132" s="26" t="s">
        <v>64</v>
      </c>
      <c r="I132" s="26" t="s">
        <v>65</v>
      </c>
      <c r="J132" s="26">
        <v>21</v>
      </c>
      <c r="K132" s="26" t="s">
        <v>240</v>
      </c>
      <c r="L132" s="26" t="s">
        <v>232</v>
      </c>
      <c r="M132" s="26" t="s">
        <v>46</v>
      </c>
      <c r="N132" s="48">
        <f>IF(_Shipments[[#This Row],[Embalagem]]="Big Bag",_Shipments[[#This Row],[Qtd.]]*_Shipments[[#This Row],[Qtde. sacos/palete]],_Shipments[[#This Row],[Qtd.]])</f>
        <v>840</v>
      </c>
      <c r="O132" s="49">
        <f>_xlfn.XLOOKUP(_Shipments[[#This Row],[CLN]],[2]Dados!$D:$D,[2]Dados!$R:$R,"-")</f>
        <v>40</v>
      </c>
      <c r="P132" s="49" t="str" cm="1">
        <f t="array" ref="P132">_xlfn.LET(_xlpm.t,_xlfn.XLOOKUP(_Shipments[[#This Row],[CLN]],[2]Dados!$D:$D,[2]Dados!$Q:$Q,"-"),_xlfn.IFS(LEFT(_xlpm.t,3)="PAS","Saco",LEFT(_xlpm.t,3)="PBT","Big Bag",TRUE,"-"))</f>
        <v>Big Bag</v>
      </c>
      <c r="Q132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787.6</v>
      </c>
      <c r="R132" s="89">
        <f>IF(_Shipments[[#This Row],[Embalagem]]="Big Bag",_Shipments[[#This Row],[Qtd.]],ROUNDUP(_Shipments[[#This Row],[Qtd.]]/_Shipments[[#This Row],[Qtde. sacos/palete]],0))</f>
        <v>21</v>
      </c>
      <c r="S132" s="26" t="s">
        <v>249</v>
      </c>
      <c r="T132" s="51">
        <v>34996968579</v>
      </c>
      <c r="U132" s="26" t="s">
        <v>250</v>
      </c>
      <c r="V132" s="26" t="s">
        <v>251</v>
      </c>
      <c r="W132" s="26" t="s">
        <v>126</v>
      </c>
    </row>
    <row r="133" spans="1:23" x14ac:dyDescent="0.25">
      <c r="A133" s="47">
        <f>_xlfn.XLOOKUP(_Shipments[[#This Row],[Shipment]],[1]Report!$G:$G,[1]Report!$B:$B,"-")</f>
        <v>46281.375</v>
      </c>
      <c r="B133" s="26">
        <v>7242833</v>
      </c>
      <c r="C133" s="26">
        <v>5541984915</v>
      </c>
      <c r="D133" s="26">
        <v>1</v>
      </c>
      <c r="E133" s="26" t="s">
        <v>16</v>
      </c>
      <c r="F133" s="85">
        <v>20</v>
      </c>
      <c r="G133" s="26" t="s">
        <v>283</v>
      </c>
      <c r="H133" s="26" t="s">
        <v>64</v>
      </c>
      <c r="I133" s="26" t="s">
        <v>65</v>
      </c>
      <c r="J133" s="26">
        <v>20</v>
      </c>
      <c r="K133" s="26">
        <v>7518156</v>
      </c>
      <c r="L133" s="26" t="s">
        <v>233</v>
      </c>
      <c r="M133" s="26" t="s">
        <v>46</v>
      </c>
      <c r="N133" s="48">
        <f>IF(_Shipments[[#This Row],[Embalagem]]="Big Bag",_Shipments[[#This Row],[Qtd.]]*_Shipments[[#This Row],[Qtde. sacos/palete]],_Shipments[[#This Row],[Qtd.]])</f>
        <v>800</v>
      </c>
      <c r="O133" s="49">
        <f>_xlfn.XLOOKUP(_Shipments[[#This Row],[CLN]],[2]Dados!$D:$D,[2]Dados!$R:$R,"-")</f>
        <v>40</v>
      </c>
      <c r="P133" s="49" t="str" cm="1">
        <f t="array" ref="P133">_xlfn.LET(_xlpm.t,_xlfn.XLOOKUP(_Shipments[[#This Row],[CLN]],[2]Dados!$D:$D,[2]Dados!$Q:$Q,"-"),_xlfn.IFS(LEFT(_xlpm.t,3)="PAS","Saco",LEFT(_xlpm.t,3)="PBT","Big Bag",TRUE,"-"))</f>
        <v>Big Bag</v>
      </c>
      <c r="Q133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789.59999999999991</v>
      </c>
      <c r="R133" s="89">
        <f>IF(_Shipments[[#This Row],[Embalagem]]="Big Bag",_Shipments[[#This Row],[Qtd.]],ROUNDUP(_Shipments[[#This Row],[Qtd.]]/_Shipments[[#This Row],[Qtde. sacos/palete]],0))</f>
        <v>20</v>
      </c>
      <c r="S133" s="26" t="s">
        <v>128</v>
      </c>
      <c r="T133" s="51">
        <v>34997330803</v>
      </c>
      <c r="U133" s="26" t="s">
        <v>129</v>
      </c>
      <c r="V133" s="26" t="s">
        <v>130</v>
      </c>
      <c r="W133" s="26" t="s">
        <v>126</v>
      </c>
    </row>
    <row r="134" spans="1:23" x14ac:dyDescent="0.25">
      <c r="A134" s="47">
        <f>_xlfn.XLOOKUP(_Shipments[[#This Row],[Shipment]],[1]Report!$G:$G,[1]Report!$B:$B,"-")</f>
        <v>46282.333333333336</v>
      </c>
      <c r="B134" s="26">
        <v>7242836</v>
      </c>
      <c r="C134" s="26">
        <v>5541984917</v>
      </c>
      <c r="D134" s="26">
        <v>1</v>
      </c>
      <c r="E134" s="26" t="s">
        <v>56</v>
      </c>
      <c r="F134" s="85">
        <v>21</v>
      </c>
      <c r="G134" s="26" t="s">
        <v>283</v>
      </c>
      <c r="H134" s="26" t="s">
        <v>64</v>
      </c>
      <c r="I134" s="26" t="s">
        <v>65</v>
      </c>
      <c r="J134" s="26">
        <v>21</v>
      </c>
      <c r="K134" s="26">
        <v>7518204</v>
      </c>
      <c r="L134" s="26" t="s">
        <v>234</v>
      </c>
      <c r="M134" s="26" t="s">
        <v>32</v>
      </c>
      <c r="N134" s="48">
        <f>IF(_Shipments[[#This Row],[Embalagem]]="Big Bag",_Shipments[[#This Row],[Qtd.]]*_Shipments[[#This Row],[Qtde. sacos/palete]],_Shipments[[#This Row],[Qtd.]])</f>
        <v>840</v>
      </c>
      <c r="O134" s="49">
        <f>_xlfn.XLOOKUP(_Shipments[[#This Row],[CLN]],[2]Dados!$D:$D,[2]Dados!$R:$R,"-")</f>
        <v>40</v>
      </c>
      <c r="P134" s="49" t="str" cm="1">
        <f t="array" ref="P134">_xlfn.LET(_xlpm.t,_xlfn.XLOOKUP(_Shipments[[#This Row],[CLN]],[2]Dados!$D:$D,[2]Dados!$Q:$Q,"-"),_xlfn.IFS(LEFT(_xlpm.t,3)="PAS","Saco",LEFT(_xlpm.t,3)="PBT","Big Bag",TRUE,"-"))</f>
        <v>Big Bag</v>
      </c>
      <c r="Q134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667.6</v>
      </c>
      <c r="R134" s="89">
        <f>IF(_Shipments[[#This Row],[Embalagem]]="Big Bag",_Shipments[[#This Row],[Qtd.]],ROUNDUP(_Shipments[[#This Row],[Qtd.]]/_Shipments[[#This Row],[Qtde. sacos/palete]],0))</f>
        <v>21</v>
      </c>
      <c r="S134" s="26" t="s">
        <v>131</v>
      </c>
      <c r="T134" s="51">
        <v>34999248710</v>
      </c>
      <c r="U134" s="26" t="s">
        <v>132</v>
      </c>
      <c r="V134" s="26" t="s">
        <v>133</v>
      </c>
      <c r="W134" s="26" t="s">
        <v>126</v>
      </c>
    </row>
    <row r="135" spans="1:23" x14ac:dyDescent="0.25">
      <c r="A135" s="47">
        <f>_xlfn.XLOOKUP(_Shipments[[#This Row],[Shipment]],[1]Report!$G:$G,[1]Report!$B:$B,"-")</f>
        <v>46282.333333333336</v>
      </c>
      <c r="B135" s="26">
        <v>7242839</v>
      </c>
      <c r="C135" s="26">
        <v>5541984920</v>
      </c>
      <c r="D135" s="26">
        <v>1</v>
      </c>
      <c r="E135" s="26" t="s">
        <v>56</v>
      </c>
      <c r="F135" s="85">
        <v>11</v>
      </c>
      <c r="G135" s="26" t="s">
        <v>283</v>
      </c>
      <c r="H135" s="26" t="s">
        <v>64</v>
      </c>
      <c r="I135" s="26" t="s">
        <v>65</v>
      </c>
      <c r="J135" s="26">
        <v>11</v>
      </c>
      <c r="K135" s="26">
        <v>7518204</v>
      </c>
      <c r="L135" s="26" t="s">
        <v>234</v>
      </c>
      <c r="M135" s="26" t="s">
        <v>32</v>
      </c>
      <c r="N135" s="48">
        <f>IF(_Shipments[[#This Row],[Embalagem]]="Big Bag",_Shipments[[#This Row],[Qtd.]]*_Shipments[[#This Row],[Qtde. sacos/palete]],_Shipments[[#This Row],[Qtd.]])</f>
        <v>440</v>
      </c>
      <c r="O135" s="49">
        <f>_xlfn.XLOOKUP(_Shipments[[#This Row],[CLN]],[2]Dados!$D:$D,[2]Dados!$R:$R,"-")</f>
        <v>40</v>
      </c>
      <c r="P135" s="49" t="str" cm="1">
        <f t="array" ref="P135">_xlfn.LET(_xlpm.t,_xlfn.XLOOKUP(_Shipments[[#This Row],[CLN]],[2]Dados!$D:$D,[2]Dados!$Q:$Q,"-"),_xlfn.IFS(LEFT(_xlpm.t,3)="PAS","Saco",LEFT(_xlpm.t,3)="PBT","Big Bag",TRUE,"-"))</f>
        <v>Big Bag</v>
      </c>
      <c r="Q135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667.6</v>
      </c>
      <c r="R135" s="89">
        <f>IF(_Shipments[[#This Row],[Embalagem]]="Big Bag",_Shipments[[#This Row],[Qtd.]],ROUNDUP(_Shipments[[#This Row],[Qtd.]]/_Shipments[[#This Row],[Qtde. sacos/palete]],0))</f>
        <v>11</v>
      </c>
      <c r="S135" s="26" t="s">
        <v>136</v>
      </c>
      <c r="T135" s="51">
        <v>34991030020</v>
      </c>
      <c r="U135" s="26" t="s">
        <v>137</v>
      </c>
      <c r="V135" s="26" t="s">
        <v>220</v>
      </c>
      <c r="W135" s="26" t="s">
        <v>126</v>
      </c>
    </row>
    <row r="136" spans="1:23" x14ac:dyDescent="0.25">
      <c r="A136" s="47">
        <f>_xlfn.XLOOKUP(_Shipments[[#This Row],[Shipment]],[1]Report!$G:$G,[1]Report!$B:$B,"-")</f>
        <v>46282.333333333336</v>
      </c>
      <c r="B136" s="26">
        <v>7242839</v>
      </c>
      <c r="C136" s="26">
        <v>5541984920</v>
      </c>
      <c r="D136" s="26">
        <v>2</v>
      </c>
      <c r="E136" s="26" t="s">
        <v>16</v>
      </c>
      <c r="F136" s="85">
        <v>9</v>
      </c>
      <c r="G136" s="26" t="s">
        <v>283</v>
      </c>
      <c r="H136" s="26" t="s">
        <v>64</v>
      </c>
      <c r="I136" s="26" t="s">
        <v>65</v>
      </c>
      <c r="J136" s="26">
        <v>9</v>
      </c>
      <c r="K136" s="26">
        <v>7566372</v>
      </c>
      <c r="L136" s="26" t="s">
        <v>235</v>
      </c>
      <c r="M136" s="26" t="s">
        <v>38</v>
      </c>
      <c r="N136" s="48">
        <f>IF(_Shipments[[#This Row],[Embalagem]]="Big Bag",_Shipments[[#This Row],[Qtd.]]*_Shipments[[#This Row],[Qtde. sacos/palete]],_Shipments[[#This Row],[Qtd.]])</f>
        <v>360</v>
      </c>
      <c r="O136" s="49">
        <f>_xlfn.XLOOKUP(_Shipments[[#This Row],[CLN]],[2]Dados!$D:$D,[2]Dados!$R:$R,"-")</f>
        <v>40</v>
      </c>
      <c r="P136" s="49" t="str" cm="1">
        <f t="array" ref="P136">_xlfn.LET(_xlpm.t,_xlfn.XLOOKUP(_Shipments[[#This Row],[CLN]],[2]Dados!$D:$D,[2]Dados!$Q:$Q,"-"),_xlfn.IFS(LEFT(_xlpm.t,3)="PAS","Saco",LEFT(_xlpm.t,3)="PBT","Big Bag",TRUE,"-"))</f>
        <v>Big Bag</v>
      </c>
      <c r="Q136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690.8</v>
      </c>
      <c r="R136" s="89">
        <f>IF(_Shipments[[#This Row],[Embalagem]]="Big Bag",_Shipments[[#This Row],[Qtd.]],ROUNDUP(_Shipments[[#This Row],[Qtd.]]/_Shipments[[#This Row],[Qtde. sacos/palete]],0))</f>
        <v>9</v>
      </c>
      <c r="S136" s="26" t="s">
        <v>136</v>
      </c>
      <c r="T136" s="51">
        <v>34991030020</v>
      </c>
      <c r="U136" s="26" t="s">
        <v>137</v>
      </c>
      <c r="V136" s="26" t="s">
        <v>220</v>
      </c>
      <c r="W136" s="26" t="s">
        <v>126</v>
      </c>
    </row>
    <row r="137" spans="1:23" x14ac:dyDescent="0.25">
      <c r="A137" s="47">
        <f>_xlfn.XLOOKUP(_Shipments[[#This Row],[Shipment]],[1]Report!$G:$G,[1]Report!$B:$B,"-")</f>
        <v>46282.375</v>
      </c>
      <c r="B137" s="26">
        <v>7242843</v>
      </c>
      <c r="C137" s="26">
        <v>5541984922</v>
      </c>
      <c r="D137" s="26">
        <v>1</v>
      </c>
      <c r="E137" s="26" t="s">
        <v>16</v>
      </c>
      <c r="F137" s="85">
        <v>20</v>
      </c>
      <c r="G137" s="26" t="s">
        <v>283</v>
      </c>
      <c r="H137" s="26" t="s">
        <v>64</v>
      </c>
      <c r="I137" s="26" t="s">
        <v>65</v>
      </c>
      <c r="J137" s="26">
        <v>20</v>
      </c>
      <c r="K137" s="26">
        <v>7566372</v>
      </c>
      <c r="L137" s="26" t="s">
        <v>235</v>
      </c>
      <c r="M137" s="26" t="s">
        <v>38</v>
      </c>
      <c r="N137" s="48">
        <f>IF(_Shipments[[#This Row],[Embalagem]]="Big Bag",_Shipments[[#This Row],[Qtd.]]*_Shipments[[#This Row],[Qtde. sacos/palete]],_Shipments[[#This Row],[Qtd.]])</f>
        <v>800</v>
      </c>
      <c r="O137" s="49">
        <f>_xlfn.XLOOKUP(_Shipments[[#This Row],[CLN]],[2]Dados!$D:$D,[2]Dados!$R:$R,"-")</f>
        <v>40</v>
      </c>
      <c r="P137" s="49" t="str" cm="1">
        <f t="array" ref="P137">_xlfn.LET(_xlpm.t,_xlfn.XLOOKUP(_Shipments[[#This Row],[CLN]],[2]Dados!$D:$D,[2]Dados!$Q:$Q,"-"),_xlfn.IFS(LEFT(_xlpm.t,3)="PAS","Saco",LEFT(_xlpm.t,3)="PBT","Big Bag",TRUE,"-"))</f>
        <v>Big Bag</v>
      </c>
      <c r="Q137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690.8</v>
      </c>
      <c r="R137" s="89">
        <f>IF(_Shipments[[#This Row],[Embalagem]]="Big Bag",_Shipments[[#This Row],[Qtd.]],ROUNDUP(_Shipments[[#This Row],[Qtd.]]/_Shipments[[#This Row],[Qtde. sacos/palete]],0))</f>
        <v>20</v>
      </c>
      <c r="S137" s="26" t="s">
        <v>225</v>
      </c>
      <c r="T137" s="51">
        <v>34991337791</v>
      </c>
      <c r="U137" s="26" t="s">
        <v>120</v>
      </c>
      <c r="V137" s="26" t="s">
        <v>121</v>
      </c>
      <c r="W137" s="26" t="s">
        <v>126</v>
      </c>
    </row>
    <row r="138" spans="1:23" x14ac:dyDescent="0.25">
      <c r="A138" s="47">
        <f>_xlfn.XLOOKUP(_Shipments[[#This Row],[Shipment]],[1]Report!$G:$G,[1]Report!$B:$B,"-")</f>
        <v>46282.375</v>
      </c>
      <c r="B138" s="26">
        <v>7242844</v>
      </c>
      <c r="C138" s="26">
        <v>5541984923</v>
      </c>
      <c r="D138" s="26">
        <v>1</v>
      </c>
      <c r="E138" s="26" t="s">
        <v>13</v>
      </c>
      <c r="F138" s="85">
        <v>21</v>
      </c>
      <c r="G138" s="26" t="s">
        <v>283</v>
      </c>
      <c r="H138" s="26" t="s">
        <v>64</v>
      </c>
      <c r="I138" s="26" t="s">
        <v>65</v>
      </c>
      <c r="J138" s="26">
        <v>21</v>
      </c>
      <c r="K138" s="26">
        <v>7518221</v>
      </c>
      <c r="L138" s="26" t="s">
        <v>236</v>
      </c>
      <c r="M138" s="26" t="s">
        <v>35</v>
      </c>
      <c r="N138" s="48">
        <f>IF(_Shipments[[#This Row],[Embalagem]]="Big Bag",_Shipments[[#This Row],[Qtd.]]*_Shipments[[#This Row],[Qtde. sacos/palete]],_Shipments[[#This Row],[Qtd.]])</f>
        <v>840</v>
      </c>
      <c r="O138" s="49">
        <f>_xlfn.XLOOKUP(_Shipments[[#This Row],[CLN]],[2]Dados!$D:$D,[2]Dados!$R:$R,"-")</f>
        <v>40</v>
      </c>
      <c r="P138" s="49" t="str" cm="1">
        <f t="array" ref="P138">_xlfn.LET(_xlpm.t,_xlfn.XLOOKUP(_Shipments[[#This Row],[CLN]],[2]Dados!$D:$D,[2]Dados!$Q:$Q,"-"),_xlfn.IFS(LEFT(_xlpm.t,3)="PAS","Saco",LEFT(_xlpm.t,3)="PBT","Big Bag",TRUE,"-"))</f>
        <v>Big Bag</v>
      </c>
      <c r="Q138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762</v>
      </c>
      <c r="R138" s="89">
        <f>IF(_Shipments[[#This Row],[Embalagem]]="Big Bag",_Shipments[[#This Row],[Qtd.]],ROUNDUP(_Shipments[[#This Row],[Qtd.]]/_Shipments[[#This Row],[Qtde. sacos/palete]],0))</f>
        <v>21</v>
      </c>
      <c r="S138" s="26" t="s">
        <v>249</v>
      </c>
      <c r="T138" s="51">
        <v>34996968579</v>
      </c>
      <c r="U138" s="26" t="s">
        <v>250</v>
      </c>
      <c r="V138" s="26" t="s">
        <v>251</v>
      </c>
      <c r="W138" s="26" t="s">
        <v>126</v>
      </c>
    </row>
    <row r="139" spans="1:23" x14ac:dyDescent="0.25">
      <c r="A139" s="47">
        <f>_xlfn.XLOOKUP(_Shipments[[#This Row],[Shipment]],[1]Report!$G:$G,[1]Report!$B:$B,"-")</f>
        <v>46283.333333333336</v>
      </c>
      <c r="B139" s="26">
        <v>7242847</v>
      </c>
      <c r="C139" s="26">
        <v>5541984925</v>
      </c>
      <c r="D139" s="26">
        <v>1</v>
      </c>
      <c r="E139" s="26" t="s">
        <v>13</v>
      </c>
      <c r="F139" s="85">
        <v>1</v>
      </c>
      <c r="G139" s="26" t="s">
        <v>283</v>
      </c>
      <c r="H139" s="26" t="s">
        <v>64</v>
      </c>
      <c r="I139" s="26" t="s">
        <v>65</v>
      </c>
      <c r="J139" s="26">
        <v>1</v>
      </c>
      <c r="K139" s="26">
        <v>7518221</v>
      </c>
      <c r="L139" s="26" t="s">
        <v>236</v>
      </c>
      <c r="M139" s="26" t="s">
        <v>35</v>
      </c>
      <c r="N139" s="48">
        <f>IF(_Shipments[[#This Row],[Embalagem]]="Big Bag",_Shipments[[#This Row],[Qtd.]]*_Shipments[[#This Row],[Qtde. sacos/palete]],_Shipments[[#This Row],[Qtd.]])</f>
        <v>40</v>
      </c>
      <c r="O139" s="49">
        <f>_xlfn.XLOOKUP(_Shipments[[#This Row],[CLN]],[2]Dados!$D:$D,[2]Dados!$R:$R,"-")</f>
        <v>40</v>
      </c>
      <c r="P139" s="49" t="str" cm="1">
        <f t="array" ref="P139">_xlfn.LET(_xlpm.t,_xlfn.XLOOKUP(_Shipments[[#This Row],[CLN]],[2]Dados!$D:$D,[2]Dados!$Q:$Q,"-"),_xlfn.IFS(LEFT(_xlpm.t,3)="PAS","Saco",LEFT(_xlpm.t,3)="PBT","Big Bag",TRUE,"-"))</f>
        <v>Big Bag</v>
      </c>
      <c r="Q139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762</v>
      </c>
      <c r="R139" s="89">
        <f>IF(_Shipments[[#This Row],[Embalagem]]="Big Bag",_Shipments[[#This Row],[Qtd.]],ROUNDUP(_Shipments[[#This Row],[Qtd.]]/_Shipments[[#This Row],[Qtde. sacos/palete]],0))</f>
        <v>1</v>
      </c>
      <c r="S139" s="26" t="s">
        <v>136</v>
      </c>
      <c r="T139" s="51">
        <v>34991030020</v>
      </c>
      <c r="U139" s="26" t="s">
        <v>137</v>
      </c>
      <c r="V139" s="26" t="s">
        <v>220</v>
      </c>
      <c r="W139" s="26" t="s">
        <v>126</v>
      </c>
    </row>
    <row r="140" spans="1:23" x14ac:dyDescent="0.25">
      <c r="A140" s="47">
        <f>_xlfn.XLOOKUP(_Shipments[[#This Row],[Shipment]],[1]Report!$G:$G,[1]Report!$B:$B,"-")</f>
        <v>46283.333333333336</v>
      </c>
      <c r="B140" s="26">
        <v>7242847</v>
      </c>
      <c r="C140" s="26">
        <v>5541984925</v>
      </c>
      <c r="D140" s="26">
        <v>2</v>
      </c>
      <c r="E140" s="26" t="s">
        <v>16</v>
      </c>
      <c r="F140" s="85">
        <v>20</v>
      </c>
      <c r="G140" s="26" t="s">
        <v>283</v>
      </c>
      <c r="H140" s="26" t="s">
        <v>64</v>
      </c>
      <c r="I140" s="26" t="s">
        <v>65</v>
      </c>
      <c r="J140" s="26">
        <v>20</v>
      </c>
      <c r="K140" s="26">
        <v>7566369</v>
      </c>
      <c r="L140" s="26" t="s">
        <v>237</v>
      </c>
      <c r="M140" s="26" t="s">
        <v>38</v>
      </c>
      <c r="N140" s="48">
        <f>IF(_Shipments[[#This Row],[Embalagem]]="Big Bag",_Shipments[[#This Row],[Qtd.]]*_Shipments[[#This Row],[Qtde. sacos/palete]],_Shipments[[#This Row],[Qtd.]])</f>
        <v>800</v>
      </c>
      <c r="O140" s="49">
        <f>_xlfn.XLOOKUP(_Shipments[[#This Row],[CLN]],[2]Dados!$D:$D,[2]Dados!$R:$R,"-")</f>
        <v>40</v>
      </c>
      <c r="P140" s="49" t="str" cm="1">
        <f t="array" ref="P140">_xlfn.LET(_xlpm.t,_xlfn.XLOOKUP(_Shipments[[#This Row],[CLN]],[2]Dados!$D:$D,[2]Dados!$Q:$Q,"-"),_xlfn.IFS(LEFT(_xlpm.t,3)="PAS","Saco",LEFT(_xlpm.t,3)="PBT","Big Bag",TRUE,"-"))</f>
        <v>Big Bag</v>
      </c>
      <c r="Q140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707.2</v>
      </c>
      <c r="R140" s="89">
        <f>IF(_Shipments[[#This Row],[Embalagem]]="Big Bag",_Shipments[[#This Row],[Qtd.]],ROUNDUP(_Shipments[[#This Row],[Qtd.]]/_Shipments[[#This Row],[Qtde. sacos/palete]],0))</f>
        <v>20</v>
      </c>
      <c r="S140" s="26" t="s">
        <v>136</v>
      </c>
      <c r="T140" s="51">
        <v>34991030020</v>
      </c>
      <c r="U140" s="26" t="s">
        <v>137</v>
      </c>
      <c r="V140" s="26" t="s">
        <v>220</v>
      </c>
      <c r="W140" s="26" t="s">
        <v>126</v>
      </c>
    </row>
    <row r="141" spans="1:23" x14ac:dyDescent="0.25">
      <c r="A141" s="47">
        <f>_xlfn.XLOOKUP(_Shipments[[#This Row],[Shipment]],[1]Report!$G:$G,[1]Report!$B:$B,"-")</f>
        <v>46283.333333333336</v>
      </c>
      <c r="B141" s="26">
        <v>7242848</v>
      </c>
      <c r="C141" s="26">
        <v>5541984927</v>
      </c>
      <c r="D141" s="26">
        <v>1</v>
      </c>
      <c r="E141" s="26" t="s">
        <v>16</v>
      </c>
      <c r="F141" s="85">
        <v>6</v>
      </c>
      <c r="G141" s="26" t="s">
        <v>283</v>
      </c>
      <c r="H141" s="26" t="s">
        <v>64</v>
      </c>
      <c r="I141" s="26" t="s">
        <v>65</v>
      </c>
      <c r="J141" s="26">
        <v>6</v>
      </c>
      <c r="K141" s="26">
        <v>7566369</v>
      </c>
      <c r="L141" s="26" t="s">
        <v>237</v>
      </c>
      <c r="M141" s="26" t="s">
        <v>38</v>
      </c>
      <c r="N141" s="48">
        <f>IF(_Shipments[[#This Row],[Embalagem]]="Big Bag",_Shipments[[#This Row],[Qtd.]]*_Shipments[[#This Row],[Qtde. sacos/palete]],_Shipments[[#This Row],[Qtd.]])</f>
        <v>240</v>
      </c>
      <c r="O141" s="49">
        <f>_xlfn.XLOOKUP(_Shipments[[#This Row],[CLN]],[2]Dados!$D:$D,[2]Dados!$R:$R,"-")</f>
        <v>40</v>
      </c>
      <c r="P141" s="49" t="str" cm="1">
        <f t="array" ref="P141">_xlfn.LET(_xlpm.t,_xlfn.XLOOKUP(_Shipments[[#This Row],[CLN]],[2]Dados!$D:$D,[2]Dados!$Q:$Q,"-"),_xlfn.IFS(LEFT(_xlpm.t,3)="PAS","Saco",LEFT(_xlpm.t,3)="PBT","Big Bag",TRUE,"-"))</f>
        <v>Big Bag</v>
      </c>
      <c r="Q141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707.2</v>
      </c>
      <c r="R141" s="89">
        <f>IF(_Shipments[[#This Row],[Embalagem]]="Big Bag",_Shipments[[#This Row],[Qtd.]],ROUNDUP(_Shipments[[#This Row],[Qtd.]]/_Shipments[[#This Row],[Qtde. sacos/palete]],0))</f>
        <v>6</v>
      </c>
      <c r="S141" s="26" t="s">
        <v>141</v>
      </c>
      <c r="T141" s="51">
        <v>34999810409</v>
      </c>
      <c r="U141" s="26" t="s">
        <v>142</v>
      </c>
      <c r="V141" s="26" t="s">
        <v>143</v>
      </c>
      <c r="W141" s="26" t="s">
        <v>126</v>
      </c>
    </row>
    <row r="142" spans="1:23" x14ac:dyDescent="0.25">
      <c r="A142" s="47">
        <f>_xlfn.XLOOKUP(_Shipments[[#This Row],[Shipment]],[1]Report!$G:$G,[1]Report!$B:$B,"-")</f>
        <v>46283.333333333336</v>
      </c>
      <c r="B142" s="26">
        <v>7242848</v>
      </c>
      <c r="C142" s="26">
        <v>5541984927</v>
      </c>
      <c r="D142" s="26">
        <v>2</v>
      </c>
      <c r="E142" s="26" t="s">
        <v>16</v>
      </c>
      <c r="F142" s="85">
        <v>15</v>
      </c>
      <c r="G142" s="26" t="s">
        <v>283</v>
      </c>
      <c r="H142" s="26" t="s">
        <v>64</v>
      </c>
      <c r="I142" s="26" t="s">
        <v>65</v>
      </c>
      <c r="J142" s="26">
        <v>15</v>
      </c>
      <c r="K142" s="26">
        <v>7566371</v>
      </c>
      <c r="L142" s="26" t="s">
        <v>238</v>
      </c>
      <c r="M142" s="26" t="s">
        <v>38</v>
      </c>
      <c r="N142" s="48">
        <f>IF(_Shipments[[#This Row],[Embalagem]]="Big Bag",_Shipments[[#This Row],[Qtd.]]*_Shipments[[#This Row],[Qtde. sacos/palete]],_Shipments[[#This Row],[Qtd.]])</f>
        <v>600</v>
      </c>
      <c r="O142" s="49">
        <f>_xlfn.XLOOKUP(_Shipments[[#This Row],[CLN]],[2]Dados!$D:$D,[2]Dados!$R:$R,"-")</f>
        <v>40</v>
      </c>
      <c r="P142" s="49" t="str" cm="1">
        <f t="array" ref="P142">_xlfn.LET(_xlpm.t,_xlfn.XLOOKUP(_Shipments[[#This Row],[CLN]],[2]Dados!$D:$D,[2]Dados!$Q:$Q,"-"),_xlfn.IFS(LEFT(_xlpm.t,3)="PAS","Saco",LEFT(_xlpm.t,3)="PBT","Big Bag",TRUE,"-"))</f>
        <v>Big Bag</v>
      </c>
      <c r="Q142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700.8</v>
      </c>
      <c r="R142" s="89">
        <f>IF(_Shipments[[#This Row],[Embalagem]]="Big Bag",_Shipments[[#This Row],[Qtd.]],ROUNDUP(_Shipments[[#This Row],[Qtd.]]/_Shipments[[#This Row],[Qtde. sacos/palete]],0))</f>
        <v>15</v>
      </c>
      <c r="S142" s="26" t="s">
        <v>141</v>
      </c>
      <c r="T142" s="51">
        <v>34999810409</v>
      </c>
      <c r="U142" s="26" t="s">
        <v>142</v>
      </c>
      <c r="V142" s="26" t="s">
        <v>143</v>
      </c>
      <c r="W142" s="26" t="s">
        <v>126</v>
      </c>
    </row>
    <row r="143" spans="1:23" x14ac:dyDescent="0.25">
      <c r="A143" s="47">
        <f>_xlfn.XLOOKUP(_Shipments[[#This Row],[Shipment]],[1]Report!$G:$G,[1]Report!$B:$B,"-")</f>
        <v>46283.375</v>
      </c>
      <c r="B143" s="26">
        <v>7242850</v>
      </c>
      <c r="C143" s="26">
        <v>5541984928</v>
      </c>
      <c r="D143" s="26">
        <v>1</v>
      </c>
      <c r="E143" s="26" t="s">
        <v>16</v>
      </c>
      <c r="F143" s="85">
        <v>9</v>
      </c>
      <c r="G143" s="26" t="s">
        <v>283</v>
      </c>
      <c r="H143" s="26" t="s">
        <v>64</v>
      </c>
      <c r="I143" s="26" t="s">
        <v>65</v>
      </c>
      <c r="J143" s="26">
        <v>9</v>
      </c>
      <c r="K143" s="26">
        <v>7566371</v>
      </c>
      <c r="L143" s="26" t="s">
        <v>238</v>
      </c>
      <c r="M143" s="26" t="s">
        <v>38</v>
      </c>
      <c r="N143" s="48">
        <f>IF(_Shipments[[#This Row],[Embalagem]]="Big Bag",_Shipments[[#This Row],[Qtd.]]*_Shipments[[#This Row],[Qtde. sacos/palete]],_Shipments[[#This Row],[Qtd.]])</f>
        <v>360</v>
      </c>
      <c r="O143" s="49">
        <f>_xlfn.XLOOKUP(_Shipments[[#This Row],[CLN]],[2]Dados!$D:$D,[2]Dados!$R:$R,"-")</f>
        <v>40</v>
      </c>
      <c r="P143" s="49" t="str" cm="1">
        <f t="array" ref="P143">_xlfn.LET(_xlpm.t,_xlfn.XLOOKUP(_Shipments[[#This Row],[CLN]],[2]Dados!$D:$D,[2]Dados!$Q:$Q,"-"),_xlfn.IFS(LEFT(_xlpm.t,3)="PAS","Saco",LEFT(_xlpm.t,3)="PBT","Big Bag",TRUE,"-"))</f>
        <v>Big Bag</v>
      </c>
      <c r="Q143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700.8</v>
      </c>
      <c r="R143" s="89">
        <f>IF(_Shipments[[#This Row],[Embalagem]]="Big Bag",_Shipments[[#This Row],[Qtd.]],ROUNDUP(_Shipments[[#This Row],[Qtd.]]/_Shipments[[#This Row],[Qtde. sacos/palete]],0))</f>
        <v>9</v>
      </c>
      <c r="S143" s="26" t="s">
        <v>280</v>
      </c>
      <c r="T143" s="51">
        <v>44999250098</v>
      </c>
      <c r="U143" s="26" t="s">
        <v>281</v>
      </c>
      <c r="V143" s="26" t="s">
        <v>282</v>
      </c>
      <c r="W143" s="26" t="s">
        <v>126</v>
      </c>
    </row>
    <row r="144" spans="1:23" x14ac:dyDescent="0.25">
      <c r="A144" s="47">
        <f>_xlfn.XLOOKUP(_Shipments[[#This Row],[Shipment]],[1]Report!$G:$G,[1]Report!$B:$B,"-")</f>
        <v>46283.375</v>
      </c>
      <c r="B144" s="26">
        <v>7242850</v>
      </c>
      <c r="C144" s="26">
        <v>5541984928</v>
      </c>
      <c r="D144" s="26">
        <v>2</v>
      </c>
      <c r="E144" s="26" t="s">
        <v>16</v>
      </c>
      <c r="F144" s="85">
        <v>12</v>
      </c>
      <c r="G144" s="26" t="s">
        <v>283</v>
      </c>
      <c r="H144" s="26" t="s">
        <v>64</v>
      </c>
      <c r="I144" s="26" t="s">
        <v>65</v>
      </c>
      <c r="J144" s="26">
        <v>12</v>
      </c>
      <c r="K144" s="26">
        <v>7566373</v>
      </c>
      <c r="L144" s="26" t="s">
        <v>239</v>
      </c>
      <c r="M144" s="26" t="s">
        <v>38</v>
      </c>
      <c r="N144" s="48">
        <f>IF(_Shipments[[#This Row],[Embalagem]]="Big Bag",_Shipments[[#This Row],[Qtd.]]*_Shipments[[#This Row],[Qtde. sacos/palete]],_Shipments[[#This Row],[Qtd.]])</f>
        <v>480</v>
      </c>
      <c r="O144" s="49">
        <f>_xlfn.XLOOKUP(_Shipments[[#This Row],[CLN]],[2]Dados!$D:$D,[2]Dados!$R:$R,"-")</f>
        <v>40</v>
      </c>
      <c r="P144" s="49" t="str" cm="1">
        <f t="array" ref="P144">_xlfn.LET(_xlpm.t,_xlfn.XLOOKUP(_Shipments[[#This Row],[CLN]],[2]Dados!$D:$D,[2]Dados!$Q:$Q,"-"),_xlfn.IFS(LEFT(_xlpm.t,3)="PAS","Saco",LEFT(_xlpm.t,3)="PBT","Big Bag",TRUE,"-"))</f>
        <v>Big Bag</v>
      </c>
      <c r="Q144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700.40000000000009</v>
      </c>
      <c r="R144" s="89">
        <f>IF(_Shipments[[#This Row],[Embalagem]]="Big Bag",_Shipments[[#This Row],[Qtd.]],ROUNDUP(_Shipments[[#This Row],[Qtd.]]/_Shipments[[#This Row],[Qtde. sacos/palete]],0))</f>
        <v>12</v>
      </c>
      <c r="S144" s="26" t="s">
        <v>280</v>
      </c>
      <c r="T144" s="51">
        <v>44999250098</v>
      </c>
      <c r="U144" s="26" t="s">
        <v>281</v>
      </c>
      <c r="V144" s="26" t="s">
        <v>282</v>
      </c>
      <c r="W144" s="26" t="s">
        <v>126</v>
      </c>
    </row>
    <row r="145" spans="1:23" x14ac:dyDescent="0.25">
      <c r="A145" s="47">
        <f>_xlfn.XLOOKUP(_Shipments[[#This Row],[Shipment]],[1]Report!$G:$G,[1]Report!$B:$B,"-")</f>
        <v>46283.375</v>
      </c>
      <c r="B145" s="26">
        <v>7242853</v>
      </c>
      <c r="C145" s="26">
        <v>5541984929</v>
      </c>
      <c r="D145" s="26">
        <v>1</v>
      </c>
      <c r="E145" s="26" t="s">
        <v>16</v>
      </c>
      <c r="F145" s="85">
        <v>20</v>
      </c>
      <c r="G145" s="26" t="s">
        <v>283</v>
      </c>
      <c r="H145" s="26" t="s">
        <v>64</v>
      </c>
      <c r="I145" s="26" t="s">
        <v>65</v>
      </c>
      <c r="J145" s="26">
        <v>20</v>
      </c>
      <c r="K145" s="26">
        <v>7566373</v>
      </c>
      <c r="L145" s="26" t="s">
        <v>239</v>
      </c>
      <c r="M145" s="26" t="s">
        <v>38</v>
      </c>
      <c r="N145" s="48">
        <f>IF(_Shipments[[#This Row],[Embalagem]]="Big Bag",_Shipments[[#This Row],[Qtd.]]*_Shipments[[#This Row],[Qtde. sacos/palete]],_Shipments[[#This Row],[Qtd.]])</f>
        <v>800</v>
      </c>
      <c r="O145" s="49">
        <f>_xlfn.XLOOKUP(_Shipments[[#This Row],[CLN]],[2]Dados!$D:$D,[2]Dados!$R:$R,"-")</f>
        <v>40</v>
      </c>
      <c r="P145" s="49" t="str" cm="1">
        <f t="array" ref="P145">_xlfn.LET(_xlpm.t,_xlfn.XLOOKUP(_Shipments[[#This Row],[CLN]],[2]Dados!$D:$D,[2]Dados!$Q:$Q,"-"),_xlfn.IFS(LEFT(_xlpm.t,3)="PAS","Saco",LEFT(_xlpm.t,3)="PBT","Big Bag",TRUE,"-"))</f>
        <v>Big Bag</v>
      </c>
      <c r="Q145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700.40000000000009</v>
      </c>
      <c r="R145" s="89">
        <f>IF(_Shipments[[#This Row],[Embalagem]]="Big Bag",_Shipments[[#This Row],[Qtd.]],ROUNDUP(_Shipments[[#This Row],[Qtd.]]/_Shipments[[#This Row],[Qtde. sacos/palete]],0))</f>
        <v>20</v>
      </c>
      <c r="S145" s="26" t="s">
        <v>128</v>
      </c>
      <c r="T145" s="51">
        <v>34997330803</v>
      </c>
      <c r="U145" s="26" t="s">
        <v>129</v>
      </c>
      <c r="V145" s="26" t="s">
        <v>130</v>
      </c>
      <c r="W145" s="26" t="s">
        <v>126</v>
      </c>
    </row>
    <row r="146" spans="1:23" x14ac:dyDescent="0.25">
      <c r="A146" s="47">
        <f>_xlfn.XLOOKUP(_Shipments[[#This Row],[Shipment]],[1]Report!$G:$G,[1]Report!$B:$B,"-")</f>
        <v>46286.333333333336</v>
      </c>
      <c r="B146" s="26">
        <v>7244328</v>
      </c>
      <c r="C146" s="26">
        <v>5541985980</v>
      </c>
      <c r="D146" s="26">
        <v>1</v>
      </c>
      <c r="E146" s="26" t="s">
        <v>252</v>
      </c>
      <c r="F146" s="85">
        <v>1260</v>
      </c>
      <c r="G146" s="26" t="s">
        <v>253</v>
      </c>
      <c r="H146" s="26" t="s">
        <v>254</v>
      </c>
      <c r="I146" s="26" t="s">
        <v>65</v>
      </c>
      <c r="J146" s="26">
        <v>1260</v>
      </c>
      <c r="K146" s="26">
        <v>7571346</v>
      </c>
      <c r="L146" s="26" t="s">
        <v>255</v>
      </c>
      <c r="M146" s="26" t="s">
        <v>32</v>
      </c>
      <c r="N146" s="48">
        <f>IF(_Shipments[[#This Row],[Embalagem]]="Big Bag",_Shipments[[#This Row],[Qtd.]]*_Shipments[[#This Row],[Qtde. sacos/palete]],_Shipments[[#This Row],[Qtd.]])</f>
        <v>1260</v>
      </c>
      <c r="O146" s="49">
        <f>_xlfn.XLOOKUP(_Shipments[[#This Row],[CLN]],[2]Dados!$D:$D,[2]Dados!$R:$R,"-")</f>
        <v>60</v>
      </c>
      <c r="P146" s="49" t="str" cm="1">
        <f t="array" ref="P146">_xlfn.LET(_xlpm.t,_xlfn.XLOOKUP(_Shipments[[#This Row],[CLN]],[2]Dados!$D:$D,[2]Dados!$Q:$Q,"-"),_xlfn.IFS(LEFT(_xlpm.t,3)="PAS","Saco",LEFT(_xlpm.t,3)="PBT","Big Bag",TRUE,"-"))</f>
        <v>Saco</v>
      </c>
      <c r="Q146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16.12</v>
      </c>
      <c r="R146" s="89">
        <f>IF(_Shipments[[#This Row],[Embalagem]]="Big Bag",_Shipments[[#This Row],[Qtd.]],ROUNDUP(_Shipments[[#This Row],[Qtd.]]/_Shipments[[#This Row],[Qtde. sacos/palete]],0))</f>
        <v>21</v>
      </c>
      <c r="S146" s="26" t="s">
        <v>136</v>
      </c>
      <c r="T146" s="51">
        <v>34991030020</v>
      </c>
      <c r="U146" s="26" t="s">
        <v>137</v>
      </c>
      <c r="V146" s="26" t="s">
        <v>220</v>
      </c>
      <c r="W146" s="26" t="s">
        <v>126</v>
      </c>
    </row>
    <row r="147" spans="1:23" x14ac:dyDescent="0.25">
      <c r="A147" s="47">
        <f>_xlfn.XLOOKUP(_Shipments[[#This Row],[Shipment]],[1]Report!$G:$G,[1]Report!$B:$B,"-")</f>
        <v>46286.333333333336</v>
      </c>
      <c r="B147" s="26">
        <v>7244330</v>
      </c>
      <c r="C147" s="26">
        <v>5541985981</v>
      </c>
      <c r="D147" s="26">
        <v>1</v>
      </c>
      <c r="E147" s="26" t="s">
        <v>252</v>
      </c>
      <c r="F147" s="85">
        <v>1157</v>
      </c>
      <c r="G147" s="26" t="s">
        <v>253</v>
      </c>
      <c r="H147" s="26" t="s">
        <v>254</v>
      </c>
      <c r="I147" s="26" t="s">
        <v>65</v>
      </c>
      <c r="J147" s="26">
        <v>1157</v>
      </c>
      <c r="K147" s="26">
        <v>7571348</v>
      </c>
      <c r="L147" s="26" t="s">
        <v>256</v>
      </c>
      <c r="M147" s="26" t="s">
        <v>32</v>
      </c>
      <c r="N147" s="48">
        <f>IF(_Shipments[[#This Row],[Embalagem]]="Big Bag",_Shipments[[#This Row],[Qtd.]]*_Shipments[[#This Row],[Qtde. sacos/palete]],_Shipments[[#This Row],[Qtd.]])</f>
        <v>1157</v>
      </c>
      <c r="O147" s="49">
        <f>_xlfn.XLOOKUP(_Shipments[[#This Row],[CLN]],[2]Dados!$D:$D,[2]Dados!$R:$R,"-")</f>
        <v>60</v>
      </c>
      <c r="P147" s="49" t="str" cm="1">
        <f t="array" ref="P147">_xlfn.LET(_xlpm.t,_xlfn.XLOOKUP(_Shipments[[#This Row],[CLN]],[2]Dados!$D:$D,[2]Dados!$Q:$Q,"-"),_xlfn.IFS(LEFT(_xlpm.t,3)="PAS","Saco",LEFT(_xlpm.t,3)="PBT","Big Bag",TRUE,"-"))</f>
        <v>Saco</v>
      </c>
      <c r="Q147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15.86</v>
      </c>
      <c r="R147" s="89">
        <f>IF(_Shipments[[#This Row],[Embalagem]]="Big Bag",_Shipments[[#This Row],[Qtd.]],ROUNDUP(_Shipments[[#This Row],[Qtd.]]/_Shipments[[#This Row],[Qtde. sacos/palete]],0))</f>
        <v>20</v>
      </c>
      <c r="S147" s="26" t="s">
        <v>128</v>
      </c>
      <c r="T147" s="51">
        <v>34997330803</v>
      </c>
      <c r="U147" s="26" t="s">
        <v>129</v>
      </c>
      <c r="V147" s="26" t="s">
        <v>130</v>
      </c>
      <c r="W147" s="26" t="s">
        <v>126</v>
      </c>
    </row>
    <row r="148" spans="1:23" x14ac:dyDescent="0.25">
      <c r="A148" s="47">
        <f>_xlfn.XLOOKUP(_Shipments[[#This Row],[Shipment]],[1]Report!$G:$G,[1]Report!$B:$B,"-")</f>
        <v>46286.375</v>
      </c>
      <c r="B148" s="26">
        <v>7244331</v>
      </c>
      <c r="C148" s="26">
        <v>5541985982</v>
      </c>
      <c r="D148" s="26">
        <v>1</v>
      </c>
      <c r="E148" s="26" t="s">
        <v>252</v>
      </c>
      <c r="F148" s="26">
        <v>1157</v>
      </c>
      <c r="G148" s="26" t="s">
        <v>253</v>
      </c>
      <c r="H148" s="26" t="s">
        <v>254</v>
      </c>
      <c r="I148" s="26" t="s">
        <v>65</v>
      </c>
      <c r="J148" s="26">
        <v>1157</v>
      </c>
      <c r="K148" s="26">
        <v>7571349</v>
      </c>
      <c r="L148" s="26" t="s">
        <v>257</v>
      </c>
      <c r="M148" s="26" t="s">
        <v>32</v>
      </c>
      <c r="N148" s="48">
        <f>IF(_Shipments[[#This Row],[Embalagem]]="Big Bag",_Shipments[[#This Row],[Qtd.]]*_Shipments[[#This Row],[Qtde. sacos/palete]],_Shipments[[#This Row],[Qtd.]])</f>
        <v>1157</v>
      </c>
      <c r="O148" s="49">
        <f>_xlfn.XLOOKUP(_Shipments[[#This Row],[CLN]],[2]Dados!$D:$D,[2]Dados!$R:$R,"-")</f>
        <v>60</v>
      </c>
      <c r="P148" s="49" t="str" cm="1">
        <f t="array" ref="P148">_xlfn.LET(_xlpm.t,_xlfn.XLOOKUP(_Shipments[[#This Row],[CLN]],[2]Dados!$D:$D,[2]Dados!$Q:$Q,"-"),_xlfn.IFS(LEFT(_xlpm.t,3)="PAS","Saco",LEFT(_xlpm.t,3)="PBT","Big Bag",TRUE,"-"))</f>
        <v>Saco</v>
      </c>
      <c r="Q148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16.05</v>
      </c>
      <c r="R148" s="89">
        <f>IF(_Shipments[[#This Row],[Embalagem]]="Big Bag",_Shipments[[#This Row],[Qtd.]],ROUNDUP(_Shipments[[#This Row],[Qtd.]]/_Shipments[[#This Row],[Qtde. sacos/palete]],0))</f>
        <v>20</v>
      </c>
      <c r="S148" s="26" t="s">
        <v>131</v>
      </c>
      <c r="T148" s="26">
        <v>34999248710</v>
      </c>
      <c r="U148" s="26" t="s">
        <v>132</v>
      </c>
      <c r="V148" s="26" t="s">
        <v>133</v>
      </c>
      <c r="W148" s="26" t="s">
        <v>126</v>
      </c>
    </row>
    <row r="149" spans="1:23" x14ac:dyDescent="0.25">
      <c r="A149" s="47">
        <f>_xlfn.XLOOKUP(_Shipments[[#This Row],[Shipment]],[1]Report!$G:$G,[1]Report!$B:$B,"-")</f>
        <v>46286.375</v>
      </c>
      <c r="B149" s="26">
        <v>7244332</v>
      </c>
      <c r="C149" s="26">
        <v>5541985983</v>
      </c>
      <c r="D149" s="26">
        <v>1</v>
      </c>
      <c r="E149" s="26" t="s">
        <v>258</v>
      </c>
      <c r="F149" s="26">
        <v>658</v>
      </c>
      <c r="G149" s="26" t="s">
        <v>253</v>
      </c>
      <c r="H149" s="26" t="s">
        <v>254</v>
      </c>
      <c r="I149" s="26" t="s">
        <v>65</v>
      </c>
      <c r="J149" s="26">
        <v>658</v>
      </c>
      <c r="K149" s="26">
        <v>7571419</v>
      </c>
      <c r="L149" s="26" t="s">
        <v>259</v>
      </c>
      <c r="M149" s="26" t="s">
        <v>29</v>
      </c>
      <c r="N149" s="48">
        <f>IF(_Shipments[[#This Row],[Embalagem]]="Big Bag",_Shipments[[#This Row],[Qtd.]]*_Shipments[[#This Row],[Qtde. sacos/palete]],_Shipments[[#This Row],[Qtd.]])</f>
        <v>658</v>
      </c>
      <c r="O149" s="49">
        <f>_xlfn.XLOOKUP(_Shipments[[#This Row],[CLN]],[2]Dados!$D:$D,[2]Dados!$R:$R,"-")</f>
        <v>70</v>
      </c>
      <c r="P149" s="49" t="str" cm="1">
        <f t="array" ref="P149">_xlfn.LET(_xlpm.t,_xlfn.XLOOKUP(_Shipments[[#This Row],[CLN]],[2]Dados!$D:$D,[2]Dados!$Q:$Q,"-"),_xlfn.IFS(LEFT(_xlpm.t,3)="PAS","Saco",LEFT(_xlpm.t,3)="PBT","Big Bag",TRUE,"-"))</f>
        <v>Saco</v>
      </c>
      <c r="Q149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14.04</v>
      </c>
      <c r="R149" s="89">
        <f>IF(_Shipments[[#This Row],[Embalagem]]="Big Bag",_Shipments[[#This Row],[Qtd.]],ROUNDUP(_Shipments[[#This Row],[Qtd.]]/_Shipments[[#This Row],[Qtde. sacos/palete]],0))</f>
        <v>10</v>
      </c>
      <c r="S149" s="26" t="s">
        <v>225</v>
      </c>
      <c r="T149" s="26">
        <v>34991337791</v>
      </c>
      <c r="U149" s="26" t="s">
        <v>120</v>
      </c>
      <c r="V149" s="26" t="s">
        <v>121</v>
      </c>
      <c r="W149" s="26" t="s">
        <v>126</v>
      </c>
    </row>
    <row r="150" spans="1:23" x14ac:dyDescent="0.25">
      <c r="A150" s="47">
        <f>_xlfn.XLOOKUP(_Shipments[[#This Row],[Shipment]],[1]Report!$G:$G,[1]Report!$B:$B,"-")</f>
        <v>46286.375</v>
      </c>
      <c r="B150" s="26">
        <v>7244332</v>
      </c>
      <c r="C150" s="26">
        <v>5541985983</v>
      </c>
      <c r="D150" s="26">
        <v>2</v>
      </c>
      <c r="E150" s="26" t="s">
        <v>260</v>
      </c>
      <c r="F150" s="26">
        <v>772</v>
      </c>
      <c r="G150" s="26" t="s">
        <v>253</v>
      </c>
      <c r="H150" s="26" t="s">
        <v>254</v>
      </c>
      <c r="I150" s="26" t="s">
        <v>65</v>
      </c>
      <c r="J150" s="26">
        <v>772</v>
      </c>
      <c r="K150" s="26">
        <v>7571429</v>
      </c>
      <c r="L150" s="26" t="s">
        <v>261</v>
      </c>
      <c r="M150" s="26" t="s">
        <v>262</v>
      </c>
      <c r="N150" s="48">
        <f>IF(_Shipments[[#This Row],[Embalagem]]="Big Bag",_Shipments[[#This Row],[Qtd.]]*_Shipments[[#This Row],[Qtde. sacos/palete]],_Shipments[[#This Row],[Qtd.]])</f>
        <v>772</v>
      </c>
      <c r="O150" s="49">
        <f>_xlfn.XLOOKUP(_Shipments[[#This Row],[CLN]],[2]Dados!$D:$D,[2]Dados!$R:$R,"-")</f>
        <v>75</v>
      </c>
      <c r="P150" s="49" t="str" cm="1">
        <f t="array" ref="P150">_xlfn.LET(_xlpm.t,_xlfn.XLOOKUP(_Shipments[[#This Row],[CLN]],[2]Dados!$D:$D,[2]Dados!$Q:$Q,"-"),_xlfn.IFS(LEFT(_xlpm.t,3)="PAS","Saco",LEFT(_xlpm.t,3)="PBT","Big Bag",TRUE,"-"))</f>
        <v>Saco</v>
      </c>
      <c r="Q150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12.39</v>
      </c>
      <c r="R150" s="89">
        <f>IF(_Shipments[[#This Row],[Embalagem]]="Big Bag",_Shipments[[#This Row],[Qtd.]],ROUNDUP(_Shipments[[#This Row],[Qtd.]]/_Shipments[[#This Row],[Qtde. sacos/palete]],0))</f>
        <v>11</v>
      </c>
      <c r="S150" s="26" t="s">
        <v>225</v>
      </c>
      <c r="T150" s="26">
        <v>34991337791</v>
      </c>
      <c r="U150" s="26" t="s">
        <v>120</v>
      </c>
      <c r="V150" s="26" t="s">
        <v>121</v>
      </c>
      <c r="W150" s="26" t="s">
        <v>126</v>
      </c>
    </row>
    <row r="151" spans="1:23" x14ac:dyDescent="0.25">
      <c r="A151" s="47">
        <f>_xlfn.XLOOKUP(_Shipments[[#This Row],[Shipment]],[1]Report!$G:$G,[1]Report!$B:$B,"-")</f>
        <v>46287.333333333336</v>
      </c>
      <c r="B151" s="26">
        <v>7244334</v>
      </c>
      <c r="C151" s="26">
        <v>5541985984</v>
      </c>
      <c r="D151" s="26">
        <v>1</v>
      </c>
      <c r="E151" s="26" t="s">
        <v>263</v>
      </c>
      <c r="F151" s="26">
        <v>686</v>
      </c>
      <c r="G151" s="26" t="s">
        <v>253</v>
      </c>
      <c r="H151" s="26" t="s">
        <v>254</v>
      </c>
      <c r="I151" s="26" t="s">
        <v>65</v>
      </c>
      <c r="J151" s="26">
        <v>686</v>
      </c>
      <c r="K151" s="26">
        <v>7571516</v>
      </c>
      <c r="L151" s="26" t="s">
        <v>264</v>
      </c>
      <c r="M151" s="26" t="s">
        <v>265</v>
      </c>
      <c r="N151" s="48">
        <f>IF(_Shipments[[#This Row],[Embalagem]]="Big Bag",_Shipments[[#This Row],[Qtd.]]*_Shipments[[#This Row],[Qtde. sacos/palete]],_Shipments[[#This Row],[Qtd.]])</f>
        <v>686</v>
      </c>
      <c r="O151" s="49">
        <f>_xlfn.XLOOKUP(_Shipments[[#This Row],[CLN]],[2]Dados!$D:$D,[2]Dados!$R:$R,"-")</f>
        <v>70</v>
      </c>
      <c r="P151" s="49" t="str" cm="1">
        <f t="array" ref="P151">_xlfn.LET(_xlpm.t,_xlfn.XLOOKUP(_Shipments[[#This Row],[CLN]],[2]Dados!$D:$D,[2]Dados!$Q:$Q,"-"),_xlfn.IFS(LEFT(_xlpm.t,3)="PAS","Saco",LEFT(_xlpm.t,3)="PBT","Big Bag",TRUE,"-"))</f>
        <v>Saco</v>
      </c>
      <c r="Q151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12.88</v>
      </c>
      <c r="R151" s="89">
        <f>IF(_Shipments[[#This Row],[Embalagem]]="Big Bag",_Shipments[[#This Row],[Qtd.]],ROUNDUP(_Shipments[[#This Row],[Qtd.]]/_Shipments[[#This Row],[Qtde. sacos/palete]],0))</f>
        <v>10</v>
      </c>
      <c r="S151" s="26" t="s">
        <v>249</v>
      </c>
      <c r="T151" s="26">
        <v>34996968579</v>
      </c>
      <c r="U151" s="26" t="s">
        <v>250</v>
      </c>
      <c r="V151" s="26" t="s">
        <v>251</v>
      </c>
      <c r="W151" s="26" t="s">
        <v>126</v>
      </c>
    </row>
    <row r="152" spans="1:23" x14ac:dyDescent="0.25">
      <c r="A152" s="47">
        <f>_xlfn.XLOOKUP(_Shipments[[#This Row],[Shipment]],[1]Report!$G:$G,[1]Report!$B:$B,"-")</f>
        <v>46287.333333333336</v>
      </c>
      <c r="B152" s="26">
        <v>7244334</v>
      </c>
      <c r="C152" s="26">
        <v>5541985984</v>
      </c>
      <c r="D152" s="26">
        <v>2</v>
      </c>
      <c r="E152" s="26" t="s">
        <v>263</v>
      </c>
      <c r="F152" s="26">
        <v>722</v>
      </c>
      <c r="G152" s="26" t="s">
        <v>253</v>
      </c>
      <c r="H152" s="26" t="s">
        <v>254</v>
      </c>
      <c r="I152" s="26" t="s">
        <v>65</v>
      </c>
      <c r="J152" s="26">
        <v>722</v>
      </c>
      <c r="K152" s="26">
        <v>7571517</v>
      </c>
      <c r="L152" s="26" t="s">
        <v>266</v>
      </c>
      <c r="M152" s="26" t="s">
        <v>265</v>
      </c>
      <c r="N152" s="48">
        <f>IF(_Shipments[[#This Row],[Embalagem]]="Big Bag",_Shipments[[#This Row],[Qtd.]]*_Shipments[[#This Row],[Qtde. sacos/palete]],_Shipments[[#This Row],[Qtd.]])</f>
        <v>722</v>
      </c>
      <c r="O152" s="49">
        <f>_xlfn.XLOOKUP(_Shipments[[#This Row],[CLN]],[2]Dados!$D:$D,[2]Dados!$R:$R,"-")</f>
        <v>70</v>
      </c>
      <c r="P152" s="49" t="str" cm="1">
        <f t="array" ref="P152">_xlfn.LET(_xlpm.t,_xlfn.XLOOKUP(_Shipments[[#This Row],[CLN]],[2]Dados!$D:$D,[2]Dados!$Q:$Q,"-"),_xlfn.IFS(LEFT(_xlpm.t,3)="PAS","Saco",LEFT(_xlpm.t,3)="PBT","Big Bag",TRUE,"-"))</f>
        <v>Saco</v>
      </c>
      <c r="Q152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12.62</v>
      </c>
      <c r="R152" s="89">
        <f>IF(_Shipments[[#This Row],[Embalagem]]="Big Bag",_Shipments[[#This Row],[Qtd.]],ROUNDUP(_Shipments[[#This Row],[Qtd.]]/_Shipments[[#This Row],[Qtde. sacos/palete]],0))</f>
        <v>11</v>
      </c>
      <c r="S152" s="26" t="s">
        <v>249</v>
      </c>
      <c r="T152" s="26">
        <v>34996968579</v>
      </c>
      <c r="U152" s="26" t="s">
        <v>250</v>
      </c>
      <c r="V152" s="26" t="s">
        <v>251</v>
      </c>
      <c r="W152" s="26" t="s">
        <v>126</v>
      </c>
    </row>
    <row r="153" spans="1:23" x14ac:dyDescent="0.25">
      <c r="A153" s="47">
        <f>_xlfn.XLOOKUP(_Shipments[[#This Row],[Shipment]],[1]Report!$G:$G,[1]Report!$B:$B,"-")</f>
        <v>46287.333333333336</v>
      </c>
      <c r="B153" s="26">
        <v>7244335</v>
      </c>
      <c r="C153" s="26">
        <v>5541985986</v>
      </c>
      <c r="D153" s="26">
        <v>1</v>
      </c>
      <c r="E153" s="26" t="s">
        <v>252</v>
      </c>
      <c r="F153" s="26">
        <v>420</v>
      </c>
      <c r="G153" s="26" t="s">
        <v>253</v>
      </c>
      <c r="H153" s="26" t="s">
        <v>254</v>
      </c>
      <c r="I153" s="26" t="s">
        <v>65</v>
      </c>
      <c r="J153" s="26">
        <v>420</v>
      </c>
      <c r="K153" s="26">
        <v>7571346</v>
      </c>
      <c r="L153" s="26" t="s">
        <v>255</v>
      </c>
      <c r="M153" s="26" t="s">
        <v>32</v>
      </c>
      <c r="N153" s="48">
        <f>IF(_Shipments[[#This Row],[Embalagem]]="Big Bag",_Shipments[[#This Row],[Qtd.]]*_Shipments[[#This Row],[Qtde. sacos/palete]],_Shipments[[#This Row],[Qtd.]])</f>
        <v>420</v>
      </c>
      <c r="O153" s="49">
        <f>_xlfn.XLOOKUP(_Shipments[[#This Row],[CLN]],[2]Dados!$D:$D,[2]Dados!$R:$R,"-")</f>
        <v>60</v>
      </c>
      <c r="P153" s="49" t="str" cm="1">
        <f t="array" ref="P153">_xlfn.LET(_xlpm.t,_xlfn.XLOOKUP(_Shipments[[#This Row],[CLN]],[2]Dados!$D:$D,[2]Dados!$Q:$Q,"-"),_xlfn.IFS(LEFT(_xlpm.t,3)="PAS","Saco",LEFT(_xlpm.t,3)="PBT","Big Bag",TRUE,"-"))</f>
        <v>Saco</v>
      </c>
      <c r="Q153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16.12</v>
      </c>
      <c r="R153" s="89">
        <f>IF(_Shipments[[#This Row],[Embalagem]]="Big Bag",_Shipments[[#This Row],[Qtd.]],ROUNDUP(_Shipments[[#This Row],[Qtd.]]/_Shipments[[#This Row],[Qtde. sacos/palete]],0))</f>
        <v>7</v>
      </c>
      <c r="S153" s="26" t="s">
        <v>136</v>
      </c>
      <c r="T153" s="26">
        <v>34991030020</v>
      </c>
      <c r="U153" s="26" t="s">
        <v>137</v>
      </c>
      <c r="V153" s="26" t="s">
        <v>220</v>
      </c>
      <c r="W153" s="26" t="s">
        <v>126</v>
      </c>
    </row>
    <row r="154" spans="1:23" x14ac:dyDescent="0.25">
      <c r="A154" s="47">
        <f>_xlfn.XLOOKUP(_Shipments[[#This Row],[Shipment]],[1]Report!$G:$G,[1]Report!$B:$B,"-")</f>
        <v>46287.333333333336</v>
      </c>
      <c r="B154" s="26">
        <v>7244335</v>
      </c>
      <c r="C154" s="26">
        <v>5541985986</v>
      </c>
      <c r="D154" s="26">
        <v>2</v>
      </c>
      <c r="E154" s="26" t="s">
        <v>252</v>
      </c>
      <c r="F154" s="26">
        <v>798</v>
      </c>
      <c r="G154" s="26" t="s">
        <v>253</v>
      </c>
      <c r="H154" s="26" t="s">
        <v>254</v>
      </c>
      <c r="I154" s="26" t="s">
        <v>65</v>
      </c>
      <c r="J154" s="26">
        <v>798</v>
      </c>
      <c r="K154" s="26">
        <v>7571347</v>
      </c>
      <c r="L154" s="26" t="s">
        <v>267</v>
      </c>
      <c r="M154" s="26" t="s">
        <v>32</v>
      </c>
      <c r="N154" s="48">
        <f>IF(_Shipments[[#This Row],[Embalagem]]="Big Bag",_Shipments[[#This Row],[Qtd.]]*_Shipments[[#This Row],[Qtde. sacos/palete]],_Shipments[[#This Row],[Qtd.]])</f>
        <v>798</v>
      </c>
      <c r="O154" s="49">
        <f>_xlfn.XLOOKUP(_Shipments[[#This Row],[CLN]],[2]Dados!$D:$D,[2]Dados!$R:$R,"-")</f>
        <v>60</v>
      </c>
      <c r="P154" s="49" t="str" cm="1">
        <f t="array" ref="P154">_xlfn.LET(_xlpm.t,_xlfn.XLOOKUP(_Shipments[[#This Row],[CLN]],[2]Dados!$D:$D,[2]Dados!$Q:$Q,"-"),_xlfn.IFS(LEFT(_xlpm.t,3)="PAS","Saco",LEFT(_xlpm.t,3)="PBT","Big Bag",TRUE,"-"))</f>
        <v>Saco</v>
      </c>
      <c r="Q154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16.04</v>
      </c>
      <c r="R154" s="89">
        <f>IF(_Shipments[[#This Row],[Embalagem]]="Big Bag",_Shipments[[#This Row],[Qtd.]],ROUNDUP(_Shipments[[#This Row],[Qtd.]]/_Shipments[[#This Row],[Qtde. sacos/palete]],0))</f>
        <v>14</v>
      </c>
      <c r="S154" s="26" t="s">
        <v>136</v>
      </c>
      <c r="T154" s="26">
        <v>34991030020</v>
      </c>
      <c r="U154" s="26" t="s">
        <v>137</v>
      </c>
      <c r="V154" s="26" t="s">
        <v>220</v>
      </c>
      <c r="W154" s="26" t="s">
        <v>126</v>
      </c>
    </row>
    <row r="155" spans="1:23" x14ac:dyDescent="0.25">
      <c r="A155" s="47">
        <f>_xlfn.XLOOKUP(_Shipments[[#This Row],[Shipment]],[1]Report!$G:$G,[1]Report!$B:$B,"-")</f>
        <v>46287.375</v>
      </c>
      <c r="B155" s="26">
        <v>7244336</v>
      </c>
      <c r="C155" s="26">
        <v>5541985987</v>
      </c>
      <c r="D155" s="26">
        <v>1</v>
      </c>
      <c r="E155" s="26" t="s">
        <v>252</v>
      </c>
      <c r="F155" s="26">
        <v>109</v>
      </c>
      <c r="G155" s="26" t="s">
        <v>253</v>
      </c>
      <c r="H155" s="26" t="s">
        <v>254</v>
      </c>
      <c r="I155" s="26" t="s">
        <v>65</v>
      </c>
      <c r="J155" s="26">
        <v>109</v>
      </c>
      <c r="K155" s="26">
        <v>7571346</v>
      </c>
      <c r="L155" s="26" t="s">
        <v>255</v>
      </c>
      <c r="M155" s="26" t="s">
        <v>32</v>
      </c>
      <c r="N155" s="48">
        <f>IF(_Shipments[[#This Row],[Embalagem]]="Big Bag",_Shipments[[#This Row],[Qtd.]]*_Shipments[[#This Row],[Qtde. sacos/palete]],_Shipments[[#This Row],[Qtd.]])</f>
        <v>109</v>
      </c>
      <c r="O155" s="49">
        <f>_xlfn.XLOOKUP(_Shipments[[#This Row],[CLN]],[2]Dados!$D:$D,[2]Dados!$R:$R,"-")</f>
        <v>60</v>
      </c>
      <c r="P155" s="49" t="str" cm="1">
        <f t="array" ref="P155">_xlfn.LET(_xlpm.t,_xlfn.XLOOKUP(_Shipments[[#This Row],[CLN]],[2]Dados!$D:$D,[2]Dados!$Q:$Q,"-"),_xlfn.IFS(LEFT(_xlpm.t,3)="PAS","Saco",LEFT(_xlpm.t,3)="PBT","Big Bag",TRUE,"-"))</f>
        <v>Saco</v>
      </c>
      <c r="Q155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16.12</v>
      </c>
      <c r="R155" s="89">
        <f>IF(_Shipments[[#This Row],[Embalagem]]="Big Bag",_Shipments[[#This Row],[Qtd.]],ROUNDUP(_Shipments[[#This Row],[Qtd.]]/_Shipments[[#This Row],[Qtde. sacos/palete]],0))</f>
        <v>2</v>
      </c>
      <c r="S155" s="26" t="s">
        <v>166</v>
      </c>
      <c r="T155" s="26">
        <v>34991694434</v>
      </c>
      <c r="U155" s="26" t="s">
        <v>167</v>
      </c>
      <c r="V155" s="26" t="s">
        <v>168</v>
      </c>
      <c r="W155" s="26" t="s">
        <v>126</v>
      </c>
    </row>
    <row r="156" spans="1:23" x14ac:dyDescent="0.25">
      <c r="A156" s="47">
        <f>_xlfn.XLOOKUP(_Shipments[[#This Row],[Shipment]],[1]Report!$G:$G,[1]Report!$B:$B,"-")</f>
        <v>46287.375</v>
      </c>
      <c r="B156" s="26">
        <v>7244336</v>
      </c>
      <c r="C156" s="26">
        <v>5541985987</v>
      </c>
      <c r="D156" s="26">
        <v>2</v>
      </c>
      <c r="E156" s="26" t="s">
        <v>252</v>
      </c>
      <c r="F156" s="26">
        <v>1140</v>
      </c>
      <c r="G156" s="26" t="s">
        <v>253</v>
      </c>
      <c r="H156" s="26" t="s">
        <v>254</v>
      </c>
      <c r="I156" s="26" t="s">
        <v>65</v>
      </c>
      <c r="J156" s="26">
        <v>1140</v>
      </c>
      <c r="K156" s="26">
        <v>7571350</v>
      </c>
      <c r="L156" s="26" t="s">
        <v>268</v>
      </c>
      <c r="M156" s="26" t="s">
        <v>32</v>
      </c>
      <c r="N156" s="48">
        <f>IF(_Shipments[[#This Row],[Embalagem]]="Big Bag",_Shipments[[#This Row],[Qtd.]]*_Shipments[[#This Row],[Qtde. sacos/palete]],_Shipments[[#This Row],[Qtd.]])</f>
        <v>1140</v>
      </c>
      <c r="O156" s="49">
        <f>_xlfn.XLOOKUP(_Shipments[[#This Row],[CLN]],[2]Dados!$D:$D,[2]Dados!$R:$R,"-")</f>
        <v>60</v>
      </c>
      <c r="P156" s="49" t="str" cm="1">
        <f t="array" ref="P156">_xlfn.LET(_xlpm.t,_xlfn.XLOOKUP(_Shipments[[#This Row],[CLN]],[2]Dados!$D:$D,[2]Dados!$Q:$Q,"-"),_xlfn.IFS(LEFT(_xlpm.t,3)="PAS","Saco",LEFT(_xlpm.t,3)="PBT","Big Bag",TRUE,"-"))</f>
        <v>Saco</v>
      </c>
      <c r="Q156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16.010000000000002</v>
      </c>
      <c r="R156" s="89">
        <f>IF(_Shipments[[#This Row],[Embalagem]]="Big Bag",_Shipments[[#This Row],[Qtd.]],ROUNDUP(_Shipments[[#This Row],[Qtd.]]/_Shipments[[#This Row],[Qtde. sacos/palete]],0))</f>
        <v>19</v>
      </c>
      <c r="S156" s="26" t="s">
        <v>166</v>
      </c>
      <c r="T156" s="26">
        <v>34991694434</v>
      </c>
      <c r="U156" s="26" t="s">
        <v>167</v>
      </c>
      <c r="V156" s="26" t="s">
        <v>168</v>
      </c>
      <c r="W156" s="26" t="s">
        <v>126</v>
      </c>
    </row>
    <row r="157" spans="1:23" x14ac:dyDescent="0.25">
      <c r="A157" s="47">
        <f>_xlfn.XLOOKUP(_Shipments[[#This Row],[Shipment]],[1]Report!$G:$G,[1]Report!$B:$B,"-")</f>
        <v>46287.375</v>
      </c>
      <c r="B157" s="26">
        <v>7244337</v>
      </c>
      <c r="C157" s="26">
        <v>5541985989</v>
      </c>
      <c r="D157" s="26">
        <v>1</v>
      </c>
      <c r="E157" s="26" t="s">
        <v>263</v>
      </c>
      <c r="F157" s="26">
        <v>894</v>
      </c>
      <c r="G157" s="26" t="s">
        <v>253</v>
      </c>
      <c r="H157" s="26" t="s">
        <v>254</v>
      </c>
      <c r="I157" s="26" t="s">
        <v>65</v>
      </c>
      <c r="J157" s="26">
        <v>894</v>
      </c>
      <c r="K157" s="26">
        <v>7571358</v>
      </c>
      <c r="L157" s="26" t="s">
        <v>269</v>
      </c>
      <c r="M157" s="26" t="s">
        <v>270</v>
      </c>
      <c r="N157" s="48">
        <f>IF(_Shipments[[#This Row],[Embalagem]]="Big Bag",_Shipments[[#This Row],[Qtd.]]*_Shipments[[#This Row],[Qtde. sacos/palete]],_Shipments[[#This Row],[Qtd.]])</f>
        <v>894</v>
      </c>
      <c r="O157" s="49">
        <f>_xlfn.XLOOKUP(_Shipments[[#This Row],[CLN]],[2]Dados!$D:$D,[2]Dados!$R:$R,"-")</f>
        <v>70</v>
      </c>
      <c r="P157" s="49" t="str" cm="1">
        <f t="array" ref="P157">_xlfn.LET(_xlpm.t,_xlfn.XLOOKUP(_Shipments[[#This Row],[CLN]],[2]Dados!$D:$D,[2]Dados!$Q:$Q,"-"),_xlfn.IFS(LEFT(_xlpm.t,3)="PAS","Saco",LEFT(_xlpm.t,3)="PBT","Big Bag",TRUE,"-"))</f>
        <v>Saco</v>
      </c>
      <c r="Q157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13.89</v>
      </c>
      <c r="R157" s="89">
        <f>IF(_Shipments[[#This Row],[Embalagem]]="Big Bag",_Shipments[[#This Row],[Qtd.]],ROUNDUP(_Shipments[[#This Row],[Qtd.]]/_Shipments[[#This Row],[Qtde. sacos/palete]],0))</f>
        <v>13</v>
      </c>
      <c r="S157" s="26" t="s">
        <v>225</v>
      </c>
      <c r="T157" s="26">
        <v>34991337791</v>
      </c>
      <c r="U157" s="26" t="s">
        <v>120</v>
      </c>
      <c r="V157" s="26" t="s">
        <v>121</v>
      </c>
      <c r="W157" s="26" t="s">
        <v>126</v>
      </c>
    </row>
    <row r="158" spans="1:23" x14ac:dyDescent="0.25">
      <c r="A158" s="47">
        <f>_xlfn.XLOOKUP(_Shipments[[#This Row],[Shipment]],[1]Report!$G:$G,[1]Report!$B:$B,"-")</f>
        <v>46287.375</v>
      </c>
      <c r="B158" s="26">
        <v>7244337</v>
      </c>
      <c r="C158" s="26">
        <v>5541985989</v>
      </c>
      <c r="D158" s="26">
        <v>2</v>
      </c>
      <c r="E158" s="26" t="s">
        <v>263</v>
      </c>
      <c r="F158" s="26">
        <v>360</v>
      </c>
      <c r="G158" s="26" t="s">
        <v>253</v>
      </c>
      <c r="H158" s="26" t="s">
        <v>254</v>
      </c>
      <c r="I158" s="26" t="s">
        <v>65</v>
      </c>
      <c r="J158" s="26">
        <v>360</v>
      </c>
      <c r="K158" s="26">
        <v>7571362</v>
      </c>
      <c r="L158" s="26" t="s">
        <v>271</v>
      </c>
      <c r="M158" s="26" t="s">
        <v>270</v>
      </c>
      <c r="N158" s="48">
        <f>IF(_Shipments[[#This Row],[Embalagem]]="Big Bag",_Shipments[[#This Row],[Qtd.]]*_Shipments[[#This Row],[Qtde. sacos/palete]],_Shipments[[#This Row],[Qtd.]])</f>
        <v>360</v>
      </c>
      <c r="O158" s="49">
        <f>_xlfn.XLOOKUP(_Shipments[[#This Row],[CLN]],[2]Dados!$D:$D,[2]Dados!$R:$R,"-")</f>
        <v>70</v>
      </c>
      <c r="P158" s="49" t="str" cm="1">
        <f t="array" ref="P158">_xlfn.LET(_xlpm.t,_xlfn.XLOOKUP(_Shipments[[#This Row],[CLN]],[2]Dados!$D:$D,[2]Dados!$Q:$Q,"-"),_xlfn.IFS(LEFT(_xlpm.t,3)="PAS","Saco",LEFT(_xlpm.t,3)="PBT","Big Bag",TRUE,"-"))</f>
        <v>Saco</v>
      </c>
      <c r="Q158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13.85</v>
      </c>
      <c r="R158" s="89">
        <f>IF(_Shipments[[#This Row],[Embalagem]]="Big Bag",_Shipments[[#This Row],[Qtd.]],ROUNDUP(_Shipments[[#This Row],[Qtd.]]/_Shipments[[#This Row],[Qtde. sacos/palete]],0))</f>
        <v>6</v>
      </c>
      <c r="S158" s="26" t="s">
        <v>225</v>
      </c>
      <c r="T158" s="26">
        <v>34991337791</v>
      </c>
      <c r="U158" s="26" t="s">
        <v>120</v>
      </c>
      <c r="V158" s="26" t="s">
        <v>121</v>
      </c>
      <c r="W158" s="26" t="s">
        <v>126</v>
      </c>
    </row>
    <row r="159" spans="1:23" x14ac:dyDescent="0.25">
      <c r="A159" s="47">
        <f>_xlfn.XLOOKUP(_Shipments[[#This Row],[Shipment]],[1]Report!$G:$G,[1]Report!$B:$B,"-")</f>
        <v>46288.333333333336</v>
      </c>
      <c r="B159" s="26">
        <v>7244338</v>
      </c>
      <c r="C159" s="26">
        <v>5541985990</v>
      </c>
      <c r="D159" s="26">
        <v>1</v>
      </c>
      <c r="E159" s="26" t="s">
        <v>263</v>
      </c>
      <c r="F159" s="26">
        <v>1100</v>
      </c>
      <c r="G159" s="26" t="s">
        <v>253</v>
      </c>
      <c r="H159" s="26" t="s">
        <v>254</v>
      </c>
      <c r="I159" s="26" t="s">
        <v>65</v>
      </c>
      <c r="J159" s="26">
        <v>1100</v>
      </c>
      <c r="K159" s="26">
        <v>7571371</v>
      </c>
      <c r="L159" s="26" t="s">
        <v>272</v>
      </c>
      <c r="M159" s="26" t="s">
        <v>270</v>
      </c>
      <c r="N159" s="48">
        <f>IF(_Shipments[[#This Row],[Embalagem]]="Big Bag",_Shipments[[#This Row],[Qtd.]]*_Shipments[[#This Row],[Qtde. sacos/palete]],_Shipments[[#This Row],[Qtd.]])</f>
        <v>1100</v>
      </c>
      <c r="O159" s="49">
        <f>_xlfn.XLOOKUP(_Shipments[[#This Row],[CLN]],[2]Dados!$D:$D,[2]Dados!$R:$R,"-")</f>
        <v>70</v>
      </c>
      <c r="P159" s="49" t="str" cm="1">
        <f t="array" ref="P159">_xlfn.LET(_xlpm.t,_xlfn.XLOOKUP(_Shipments[[#This Row],[CLN]],[2]Dados!$D:$D,[2]Dados!$Q:$Q,"-"),_xlfn.IFS(LEFT(_xlpm.t,3)="PAS","Saco",LEFT(_xlpm.t,3)="PBT","Big Bag",TRUE,"-"))</f>
        <v>Saco</v>
      </c>
      <c r="Q159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13.57</v>
      </c>
      <c r="R159" s="89">
        <f>IF(_Shipments[[#This Row],[Embalagem]]="Big Bag",_Shipments[[#This Row],[Qtd.]],ROUNDUP(_Shipments[[#This Row],[Qtd.]]/_Shipments[[#This Row],[Qtde. sacos/palete]],0))</f>
        <v>16</v>
      </c>
      <c r="S159" s="26" t="s">
        <v>249</v>
      </c>
      <c r="T159" s="26">
        <v>34996968579</v>
      </c>
      <c r="U159" s="26" t="s">
        <v>250</v>
      </c>
      <c r="V159" s="26" t="s">
        <v>251</v>
      </c>
      <c r="W159" s="26" t="s">
        <v>126</v>
      </c>
    </row>
    <row r="160" spans="1:23" x14ac:dyDescent="0.25">
      <c r="A160" s="47">
        <f>_xlfn.XLOOKUP(_Shipments[[#This Row],[Shipment]],[1]Report!$G:$G,[1]Report!$B:$B,"-")</f>
        <v>46288.333333333336</v>
      </c>
      <c r="B160" s="26">
        <v>7244338</v>
      </c>
      <c r="C160" s="26">
        <v>5541985990</v>
      </c>
      <c r="D160" s="26">
        <v>2</v>
      </c>
      <c r="E160" s="26" t="s">
        <v>263</v>
      </c>
      <c r="F160" s="26">
        <v>300</v>
      </c>
      <c r="G160" s="26" t="s">
        <v>253</v>
      </c>
      <c r="H160" s="26" t="s">
        <v>254</v>
      </c>
      <c r="I160" s="26" t="s">
        <v>65</v>
      </c>
      <c r="J160" s="26">
        <v>300</v>
      </c>
      <c r="K160" s="26">
        <v>7571362</v>
      </c>
      <c r="L160" s="26" t="s">
        <v>271</v>
      </c>
      <c r="M160" s="26" t="s">
        <v>270</v>
      </c>
      <c r="N160" s="48">
        <f>IF(_Shipments[[#This Row],[Embalagem]]="Big Bag",_Shipments[[#This Row],[Qtd.]]*_Shipments[[#This Row],[Qtde. sacos/palete]],_Shipments[[#This Row],[Qtd.]])</f>
        <v>300</v>
      </c>
      <c r="O160" s="49">
        <f>_xlfn.XLOOKUP(_Shipments[[#This Row],[CLN]],[2]Dados!$D:$D,[2]Dados!$R:$R,"-")</f>
        <v>70</v>
      </c>
      <c r="P160" s="49" t="str" cm="1">
        <f t="array" ref="P160">_xlfn.LET(_xlpm.t,_xlfn.XLOOKUP(_Shipments[[#This Row],[CLN]],[2]Dados!$D:$D,[2]Dados!$Q:$Q,"-"),_xlfn.IFS(LEFT(_xlpm.t,3)="PAS","Saco",LEFT(_xlpm.t,3)="PBT","Big Bag",TRUE,"-"))</f>
        <v>Saco</v>
      </c>
      <c r="Q160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13.85</v>
      </c>
      <c r="R160" s="89">
        <f>IF(_Shipments[[#This Row],[Embalagem]]="Big Bag",_Shipments[[#This Row],[Qtd.]],ROUNDUP(_Shipments[[#This Row],[Qtd.]]/_Shipments[[#This Row],[Qtde. sacos/palete]],0))</f>
        <v>5</v>
      </c>
      <c r="S160" s="26" t="s">
        <v>249</v>
      </c>
      <c r="T160" s="26">
        <v>34996968579</v>
      </c>
      <c r="U160" s="26" t="s">
        <v>250</v>
      </c>
      <c r="V160" s="26" t="s">
        <v>251</v>
      </c>
      <c r="W160" s="26" t="s">
        <v>126</v>
      </c>
    </row>
    <row r="161" spans="1:23" x14ac:dyDescent="0.25">
      <c r="A161" s="47">
        <f>_xlfn.XLOOKUP(_Shipments[[#This Row],[Shipment]],[1]Report!$G:$G,[1]Report!$B:$B,"-")</f>
        <v>46288.333333333336</v>
      </c>
      <c r="B161" s="26">
        <v>7244339</v>
      </c>
      <c r="C161" s="26">
        <v>5541985991</v>
      </c>
      <c r="D161" s="26">
        <v>1</v>
      </c>
      <c r="E161" s="26" t="s">
        <v>263</v>
      </c>
      <c r="F161" s="26">
        <v>263</v>
      </c>
      <c r="G161" s="26" t="s">
        <v>253</v>
      </c>
      <c r="H161" s="26" t="s">
        <v>254</v>
      </c>
      <c r="I161" s="26" t="s">
        <v>65</v>
      </c>
      <c r="J161" s="26">
        <v>263</v>
      </c>
      <c r="K161" s="26">
        <v>7571362</v>
      </c>
      <c r="L161" s="26" t="s">
        <v>271</v>
      </c>
      <c r="M161" s="26" t="s">
        <v>270</v>
      </c>
      <c r="N161" s="48">
        <f>IF(_Shipments[[#This Row],[Embalagem]]="Big Bag",_Shipments[[#This Row],[Qtd.]]*_Shipments[[#This Row],[Qtde. sacos/palete]],_Shipments[[#This Row],[Qtd.]])</f>
        <v>263</v>
      </c>
      <c r="O161" s="49">
        <f>_xlfn.XLOOKUP(_Shipments[[#This Row],[CLN]],[2]Dados!$D:$D,[2]Dados!$R:$R,"-")</f>
        <v>70</v>
      </c>
      <c r="P161" s="49" t="str" cm="1">
        <f t="array" ref="P161">_xlfn.LET(_xlpm.t,_xlfn.XLOOKUP(_Shipments[[#This Row],[CLN]],[2]Dados!$D:$D,[2]Dados!$Q:$Q,"-"),_xlfn.IFS(LEFT(_xlpm.t,3)="PAS","Saco",LEFT(_xlpm.t,3)="PBT","Big Bag",TRUE,"-"))</f>
        <v>Saco</v>
      </c>
      <c r="Q161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13.85</v>
      </c>
      <c r="R161" s="89">
        <f>IF(_Shipments[[#This Row],[Embalagem]]="Big Bag",_Shipments[[#This Row],[Qtd.]],ROUNDUP(_Shipments[[#This Row],[Qtd.]]/_Shipments[[#This Row],[Qtde. sacos/palete]],0))</f>
        <v>4</v>
      </c>
      <c r="S161" s="26" t="s">
        <v>131</v>
      </c>
      <c r="T161" s="26">
        <v>34999248710</v>
      </c>
      <c r="U161" s="26" t="s">
        <v>132</v>
      </c>
      <c r="V161" s="26" t="s">
        <v>133</v>
      </c>
      <c r="W161" s="26" t="s">
        <v>126</v>
      </c>
    </row>
    <row r="162" spans="1:23" x14ac:dyDescent="0.25">
      <c r="A162" s="47">
        <f>_xlfn.XLOOKUP(_Shipments[[#This Row],[Shipment]],[1]Report!$G:$G,[1]Report!$B:$B,"-")</f>
        <v>46288.333333333336</v>
      </c>
      <c r="B162" s="26">
        <v>7244339</v>
      </c>
      <c r="C162" s="26">
        <v>5541985991</v>
      </c>
      <c r="D162" s="26">
        <v>2</v>
      </c>
      <c r="E162" s="26" t="s">
        <v>263</v>
      </c>
      <c r="F162" s="26">
        <v>952</v>
      </c>
      <c r="G162" s="26" t="s">
        <v>253</v>
      </c>
      <c r="H162" s="26" t="s">
        <v>254</v>
      </c>
      <c r="I162" s="26" t="s">
        <v>65</v>
      </c>
      <c r="J162" s="26">
        <v>952</v>
      </c>
      <c r="K162" s="26">
        <v>7571366</v>
      </c>
      <c r="L162" s="26" t="s">
        <v>273</v>
      </c>
      <c r="M162" s="26" t="s">
        <v>270</v>
      </c>
      <c r="N162" s="48">
        <f>IF(_Shipments[[#This Row],[Embalagem]]="Big Bag",_Shipments[[#This Row],[Qtd.]]*_Shipments[[#This Row],[Qtde. sacos/palete]],_Shipments[[#This Row],[Qtd.]])</f>
        <v>952</v>
      </c>
      <c r="O162" s="49">
        <f>_xlfn.XLOOKUP(_Shipments[[#This Row],[CLN]],[2]Dados!$D:$D,[2]Dados!$R:$R,"-")</f>
        <v>70</v>
      </c>
      <c r="P162" s="49" t="str" cm="1">
        <f t="array" ref="P162">_xlfn.LET(_xlpm.t,_xlfn.XLOOKUP(_Shipments[[#This Row],[CLN]],[2]Dados!$D:$D,[2]Dados!$Q:$Q,"-"),_xlfn.IFS(LEFT(_xlpm.t,3)="PAS","Saco",LEFT(_xlpm.t,3)="PBT","Big Bag",TRUE,"-"))</f>
        <v>Saco</v>
      </c>
      <c r="Q162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13.77</v>
      </c>
      <c r="R162" s="89">
        <f>IF(_Shipments[[#This Row],[Embalagem]]="Big Bag",_Shipments[[#This Row],[Qtd.]],ROUNDUP(_Shipments[[#This Row],[Qtd.]]/_Shipments[[#This Row],[Qtde. sacos/palete]],0))</f>
        <v>14</v>
      </c>
      <c r="S162" s="26" t="s">
        <v>131</v>
      </c>
      <c r="T162" s="26">
        <v>34999248710</v>
      </c>
      <c r="U162" s="26" t="s">
        <v>132</v>
      </c>
      <c r="V162" s="26" t="s">
        <v>133</v>
      </c>
      <c r="W162" s="26" t="s">
        <v>126</v>
      </c>
    </row>
    <row r="163" spans="1:23" x14ac:dyDescent="0.25">
      <c r="A163" s="47">
        <f>_xlfn.XLOOKUP(_Shipments[[#This Row],[Shipment]],[1]Report!$G:$G,[1]Report!$B:$B,"-")</f>
        <v>46288.375</v>
      </c>
      <c r="B163" s="26">
        <v>7244340</v>
      </c>
      <c r="C163" s="26">
        <v>5541985993</v>
      </c>
      <c r="D163" s="26">
        <v>1</v>
      </c>
      <c r="E163" s="26" t="s">
        <v>258</v>
      </c>
      <c r="F163" s="26">
        <v>836</v>
      </c>
      <c r="G163" s="26" t="s">
        <v>253</v>
      </c>
      <c r="H163" s="26" t="s">
        <v>254</v>
      </c>
      <c r="I163" s="26" t="s">
        <v>65</v>
      </c>
      <c r="J163" s="26">
        <v>836</v>
      </c>
      <c r="K163" s="26">
        <v>7571413</v>
      </c>
      <c r="L163" s="26" t="s">
        <v>274</v>
      </c>
      <c r="M163" s="26" t="s">
        <v>29</v>
      </c>
      <c r="N163" s="48">
        <f>IF(_Shipments[[#This Row],[Embalagem]]="Big Bag",_Shipments[[#This Row],[Qtd.]]*_Shipments[[#This Row],[Qtde. sacos/palete]],_Shipments[[#This Row],[Qtd.]])</f>
        <v>836</v>
      </c>
      <c r="O163" s="49">
        <f>_xlfn.XLOOKUP(_Shipments[[#This Row],[CLN]],[2]Dados!$D:$D,[2]Dados!$R:$R,"-")</f>
        <v>70</v>
      </c>
      <c r="P163" s="49" t="str" cm="1">
        <f t="array" ref="P163">_xlfn.LET(_xlpm.t,_xlfn.XLOOKUP(_Shipments[[#This Row],[CLN]],[2]Dados!$D:$D,[2]Dados!$Q:$Q,"-"),_xlfn.IFS(LEFT(_xlpm.t,3)="PAS","Saco",LEFT(_xlpm.t,3)="PBT","Big Bag",TRUE,"-"))</f>
        <v>Saco</v>
      </c>
      <c r="Q163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14.19</v>
      </c>
      <c r="R163" s="89">
        <f>IF(_Shipments[[#This Row],[Embalagem]]="Big Bag",_Shipments[[#This Row],[Qtd.]],ROUNDUP(_Shipments[[#This Row],[Qtd.]]/_Shipments[[#This Row],[Qtde. sacos/palete]],0))</f>
        <v>12</v>
      </c>
      <c r="S163" s="26" t="s">
        <v>158</v>
      </c>
      <c r="T163" s="26">
        <v>34992119997</v>
      </c>
      <c r="U163" s="26" t="s">
        <v>134</v>
      </c>
      <c r="V163" s="26" t="s">
        <v>135</v>
      </c>
      <c r="W163" s="26" t="s">
        <v>126</v>
      </c>
    </row>
    <row r="164" spans="1:23" x14ac:dyDescent="0.25">
      <c r="A164" s="47">
        <f>_xlfn.XLOOKUP(_Shipments[[#This Row],[Shipment]],[1]Report!$G:$G,[1]Report!$B:$B,"-")</f>
        <v>46288.375</v>
      </c>
      <c r="B164" s="26">
        <v>7244340</v>
      </c>
      <c r="C164" s="26">
        <v>5541985993</v>
      </c>
      <c r="D164" s="26">
        <v>2</v>
      </c>
      <c r="E164" s="26" t="s">
        <v>260</v>
      </c>
      <c r="F164" s="26">
        <v>600</v>
      </c>
      <c r="G164" s="26" t="s">
        <v>253</v>
      </c>
      <c r="H164" s="26" t="s">
        <v>254</v>
      </c>
      <c r="I164" s="26" t="s">
        <v>65</v>
      </c>
      <c r="J164" s="26">
        <v>600</v>
      </c>
      <c r="K164" s="26">
        <v>7571430</v>
      </c>
      <c r="L164" s="26" t="s">
        <v>275</v>
      </c>
      <c r="M164" s="26" t="s">
        <v>262</v>
      </c>
      <c r="N164" s="48">
        <f>IF(_Shipments[[#This Row],[Embalagem]]="Big Bag",_Shipments[[#This Row],[Qtd.]]*_Shipments[[#This Row],[Qtde. sacos/palete]],_Shipments[[#This Row],[Qtd.]])</f>
        <v>600</v>
      </c>
      <c r="O164" s="49">
        <f>_xlfn.XLOOKUP(_Shipments[[#This Row],[CLN]],[2]Dados!$D:$D,[2]Dados!$R:$R,"-")</f>
        <v>75</v>
      </c>
      <c r="P164" s="49" t="str" cm="1">
        <f t="array" ref="P164">_xlfn.LET(_xlpm.t,_xlfn.XLOOKUP(_Shipments[[#This Row],[CLN]],[2]Dados!$D:$D,[2]Dados!$Q:$Q,"-"),_xlfn.IFS(LEFT(_xlpm.t,3)="PAS","Saco",LEFT(_xlpm.t,3)="PBT","Big Bag",TRUE,"-"))</f>
        <v>Saco</v>
      </c>
      <c r="Q164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12.25</v>
      </c>
      <c r="R164" s="89">
        <f>IF(_Shipments[[#This Row],[Embalagem]]="Big Bag",_Shipments[[#This Row],[Qtd.]],ROUNDUP(_Shipments[[#This Row],[Qtd.]]/_Shipments[[#This Row],[Qtde. sacos/palete]],0))</f>
        <v>8</v>
      </c>
      <c r="S164" s="26" t="s">
        <v>158</v>
      </c>
      <c r="T164" s="26">
        <v>34992119997</v>
      </c>
      <c r="U164" s="26" t="s">
        <v>134</v>
      </c>
      <c r="V164" s="26" t="s">
        <v>135</v>
      </c>
      <c r="W164" s="26" t="s">
        <v>126</v>
      </c>
    </row>
    <row r="165" spans="1:23" x14ac:dyDescent="0.25">
      <c r="A165" s="47">
        <f>_xlfn.XLOOKUP(_Shipments[[#This Row],[Shipment]],[1]Report!$G:$G,[1]Report!$B:$B,"-")</f>
        <v>46288.375</v>
      </c>
      <c r="B165" s="26">
        <v>7244341</v>
      </c>
      <c r="C165" s="26">
        <v>5541985994</v>
      </c>
      <c r="D165" s="26">
        <v>1</v>
      </c>
      <c r="E165" s="26" t="s">
        <v>260</v>
      </c>
      <c r="F165" s="26">
        <v>327</v>
      </c>
      <c r="G165" s="26" t="s">
        <v>253</v>
      </c>
      <c r="H165" s="26" t="s">
        <v>254</v>
      </c>
      <c r="I165" s="26" t="s">
        <v>65</v>
      </c>
      <c r="J165" s="26">
        <v>327</v>
      </c>
      <c r="K165" s="26">
        <v>7571430</v>
      </c>
      <c r="L165" s="26" t="s">
        <v>275</v>
      </c>
      <c r="M165" s="26" t="s">
        <v>262</v>
      </c>
      <c r="N165" s="48">
        <f>IF(_Shipments[[#This Row],[Embalagem]]="Big Bag",_Shipments[[#This Row],[Qtd.]]*_Shipments[[#This Row],[Qtde. sacos/palete]],_Shipments[[#This Row],[Qtd.]])</f>
        <v>327</v>
      </c>
      <c r="O165" s="49">
        <f>_xlfn.XLOOKUP(_Shipments[[#This Row],[CLN]],[2]Dados!$D:$D,[2]Dados!$R:$R,"-")</f>
        <v>75</v>
      </c>
      <c r="P165" s="49" t="str" cm="1">
        <f t="array" ref="P165">_xlfn.LET(_xlpm.t,_xlfn.XLOOKUP(_Shipments[[#This Row],[CLN]],[2]Dados!$D:$D,[2]Dados!$Q:$Q,"-"),_xlfn.IFS(LEFT(_xlpm.t,3)="PAS","Saco",LEFT(_xlpm.t,3)="PBT","Big Bag",TRUE,"-"))</f>
        <v>Saco</v>
      </c>
      <c r="Q165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12.25</v>
      </c>
      <c r="R165" s="89">
        <f>IF(_Shipments[[#This Row],[Embalagem]]="Big Bag",_Shipments[[#This Row],[Qtd.]],ROUNDUP(_Shipments[[#This Row],[Qtd.]]/_Shipments[[#This Row],[Qtde. sacos/palete]],0))</f>
        <v>5</v>
      </c>
      <c r="S165" s="26" t="s">
        <v>128</v>
      </c>
      <c r="T165" s="26">
        <v>34997330803</v>
      </c>
      <c r="U165" s="26" t="s">
        <v>129</v>
      </c>
      <c r="V165" s="26" t="s">
        <v>130</v>
      </c>
      <c r="W165" s="26" t="s">
        <v>126</v>
      </c>
    </row>
    <row r="166" spans="1:23" x14ac:dyDescent="0.25">
      <c r="A166" s="47">
        <f>_xlfn.XLOOKUP(_Shipments[[#This Row],[Shipment]],[1]Report!$G:$G,[1]Report!$B:$B,"-")</f>
        <v>46288.375</v>
      </c>
      <c r="B166" s="26">
        <v>7244341</v>
      </c>
      <c r="C166" s="26">
        <v>5541985994</v>
      </c>
      <c r="D166" s="26">
        <v>2</v>
      </c>
      <c r="E166" s="26" t="s">
        <v>260</v>
      </c>
      <c r="F166" s="26">
        <v>1128</v>
      </c>
      <c r="G166" s="26" t="s">
        <v>253</v>
      </c>
      <c r="H166" s="26" t="s">
        <v>254</v>
      </c>
      <c r="I166" s="26" t="s">
        <v>65</v>
      </c>
      <c r="J166" s="26">
        <v>1128</v>
      </c>
      <c r="K166" s="26">
        <v>7571431</v>
      </c>
      <c r="L166" s="26" t="s">
        <v>276</v>
      </c>
      <c r="M166" s="26" t="s">
        <v>262</v>
      </c>
      <c r="N166" s="48">
        <f>IF(_Shipments[[#This Row],[Embalagem]]="Big Bag",_Shipments[[#This Row],[Qtd.]]*_Shipments[[#This Row],[Qtde. sacos/palete]],_Shipments[[#This Row],[Qtd.]])</f>
        <v>1128</v>
      </c>
      <c r="O166" s="49">
        <f>_xlfn.XLOOKUP(_Shipments[[#This Row],[CLN]],[2]Dados!$D:$D,[2]Dados!$R:$R,"-")</f>
        <v>75</v>
      </c>
      <c r="P166" s="49" t="str" cm="1">
        <f t="array" ref="P166">_xlfn.LET(_xlpm.t,_xlfn.XLOOKUP(_Shipments[[#This Row],[CLN]],[2]Dados!$D:$D,[2]Dados!$Q:$Q,"-"),_xlfn.IFS(LEFT(_xlpm.t,3)="PAS","Saco",LEFT(_xlpm.t,3)="PBT","Big Bag",TRUE,"-"))</f>
        <v>Saco</v>
      </c>
      <c r="Q166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12.14</v>
      </c>
      <c r="R166" s="89">
        <f>IF(_Shipments[[#This Row],[Embalagem]]="Big Bag",_Shipments[[#This Row],[Qtd.]],ROUNDUP(_Shipments[[#This Row],[Qtd.]]/_Shipments[[#This Row],[Qtde. sacos/palete]],0))</f>
        <v>16</v>
      </c>
      <c r="S166" s="26" t="s">
        <v>128</v>
      </c>
      <c r="T166" s="26">
        <v>34997330803</v>
      </c>
      <c r="U166" s="26" t="s">
        <v>129</v>
      </c>
      <c r="V166" s="26" t="s">
        <v>130</v>
      </c>
      <c r="W166" s="26" t="s">
        <v>126</v>
      </c>
    </row>
    <row r="167" spans="1:23" x14ac:dyDescent="0.25">
      <c r="A167" s="47">
        <f>_xlfn.XLOOKUP(_Shipments[[#This Row],[Shipment]],[1]Report!$G:$G,[1]Report!$B:$B,"-")</f>
        <v>46290.333333333336</v>
      </c>
      <c r="B167" s="26">
        <v>7244342</v>
      </c>
      <c r="C167" s="26">
        <v>5541985995</v>
      </c>
      <c r="D167" s="26">
        <v>1</v>
      </c>
      <c r="E167" s="26" t="s">
        <v>263</v>
      </c>
      <c r="F167" s="26">
        <v>1299</v>
      </c>
      <c r="G167" s="26" t="s">
        <v>253</v>
      </c>
      <c r="H167" s="26" t="s">
        <v>254</v>
      </c>
      <c r="I167" s="26" t="s">
        <v>65</v>
      </c>
      <c r="J167" s="26">
        <v>1299</v>
      </c>
      <c r="K167" s="26">
        <v>7571369</v>
      </c>
      <c r="L167" s="26" t="s">
        <v>277</v>
      </c>
      <c r="M167" s="26" t="s">
        <v>270</v>
      </c>
      <c r="N167" s="48">
        <f>IF(_Shipments[[#This Row],[Embalagem]]="Big Bag",_Shipments[[#This Row],[Qtd.]]*_Shipments[[#This Row],[Qtde. sacos/palete]],_Shipments[[#This Row],[Qtd.]])</f>
        <v>1299</v>
      </c>
      <c r="O167" s="49">
        <f>_xlfn.XLOOKUP(_Shipments[[#This Row],[CLN]],[2]Dados!$D:$D,[2]Dados!$R:$R,"-")</f>
        <v>70</v>
      </c>
      <c r="P167" s="49" t="str" cm="1">
        <f t="array" ref="P167">_xlfn.LET(_xlpm.t,_xlfn.XLOOKUP(_Shipments[[#This Row],[CLN]],[2]Dados!$D:$D,[2]Dados!$Q:$Q,"-"),_xlfn.IFS(LEFT(_xlpm.t,3)="PAS","Saco",LEFT(_xlpm.t,3)="PBT","Big Bag",TRUE,"-"))</f>
        <v>Saco</v>
      </c>
      <c r="Q167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13.76</v>
      </c>
      <c r="R167" s="89">
        <f>IF(_Shipments[[#This Row],[Embalagem]]="Big Bag",_Shipments[[#This Row],[Qtd.]],ROUNDUP(_Shipments[[#This Row],[Qtd.]]/_Shipments[[#This Row],[Qtde. sacos/palete]],0))</f>
        <v>19</v>
      </c>
      <c r="S167" s="26" t="s">
        <v>225</v>
      </c>
      <c r="T167" s="26">
        <v>34991337791</v>
      </c>
      <c r="U167" s="26" t="s">
        <v>120</v>
      </c>
      <c r="V167" s="26" t="s">
        <v>121</v>
      </c>
      <c r="W167" s="26" t="s">
        <v>126</v>
      </c>
    </row>
    <row r="168" spans="1:23" x14ac:dyDescent="0.25">
      <c r="A168" s="47">
        <f>_xlfn.XLOOKUP(_Shipments[[#This Row],[Shipment]],[1]Report!$G:$G,[1]Report!$B:$B,"-")</f>
        <v>46290.333333333336</v>
      </c>
      <c r="B168" s="26">
        <v>7244343</v>
      </c>
      <c r="C168" s="26">
        <v>5541985996</v>
      </c>
      <c r="D168" s="26">
        <v>1</v>
      </c>
      <c r="E168" s="26" t="s">
        <v>263</v>
      </c>
      <c r="F168" s="26">
        <v>326</v>
      </c>
      <c r="G168" s="26" t="s">
        <v>253</v>
      </c>
      <c r="H168" s="26" t="s">
        <v>254</v>
      </c>
      <c r="I168" s="26" t="s">
        <v>65</v>
      </c>
      <c r="J168" s="26">
        <v>326</v>
      </c>
      <c r="K168" s="26">
        <v>7571368</v>
      </c>
      <c r="L168" s="26" t="s">
        <v>278</v>
      </c>
      <c r="M168" s="26" t="s">
        <v>270</v>
      </c>
      <c r="N168" s="48">
        <f>IF(_Shipments[[#This Row],[Embalagem]]="Big Bag",_Shipments[[#This Row],[Qtd.]]*_Shipments[[#This Row],[Qtde. sacos/palete]],_Shipments[[#This Row],[Qtd.]])</f>
        <v>326</v>
      </c>
      <c r="O168" s="49">
        <f>_xlfn.XLOOKUP(_Shipments[[#This Row],[CLN]],[2]Dados!$D:$D,[2]Dados!$R:$R,"-")</f>
        <v>70</v>
      </c>
      <c r="P168" s="49" t="str" cm="1">
        <f t="array" ref="P168">_xlfn.LET(_xlpm.t,_xlfn.XLOOKUP(_Shipments[[#This Row],[CLN]],[2]Dados!$D:$D,[2]Dados!$Q:$Q,"-"),_xlfn.IFS(LEFT(_xlpm.t,3)="PAS","Saco",LEFT(_xlpm.t,3)="PBT","Big Bag",TRUE,"-"))</f>
        <v>Saco</v>
      </c>
      <c r="Q168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13.8</v>
      </c>
      <c r="R168" s="89">
        <f>IF(_Shipments[[#This Row],[Embalagem]]="Big Bag",_Shipments[[#This Row],[Qtd.]],ROUNDUP(_Shipments[[#This Row],[Qtd.]]/_Shipments[[#This Row],[Qtde. sacos/palete]],0))</f>
        <v>5</v>
      </c>
      <c r="S168" s="26" t="s">
        <v>316</v>
      </c>
      <c r="T168" s="26">
        <v>43998471112</v>
      </c>
      <c r="U168" s="26" t="s">
        <v>317</v>
      </c>
      <c r="V168" s="26" t="s">
        <v>318</v>
      </c>
      <c r="W168" s="26" t="s">
        <v>126</v>
      </c>
    </row>
    <row r="169" spans="1:23" x14ac:dyDescent="0.25">
      <c r="A169" s="47">
        <f>_xlfn.XLOOKUP(_Shipments[[#This Row],[Shipment]],[1]Report!$G:$G,[1]Report!$B:$B,"-")</f>
        <v>46290.333333333336</v>
      </c>
      <c r="B169" s="26">
        <v>7244343</v>
      </c>
      <c r="C169" s="26">
        <v>5541985996</v>
      </c>
      <c r="D169" s="26">
        <v>2</v>
      </c>
      <c r="E169" s="26" t="s">
        <v>258</v>
      </c>
      <c r="F169" s="26">
        <v>1000</v>
      </c>
      <c r="G169" s="26" t="s">
        <v>253</v>
      </c>
      <c r="H169" s="26" t="s">
        <v>254</v>
      </c>
      <c r="I169" s="26" t="s">
        <v>65</v>
      </c>
      <c r="J169" s="26">
        <v>1000</v>
      </c>
      <c r="K169" s="26">
        <v>7571414</v>
      </c>
      <c r="L169" s="26" t="s">
        <v>279</v>
      </c>
      <c r="M169" s="26" t="s">
        <v>29</v>
      </c>
      <c r="N169" s="48">
        <f>IF(_Shipments[[#This Row],[Embalagem]]="Big Bag",_Shipments[[#This Row],[Qtd.]]*_Shipments[[#This Row],[Qtde. sacos/palete]],_Shipments[[#This Row],[Qtd.]])</f>
        <v>1000</v>
      </c>
      <c r="O169" s="49">
        <f>_xlfn.XLOOKUP(_Shipments[[#This Row],[CLN]],[2]Dados!$D:$D,[2]Dados!$R:$R,"-")</f>
        <v>70</v>
      </c>
      <c r="P169" s="49" t="str" cm="1">
        <f t="array" ref="P169">_xlfn.LET(_xlpm.t,_xlfn.XLOOKUP(_Shipments[[#This Row],[CLN]],[2]Dados!$D:$D,[2]Dados!$Q:$Q,"-"),_xlfn.IFS(LEFT(_xlpm.t,3)="PAS","Saco",LEFT(_xlpm.t,3)="PBT","Big Bag",TRUE,"-"))</f>
        <v>Saco</v>
      </c>
      <c r="Q169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14.06</v>
      </c>
      <c r="R169" s="89">
        <f>IF(_Shipments[[#This Row],[Embalagem]]="Big Bag",_Shipments[[#This Row],[Qtd.]],ROUNDUP(_Shipments[[#This Row],[Qtd.]]/_Shipments[[#This Row],[Qtde. sacos/palete]],0))</f>
        <v>15</v>
      </c>
      <c r="S169" s="26" t="s">
        <v>316</v>
      </c>
      <c r="T169" s="26">
        <v>43998471112</v>
      </c>
      <c r="U169" s="26" t="s">
        <v>317</v>
      </c>
      <c r="V169" s="26" t="s">
        <v>318</v>
      </c>
      <c r="W169" s="26" t="s">
        <v>126</v>
      </c>
    </row>
    <row r="170" spans="1:23" x14ac:dyDescent="0.25">
      <c r="A170" s="47">
        <f>_xlfn.XLOOKUP(_Shipments[[#This Row],[Shipment]],[1]Report!$G:$G,[1]Report!$B:$B,"-")</f>
        <v>46293.333333333336</v>
      </c>
      <c r="B170" s="26">
        <v>7246790</v>
      </c>
      <c r="C170" s="26">
        <v>5541989395</v>
      </c>
      <c r="D170" s="26">
        <v>1</v>
      </c>
      <c r="E170" s="26" t="s">
        <v>299</v>
      </c>
      <c r="F170" s="26">
        <v>8</v>
      </c>
      <c r="G170" s="26" t="s">
        <v>283</v>
      </c>
      <c r="H170" s="26" t="s">
        <v>64</v>
      </c>
      <c r="I170" s="26" t="s">
        <v>65</v>
      </c>
      <c r="J170" s="26">
        <v>8</v>
      </c>
      <c r="K170" s="26">
        <v>7573800</v>
      </c>
      <c r="L170" s="26" t="s">
        <v>303</v>
      </c>
      <c r="M170" s="26" t="s">
        <v>29</v>
      </c>
      <c r="N170" s="48">
        <f>IF(_Shipments[[#This Row],[Embalagem]]="Big Bag",_Shipments[[#This Row],[Qtd.]]*_Shipments[[#This Row],[Qtde. sacos/palete]],_Shipments[[#This Row],[Qtd.]])</f>
        <v>320</v>
      </c>
      <c r="O170" s="49">
        <f>_xlfn.XLOOKUP(_Shipments[[#This Row],[CLN]],[2]Dados!$D:$D,[2]Dados!$R:$R,"-")</f>
        <v>40</v>
      </c>
      <c r="P170" s="49" t="str" cm="1">
        <f t="array" ref="P170">_xlfn.LET(_xlpm.t,_xlfn.XLOOKUP(_Shipments[[#This Row],[CLN]],[2]Dados!$D:$D,[2]Dados!$Q:$Q,"-"),_xlfn.IFS(LEFT(_xlpm.t,3)="PAS","Saco",LEFT(_xlpm.t,3)="PBT","Big Bag",TRUE,"-"))</f>
        <v>Big Bag</v>
      </c>
      <c r="Q170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567.6</v>
      </c>
      <c r="R170" s="89">
        <f>IF(_Shipments[[#This Row],[Embalagem]]="Big Bag",_Shipments[[#This Row],[Qtd.]],ROUNDUP(_Shipments[[#This Row],[Qtd.]]/_Shipments[[#This Row],[Qtde. sacos/palete]],0))</f>
        <v>8</v>
      </c>
      <c r="S170" s="26" t="s">
        <v>225</v>
      </c>
      <c r="T170" s="26">
        <v>34991337791</v>
      </c>
      <c r="U170" s="26" t="s">
        <v>120</v>
      </c>
      <c r="V170" s="26" t="s">
        <v>121</v>
      </c>
      <c r="W170" s="26" t="s">
        <v>126</v>
      </c>
    </row>
    <row r="171" spans="1:23" x14ac:dyDescent="0.25">
      <c r="A171" s="47">
        <f>_xlfn.XLOOKUP(_Shipments[[#This Row],[Shipment]],[1]Report!$G:$G,[1]Report!$B:$B,"-")</f>
        <v>46293.333333333336</v>
      </c>
      <c r="B171" s="26">
        <v>7246790</v>
      </c>
      <c r="C171" s="26">
        <v>5541989395</v>
      </c>
      <c r="D171" s="26">
        <v>2</v>
      </c>
      <c r="E171" s="26" t="s">
        <v>252</v>
      </c>
      <c r="F171" s="26">
        <v>736</v>
      </c>
      <c r="G171" s="26" t="s">
        <v>283</v>
      </c>
      <c r="H171" s="26" t="s">
        <v>64</v>
      </c>
      <c r="I171" s="26" t="s">
        <v>65</v>
      </c>
      <c r="J171" s="26">
        <v>736</v>
      </c>
      <c r="K171" s="26">
        <v>7571353</v>
      </c>
      <c r="L171" s="26" t="s">
        <v>302</v>
      </c>
      <c r="M171" s="26" t="s">
        <v>32</v>
      </c>
      <c r="N171" s="48">
        <f>IF(_Shipments[[#This Row],[Embalagem]]="Big Bag",_Shipments[[#This Row],[Qtd.]]*_Shipments[[#This Row],[Qtde. sacos/palete]],_Shipments[[#This Row],[Qtd.]])</f>
        <v>736</v>
      </c>
      <c r="O171" s="49">
        <f>_xlfn.XLOOKUP(_Shipments[[#This Row],[CLN]],[2]Dados!$D:$D,[2]Dados!$R:$R,"-")</f>
        <v>60</v>
      </c>
      <c r="P171" s="49" t="str" cm="1">
        <f t="array" ref="P171">_xlfn.LET(_xlpm.t,_xlfn.XLOOKUP(_Shipments[[#This Row],[CLN]],[2]Dados!$D:$D,[2]Dados!$Q:$Q,"-"),_xlfn.IFS(LEFT(_xlpm.t,3)="PAS","Saco",LEFT(_xlpm.t,3)="PBT","Big Bag",TRUE,"-"))</f>
        <v>Saco</v>
      </c>
      <c r="Q171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16.29</v>
      </c>
      <c r="R171" s="89">
        <f>IF(_Shipments[[#This Row],[Embalagem]]="Big Bag",_Shipments[[#This Row],[Qtd.]],ROUNDUP(_Shipments[[#This Row],[Qtd.]]/_Shipments[[#This Row],[Qtde. sacos/palete]],0))</f>
        <v>13</v>
      </c>
      <c r="S171" s="26" t="s">
        <v>225</v>
      </c>
      <c r="T171" s="26">
        <v>34991337791</v>
      </c>
      <c r="U171" s="26" t="s">
        <v>120</v>
      </c>
      <c r="V171" s="26" t="s">
        <v>121</v>
      </c>
      <c r="W171" s="26" t="s">
        <v>126</v>
      </c>
    </row>
    <row r="172" spans="1:23" x14ac:dyDescent="0.25">
      <c r="A172" s="47">
        <f>_xlfn.XLOOKUP(_Shipments[[#This Row],[Shipment]],[1]Report!$G:$G,[1]Report!$B:$B,"-")</f>
        <v>46293.333333333336</v>
      </c>
      <c r="B172" s="26">
        <v>7246858</v>
      </c>
      <c r="C172" s="26">
        <v>5541988057</v>
      </c>
      <c r="D172" s="26">
        <v>1</v>
      </c>
      <c r="E172" s="26" t="s">
        <v>263</v>
      </c>
      <c r="F172" s="26">
        <v>480</v>
      </c>
      <c r="G172" s="26" t="s">
        <v>253</v>
      </c>
      <c r="H172" s="26" t="s">
        <v>254</v>
      </c>
      <c r="I172" s="26" t="s">
        <v>65</v>
      </c>
      <c r="J172" s="26">
        <v>480</v>
      </c>
      <c r="K172" s="26">
        <v>7571368</v>
      </c>
      <c r="L172" s="26" t="s">
        <v>278</v>
      </c>
      <c r="M172" s="26" t="s">
        <v>270</v>
      </c>
      <c r="N172" s="48">
        <f>IF(_Shipments[[#This Row],[Embalagem]]="Big Bag",_Shipments[[#This Row],[Qtd.]]*_Shipments[[#This Row],[Qtde. sacos/palete]],_Shipments[[#This Row],[Qtd.]])</f>
        <v>480</v>
      </c>
      <c r="O172" s="49">
        <f>_xlfn.XLOOKUP(_Shipments[[#This Row],[CLN]],[2]Dados!$D:$D,[2]Dados!$R:$R,"-")</f>
        <v>70</v>
      </c>
      <c r="P172" s="49" t="str" cm="1">
        <f t="array" ref="P172">_xlfn.LET(_xlpm.t,_xlfn.XLOOKUP(_Shipments[[#This Row],[CLN]],[2]Dados!$D:$D,[2]Dados!$Q:$Q,"-"),_xlfn.IFS(LEFT(_xlpm.t,3)="PAS","Saco",LEFT(_xlpm.t,3)="PBT","Big Bag",TRUE,"-"))</f>
        <v>Saco</v>
      </c>
      <c r="Q172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13.8</v>
      </c>
      <c r="R172" s="89">
        <f>IF(_Shipments[[#This Row],[Embalagem]]="Big Bag",_Shipments[[#This Row],[Qtd.]],ROUNDUP(_Shipments[[#This Row],[Qtd.]]/_Shipments[[#This Row],[Qtde. sacos/palete]],0))</f>
        <v>7</v>
      </c>
      <c r="S172" s="26" t="s">
        <v>136</v>
      </c>
      <c r="T172" s="26">
        <v>34991030020</v>
      </c>
      <c r="U172" s="26" t="s">
        <v>137</v>
      </c>
      <c r="V172" s="26" t="s">
        <v>220</v>
      </c>
      <c r="W172" s="26" t="s">
        <v>126</v>
      </c>
    </row>
    <row r="173" spans="1:23" x14ac:dyDescent="0.25">
      <c r="A173" s="47">
        <f>_xlfn.XLOOKUP(_Shipments[[#This Row],[Shipment]],[1]Report!$G:$G,[1]Report!$B:$B,"-")</f>
        <v>46293.333333333336</v>
      </c>
      <c r="B173" s="26">
        <v>7246858</v>
      </c>
      <c r="C173" s="26">
        <v>5541988057</v>
      </c>
      <c r="D173" s="26">
        <v>2</v>
      </c>
      <c r="E173" s="26" t="s">
        <v>263</v>
      </c>
      <c r="F173" s="26">
        <v>70</v>
      </c>
      <c r="G173" s="26" t="s">
        <v>253</v>
      </c>
      <c r="H173" s="26" t="s">
        <v>254</v>
      </c>
      <c r="I173" s="26" t="s">
        <v>65</v>
      </c>
      <c r="J173" s="26">
        <v>70</v>
      </c>
      <c r="K173" s="26">
        <v>7571373</v>
      </c>
      <c r="L173" s="26" t="s">
        <v>305</v>
      </c>
      <c r="M173" s="26" t="s">
        <v>270</v>
      </c>
      <c r="N173" s="48">
        <f>IF(_Shipments[[#This Row],[Embalagem]]="Big Bag",_Shipments[[#This Row],[Qtd.]]*_Shipments[[#This Row],[Qtde. sacos/palete]],_Shipments[[#This Row],[Qtd.]])</f>
        <v>70</v>
      </c>
      <c r="O173" s="49">
        <f>_xlfn.XLOOKUP(_Shipments[[#This Row],[CLN]],[2]Dados!$D:$D,[2]Dados!$R:$R,"-")</f>
        <v>70</v>
      </c>
      <c r="P173" s="49" t="str" cm="1">
        <f t="array" ref="P173">_xlfn.LET(_xlpm.t,_xlfn.XLOOKUP(_Shipments[[#This Row],[CLN]],[2]Dados!$D:$D,[2]Dados!$Q:$Q,"-"),_xlfn.IFS(LEFT(_xlpm.t,3)="PAS","Saco",LEFT(_xlpm.t,3)="PBT","Big Bag",TRUE,"-"))</f>
        <v>Saco</v>
      </c>
      <c r="Q173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13.68</v>
      </c>
      <c r="R173" s="89">
        <f>IF(_Shipments[[#This Row],[Embalagem]]="Big Bag",_Shipments[[#This Row],[Qtd.]],ROUNDUP(_Shipments[[#This Row],[Qtd.]]/_Shipments[[#This Row],[Qtde. sacos/palete]],0))</f>
        <v>1</v>
      </c>
      <c r="S173" s="26" t="s">
        <v>136</v>
      </c>
      <c r="T173" s="26">
        <v>34991030020</v>
      </c>
      <c r="U173" s="26" t="s">
        <v>137</v>
      </c>
      <c r="V173" s="26" t="s">
        <v>220</v>
      </c>
      <c r="W173" s="26" t="s">
        <v>126</v>
      </c>
    </row>
    <row r="174" spans="1:23" x14ac:dyDescent="0.25">
      <c r="A174" s="47">
        <f>_xlfn.XLOOKUP(_Shipments[[#This Row],[Shipment]],[1]Report!$G:$G,[1]Report!$B:$B,"-")</f>
        <v>46293.333333333336</v>
      </c>
      <c r="B174" s="26">
        <v>7246858</v>
      </c>
      <c r="C174" s="26">
        <v>5541988057</v>
      </c>
      <c r="D174" s="26">
        <v>3</v>
      </c>
      <c r="E174" s="26" t="s">
        <v>263</v>
      </c>
      <c r="F174" s="26">
        <v>737</v>
      </c>
      <c r="G174" s="26" t="s">
        <v>253</v>
      </c>
      <c r="H174" s="26" t="s">
        <v>254</v>
      </c>
      <c r="I174" s="26" t="s">
        <v>65</v>
      </c>
      <c r="J174" s="26">
        <v>737</v>
      </c>
      <c r="K174" s="26">
        <v>7571376</v>
      </c>
      <c r="L174" s="26" t="s">
        <v>306</v>
      </c>
      <c r="M174" s="26" t="s">
        <v>270</v>
      </c>
      <c r="N174" s="48">
        <f>IF(_Shipments[[#This Row],[Embalagem]]="Big Bag",_Shipments[[#This Row],[Qtd.]]*_Shipments[[#This Row],[Qtde. sacos/palete]],_Shipments[[#This Row],[Qtd.]])</f>
        <v>737</v>
      </c>
      <c r="O174" s="49">
        <f>_xlfn.XLOOKUP(_Shipments[[#This Row],[CLN]],[2]Dados!$D:$D,[2]Dados!$R:$R,"-")</f>
        <v>70</v>
      </c>
      <c r="P174" s="49" t="str" cm="1">
        <f t="array" ref="P174">_xlfn.LET(_xlpm.t,_xlfn.XLOOKUP(_Shipments[[#This Row],[CLN]],[2]Dados!$D:$D,[2]Dados!$Q:$Q,"-"),_xlfn.IFS(LEFT(_xlpm.t,3)="PAS","Saco",LEFT(_xlpm.t,3)="PBT","Big Bag",TRUE,"-"))</f>
        <v>Saco</v>
      </c>
      <c r="Q174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13.63</v>
      </c>
      <c r="R174" s="89">
        <f>IF(_Shipments[[#This Row],[Embalagem]]="Big Bag",_Shipments[[#This Row],[Qtd.]],ROUNDUP(_Shipments[[#This Row],[Qtd.]]/_Shipments[[#This Row],[Qtde. sacos/palete]],0))</f>
        <v>11</v>
      </c>
      <c r="S174" s="26" t="s">
        <v>136</v>
      </c>
      <c r="T174" s="26">
        <v>34991030020</v>
      </c>
      <c r="U174" s="26" t="s">
        <v>137</v>
      </c>
      <c r="V174" s="26" t="s">
        <v>220</v>
      </c>
      <c r="W174" s="26" t="s">
        <v>126</v>
      </c>
    </row>
    <row r="175" spans="1:23" x14ac:dyDescent="0.25">
      <c r="A175" s="47">
        <f>_xlfn.XLOOKUP(_Shipments[[#This Row],[Shipment]],[1]Report!$G:$G,[1]Report!$B:$B,"-")</f>
        <v>46293.333333333336</v>
      </c>
      <c r="B175" s="26">
        <v>7246859</v>
      </c>
      <c r="C175" s="26">
        <v>5541988058</v>
      </c>
      <c r="D175" s="26">
        <v>1</v>
      </c>
      <c r="E175" s="26" t="s">
        <v>263</v>
      </c>
      <c r="F175" s="26">
        <v>819</v>
      </c>
      <c r="G175" s="26" t="s">
        <v>253</v>
      </c>
      <c r="H175" s="26" t="s">
        <v>254</v>
      </c>
      <c r="I175" s="26" t="s">
        <v>65</v>
      </c>
      <c r="J175" s="26">
        <v>819</v>
      </c>
      <c r="K175" s="26">
        <v>7571373</v>
      </c>
      <c r="L175" s="26" t="s">
        <v>305</v>
      </c>
      <c r="M175" s="26" t="s">
        <v>270</v>
      </c>
      <c r="N175" s="48">
        <f>IF(_Shipments[[#This Row],[Embalagem]]="Big Bag",_Shipments[[#This Row],[Qtd.]]*_Shipments[[#This Row],[Qtde. sacos/palete]],_Shipments[[#This Row],[Qtd.]])</f>
        <v>819</v>
      </c>
      <c r="O175" s="49">
        <f>_xlfn.XLOOKUP(_Shipments[[#This Row],[CLN]],[2]Dados!$D:$D,[2]Dados!$R:$R,"-")</f>
        <v>70</v>
      </c>
      <c r="P175" s="49" t="str" cm="1">
        <f t="array" ref="P175">_xlfn.LET(_xlpm.t,_xlfn.XLOOKUP(_Shipments[[#This Row],[CLN]],[2]Dados!$D:$D,[2]Dados!$Q:$Q,"-"),_xlfn.IFS(LEFT(_xlpm.t,3)="PAS","Saco",LEFT(_xlpm.t,3)="PBT","Big Bag",TRUE,"-"))</f>
        <v>Saco</v>
      </c>
      <c r="Q175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13.68</v>
      </c>
      <c r="R175" s="89">
        <f>IF(_Shipments[[#This Row],[Embalagem]]="Big Bag",_Shipments[[#This Row],[Qtd.]],ROUNDUP(_Shipments[[#This Row],[Qtd.]]/_Shipments[[#This Row],[Qtde. sacos/palete]],0))</f>
        <v>12</v>
      </c>
      <c r="S175" s="26" t="s">
        <v>249</v>
      </c>
      <c r="T175" s="26">
        <v>34996968579</v>
      </c>
      <c r="U175" s="26" t="s">
        <v>250</v>
      </c>
      <c r="V175" s="26" t="s">
        <v>251</v>
      </c>
      <c r="W175" s="26" t="s">
        <v>126</v>
      </c>
    </row>
    <row r="176" spans="1:23" x14ac:dyDescent="0.25">
      <c r="A176" s="47">
        <f>_xlfn.XLOOKUP(_Shipments[[#This Row],[Shipment]],[1]Report!$G:$G,[1]Report!$B:$B,"-")</f>
        <v>46293.333333333336</v>
      </c>
      <c r="B176" s="26">
        <v>7246859</v>
      </c>
      <c r="C176" s="26">
        <v>5541988058</v>
      </c>
      <c r="D176" s="26">
        <v>2</v>
      </c>
      <c r="E176" s="26" t="s">
        <v>263</v>
      </c>
      <c r="F176" s="26">
        <v>592</v>
      </c>
      <c r="G176" s="26" t="s">
        <v>253</v>
      </c>
      <c r="H176" s="26" t="s">
        <v>254</v>
      </c>
      <c r="I176" s="26" t="s">
        <v>65</v>
      </c>
      <c r="J176" s="26">
        <v>592</v>
      </c>
      <c r="K176" s="26">
        <v>7571518</v>
      </c>
      <c r="L176" s="26" t="s">
        <v>307</v>
      </c>
      <c r="M176" s="26" t="s">
        <v>265</v>
      </c>
      <c r="N176" s="48">
        <f>IF(_Shipments[[#This Row],[Embalagem]]="Big Bag",_Shipments[[#This Row],[Qtd.]]*_Shipments[[#This Row],[Qtde. sacos/palete]],_Shipments[[#This Row],[Qtd.]])</f>
        <v>592</v>
      </c>
      <c r="O176" s="49">
        <f>_xlfn.XLOOKUP(_Shipments[[#This Row],[CLN]],[2]Dados!$D:$D,[2]Dados!$R:$R,"-")</f>
        <v>70</v>
      </c>
      <c r="P176" s="49" t="str" cm="1">
        <f t="array" ref="P176">_xlfn.LET(_xlpm.t,_xlfn.XLOOKUP(_Shipments[[#This Row],[CLN]],[2]Dados!$D:$D,[2]Dados!$Q:$Q,"-"),_xlfn.IFS(LEFT(_xlpm.t,3)="PAS","Saco",LEFT(_xlpm.t,3)="PBT","Big Bag",TRUE,"-"))</f>
        <v>Saco</v>
      </c>
      <c r="Q176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12.56</v>
      </c>
      <c r="R176" s="89">
        <f>IF(_Shipments[[#This Row],[Embalagem]]="Big Bag",_Shipments[[#This Row],[Qtd.]],ROUNDUP(_Shipments[[#This Row],[Qtd.]]/_Shipments[[#This Row],[Qtde. sacos/palete]],0))</f>
        <v>9</v>
      </c>
      <c r="S176" s="26" t="s">
        <v>249</v>
      </c>
      <c r="T176" s="26">
        <v>34996968579</v>
      </c>
      <c r="U176" s="26" t="s">
        <v>250</v>
      </c>
      <c r="V176" s="26" t="s">
        <v>251</v>
      </c>
      <c r="W176" s="26" t="s">
        <v>126</v>
      </c>
    </row>
    <row r="177" spans="1:23" x14ac:dyDescent="0.25">
      <c r="A177" s="47">
        <f>_xlfn.XLOOKUP(_Shipments[[#This Row],[Shipment]],[1]Report!$G:$G,[1]Report!$B:$B,"-")</f>
        <v>46293.375</v>
      </c>
      <c r="B177" s="26">
        <v>7246860</v>
      </c>
      <c r="C177" s="26">
        <v>5541988059</v>
      </c>
      <c r="D177" s="26">
        <v>1</v>
      </c>
      <c r="E177" s="26" t="s">
        <v>260</v>
      </c>
      <c r="F177" s="26">
        <v>1497</v>
      </c>
      <c r="G177" s="26" t="s">
        <v>253</v>
      </c>
      <c r="H177" s="26" t="s">
        <v>254</v>
      </c>
      <c r="I177" s="26" t="s">
        <v>65</v>
      </c>
      <c r="J177" s="26">
        <v>1497</v>
      </c>
      <c r="K177" s="26">
        <v>7571433</v>
      </c>
      <c r="L177" s="26" t="s">
        <v>308</v>
      </c>
      <c r="M177" s="26" t="s">
        <v>262</v>
      </c>
      <c r="N177" s="48">
        <f>IF(_Shipments[[#This Row],[Embalagem]]="Big Bag",_Shipments[[#This Row],[Qtd.]]*_Shipments[[#This Row],[Qtde. sacos/palete]],_Shipments[[#This Row],[Qtd.]])</f>
        <v>1497</v>
      </c>
      <c r="O177" s="49">
        <f>_xlfn.XLOOKUP(_Shipments[[#This Row],[CLN]],[2]Dados!$D:$D,[2]Dados!$R:$R,"-")</f>
        <v>75</v>
      </c>
      <c r="P177" s="49" t="str" cm="1">
        <f t="array" ref="P177">_xlfn.LET(_xlpm.t,_xlfn.XLOOKUP(_Shipments[[#This Row],[CLN]],[2]Dados!$D:$D,[2]Dados!$Q:$Q,"-"),_xlfn.IFS(LEFT(_xlpm.t,3)="PAS","Saco",LEFT(_xlpm.t,3)="PBT","Big Bag",TRUE,"-"))</f>
        <v>Saco</v>
      </c>
      <c r="Q177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11.76</v>
      </c>
      <c r="R177" s="89">
        <f>IF(_Shipments[[#This Row],[Embalagem]]="Big Bag",_Shipments[[#This Row],[Qtd.]],ROUNDUP(_Shipments[[#This Row],[Qtd.]]/_Shipments[[#This Row],[Qtde. sacos/palete]],0))</f>
        <v>20</v>
      </c>
      <c r="S177" s="26" t="s">
        <v>338</v>
      </c>
      <c r="T177" s="26">
        <v>34991525469</v>
      </c>
      <c r="U177" s="26" t="s">
        <v>340</v>
      </c>
      <c r="V177" s="26" t="s">
        <v>339</v>
      </c>
      <c r="W177" s="26" t="s">
        <v>126</v>
      </c>
    </row>
    <row r="178" spans="1:23" x14ac:dyDescent="0.25">
      <c r="A178" s="47">
        <f>_xlfn.XLOOKUP(_Shipments[[#This Row],[Shipment]],[1]Report!$G:$G,[1]Report!$B:$B,"-")</f>
        <v>46294.333333333336</v>
      </c>
      <c r="B178" s="26">
        <v>7246861</v>
      </c>
      <c r="C178" s="26">
        <v>5541988060</v>
      </c>
      <c r="D178" s="26">
        <v>1</v>
      </c>
      <c r="E178" s="26" t="s">
        <v>263</v>
      </c>
      <c r="F178" s="26">
        <v>637</v>
      </c>
      <c r="G178" s="26" t="s">
        <v>253</v>
      </c>
      <c r="H178" s="26" t="s">
        <v>254</v>
      </c>
      <c r="I178" s="26" t="s">
        <v>65</v>
      </c>
      <c r="J178" s="26">
        <v>637</v>
      </c>
      <c r="K178" s="26">
        <v>7571375</v>
      </c>
      <c r="L178" s="26" t="s">
        <v>309</v>
      </c>
      <c r="M178" s="26" t="s">
        <v>270</v>
      </c>
      <c r="N178" s="48">
        <f>IF(_Shipments[[#This Row],[Embalagem]]="Big Bag",_Shipments[[#This Row],[Qtd.]]*_Shipments[[#This Row],[Qtde. sacos/palete]],_Shipments[[#This Row],[Qtd.]])</f>
        <v>637</v>
      </c>
      <c r="O178" s="49">
        <f>_xlfn.XLOOKUP(_Shipments[[#This Row],[CLN]],[2]Dados!$D:$D,[2]Dados!$R:$R,"-")</f>
        <v>70</v>
      </c>
      <c r="P178" s="49" t="str" cm="1">
        <f t="array" ref="P178">_xlfn.LET(_xlpm.t,_xlfn.XLOOKUP(_Shipments[[#This Row],[CLN]],[2]Dados!$D:$D,[2]Dados!$Q:$Q,"-"),_xlfn.IFS(LEFT(_xlpm.t,3)="PAS","Saco",LEFT(_xlpm.t,3)="PBT","Big Bag",TRUE,"-"))</f>
        <v>Saco</v>
      </c>
      <c r="Q178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13.59</v>
      </c>
      <c r="R178" s="89">
        <f>IF(_Shipments[[#This Row],[Embalagem]]="Big Bag",_Shipments[[#This Row],[Qtd.]],ROUNDUP(_Shipments[[#This Row],[Qtd.]]/_Shipments[[#This Row],[Qtde. sacos/palete]],0))</f>
        <v>10</v>
      </c>
      <c r="S178" s="26" t="s">
        <v>249</v>
      </c>
      <c r="T178" s="26">
        <v>34996968579</v>
      </c>
      <c r="U178" s="26" t="s">
        <v>250</v>
      </c>
      <c r="V178" s="26" t="s">
        <v>251</v>
      </c>
      <c r="W178" s="26" t="s">
        <v>126</v>
      </c>
    </row>
    <row r="179" spans="1:23" x14ac:dyDescent="0.25">
      <c r="A179" s="47">
        <f>_xlfn.XLOOKUP(_Shipments[[#This Row],[Shipment]],[1]Report!$G:$G,[1]Report!$B:$B,"-")</f>
        <v>46294.333333333336</v>
      </c>
      <c r="B179" s="26">
        <v>7246861</v>
      </c>
      <c r="C179" s="26">
        <v>5541988060</v>
      </c>
      <c r="D179" s="26">
        <v>2</v>
      </c>
      <c r="E179" s="26" t="s">
        <v>310</v>
      </c>
      <c r="F179" s="26">
        <v>658</v>
      </c>
      <c r="G179" s="26" t="s">
        <v>253</v>
      </c>
      <c r="H179" s="26" t="s">
        <v>254</v>
      </c>
      <c r="I179" s="26" t="s">
        <v>65</v>
      </c>
      <c r="J179" s="26">
        <v>658</v>
      </c>
      <c r="K179" s="26">
        <v>7571391</v>
      </c>
      <c r="L179" s="26" t="s">
        <v>311</v>
      </c>
      <c r="M179" s="26" t="s">
        <v>38</v>
      </c>
      <c r="N179" s="48">
        <f>IF(_Shipments[[#This Row],[Embalagem]]="Big Bag",_Shipments[[#This Row],[Qtd.]]*_Shipments[[#This Row],[Qtde. sacos/palete]],_Shipments[[#This Row],[Qtd.]])</f>
        <v>658</v>
      </c>
      <c r="O179" s="49">
        <f>_xlfn.XLOOKUP(_Shipments[[#This Row],[CLN]],[2]Dados!$D:$D,[2]Dados!$R:$R,"-")</f>
        <v>60</v>
      </c>
      <c r="P179" s="49" t="str" cm="1">
        <f t="array" ref="P179">_xlfn.LET(_xlpm.t,_xlfn.XLOOKUP(_Shipments[[#This Row],[CLN]],[2]Dados!$D:$D,[2]Dados!$Q:$Q,"-"),_xlfn.IFS(LEFT(_xlpm.t,3)="PAS","Saco",LEFT(_xlpm.t,3)="PBT","Big Bag",TRUE,"-"))</f>
        <v>Saco</v>
      </c>
      <c r="Q179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16.739999999999998</v>
      </c>
      <c r="R179" s="89">
        <f>IF(_Shipments[[#This Row],[Embalagem]]="Big Bag",_Shipments[[#This Row],[Qtd.]],ROUNDUP(_Shipments[[#This Row],[Qtd.]]/_Shipments[[#This Row],[Qtde. sacos/palete]],0))</f>
        <v>11</v>
      </c>
      <c r="S179" s="26" t="s">
        <v>249</v>
      </c>
      <c r="T179" s="26">
        <v>34996968579</v>
      </c>
      <c r="U179" s="26" t="s">
        <v>250</v>
      </c>
      <c r="V179" s="26" t="s">
        <v>251</v>
      </c>
      <c r="W179" s="26" t="s">
        <v>126</v>
      </c>
    </row>
    <row r="180" spans="1:23" x14ac:dyDescent="0.25">
      <c r="A180" s="47">
        <f>_xlfn.XLOOKUP(_Shipments[[#This Row],[Shipment]],[1]Report!$G:$G,[1]Report!$B:$B,"-")</f>
        <v>46294.375</v>
      </c>
      <c r="B180" s="26">
        <v>7246862</v>
      </c>
      <c r="C180" s="26">
        <v>5541988061</v>
      </c>
      <c r="D180" s="26">
        <v>1</v>
      </c>
      <c r="E180" s="26" t="s">
        <v>258</v>
      </c>
      <c r="F180" s="26">
        <v>544</v>
      </c>
      <c r="G180" s="26" t="s">
        <v>253</v>
      </c>
      <c r="H180" s="26" t="s">
        <v>254</v>
      </c>
      <c r="I180" s="26" t="s">
        <v>65</v>
      </c>
      <c r="J180" s="26">
        <v>544</v>
      </c>
      <c r="K180" s="26">
        <v>7571422</v>
      </c>
      <c r="L180" s="26" t="s">
        <v>312</v>
      </c>
      <c r="M180" s="26" t="s">
        <v>29</v>
      </c>
      <c r="N180" s="48">
        <f>IF(_Shipments[[#This Row],[Embalagem]]="Big Bag",_Shipments[[#This Row],[Qtd.]]*_Shipments[[#This Row],[Qtde. sacos/palete]],_Shipments[[#This Row],[Qtd.]])</f>
        <v>544</v>
      </c>
      <c r="O180" s="49">
        <f>_xlfn.XLOOKUP(_Shipments[[#This Row],[CLN]],[2]Dados!$D:$D,[2]Dados!$R:$R,"-")</f>
        <v>70</v>
      </c>
      <c r="P180" s="49" t="str" cm="1">
        <f t="array" ref="P180">_xlfn.LET(_xlpm.t,_xlfn.XLOOKUP(_Shipments[[#This Row],[CLN]],[2]Dados!$D:$D,[2]Dados!$Q:$Q,"-"),_xlfn.IFS(LEFT(_xlpm.t,3)="PAS","Saco",LEFT(_xlpm.t,3)="PBT","Big Bag",TRUE,"-"))</f>
        <v>Saco</v>
      </c>
      <c r="Q180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14.06</v>
      </c>
      <c r="R180" s="89">
        <f>IF(_Shipments[[#This Row],[Embalagem]]="Big Bag",_Shipments[[#This Row],[Qtd.]],ROUNDUP(_Shipments[[#This Row],[Qtd.]]/_Shipments[[#This Row],[Qtde. sacos/palete]],0))</f>
        <v>8</v>
      </c>
      <c r="S180" s="26" t="s">
        <v>136</v>
      </c>
      <c r="T180" s="26">
        <v>34991030020</v>
      </c>
      <c r="U180" s="26" t="s">
        <v>137</v>
      </c>
      <c r="V180" s="26" t="s">
        <v>220</v>
      </c>
      <c r="W180" s="26" t="s">
        <v>126</v>
      </c>
    </row>
    <row r="181" spans="1:23" x14ac:dyDescent="0.25">
      <c r="A181" s="47">
        <f>_xlfn.XLOOKUP(_Shipments[[#This Row],[Shipment]],[1]Report!$G:$G,[1]Report!$B:$B,"-")</f>
        <v>46294.375</v>
      </c>
      <c r="B181" s="26">
        <v>7246862</v>
      </c>
      <c r="C181" s="26">
        <v>5541988061</v>
      </c>
      <c r="D181" s="26">
        <v>2</v>
      </c>
      <c r="E181" s="26" t="s">
        <v>258</v>
      </c>
      <c r="F181" s="26">
        <v>695</v>
      </c>
      <c r="G181" s="26" t="s">
        <v>253</v>
      </c>
      <c r="H181" s="26" t="s">
        <v>254</v>
      </c>
      <c r="I181" s="26" t="s">
        <v>65</v>
      </c>
      <c r="J181" s="26">
        <v>695</v>
      </c>
      <c r="K181" s="26">
        <v>7571423</v>
      </c>
      <c r="L181" s="26" t="s">
        <v>313</v>
      </c>
      <c r="M181" s="26" t="s">
        <v>29</v>
      </c>
      <c r="N181" s="48">
        <f>IF(_Shipments[[#This Row],[Embalagem]]="Big Bag",_Shipments[[#This Row],[Qtd.]]*_Shipments[[#This Row],[Qtde. sacos/palete]],_Shipments[[#This Row],[Qtd.]])</f>
        <v>695</v>
      </c>
      <c r="O181" s="49">
        <f>_xlfn.XLOOKUP(_Shipments[[#This Row],[CLN]],[2]Dados!$D:$D,[2]Dados!$R:$R,"-")</f>
        <v>70</v>
      </c>
      <c r="P181" s="49" t="str" cm="1">
        <f t="array" ref="P181">_xlfn.LET(_xlpm.t,_xlfn.XLOOKUP(_Shipments[[#This Row],[CLN]],[2]Dados!$D:$D,[2]Dados!$Q:$Q,"-"),_xlfn.IFS(LEFT(_xlpm.t,3)="PAS","Saco",LEFT(_xlpm.t,3)="PBT","Big Bag",TRUE,"-"))</f>
        <v>Saco</v>
      </c>
      <c r="Q181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14.23</v>
      </c>
      <c r="R181" s="89">
        <f>IF(_Shipments[[#This Row],[Embalagem]]="Big Bag",_Shipments[[#This Row],[Qtd.]],ROUNDUP(_Shipments[[#This Row],[Qtd.]]/_Shipments[[#This Row],[Qtde. sacos/palete]],0))</f>
        <v>10</v>
      </c>
      <c r="S181" s="26" t="s">
        <v>136</v>
      </c>
      <c r="T181" s="26">
        <v>34991030020</v>
      </c>
      <c r="U181" s="26" t="s">
        <v>137</v>
      </c>
      <c r="V181" s="26" t="s">
        <v>220</v>
      </c>
      <c r="W181" s="26" t="s">
        <v>126</v>
      </c>
    </row>
    <row r="182" spans="1:23" x14ac:dyDescent="0.25">
      <c r="A182" s="47">
        <f>_xlfn.XLOOKUP(_Shipments[[#This Row],[Shipment]],[1]Report!$G:$G,[1]Report!$B:$B,"-")</f>
        <v>46294.375</v>
      </c>
      <c r="B182" s="26">
        <v>7246862</v>
      </c>
      <c r="C182" s="26">
        <v>5541988061</v>
      </c>
      <c r="D182" s="26">
        <v>3</v>
      </c>
      <c r="E182" s="26" t="s">
        <v>263</v>
      </c>
      <c r="F182" s="26">
        <v>189</v>
      </c>
      <c r="G182" s="26" t="s">
        <v>253</v>
      </c>
      <c r="H182" s="26" t="s">
        <v>254</v>
      </c>
      <c r="I182" s="26" t="s">
        <v>65</v>
      </c>
      <c r="J182" s="26">
        <v>189</v>
      </c>
      <c r="K182" s="26">
        <v>7602423</v>
      </c>
      <c r="L182" s="26" t="s">
        <v>314</v>
      </c>
      <c r="M182" s="26" t="s">
        <v>270</v>
      </c>
      <c r="N182" s="48">
        <f>IF(_Shipments[[#This Row],[Embalagem]]="Big Bag",_Shipments[[#This Row],[Qtd.]]*_Shipments[[#This Row],[Qtde. sacos/palete]],_Shipments[[#This Row],[Qtd.]])</f>
        <v>189</v>
      </c>
      <c r="O182" s="49">
        <f>_xlfn.XLOOKUP(_Shipments[[#This Row],[CLN]],[2]Dados!$D:$D,[2]Dados!$R:$R,"-")</f>
        <v>70</v>
      </c>
      <c r="P182" s="49" t="str" cm="1">
        <f t="array" ref="P182">_xlfn.LET(_xlpm.t,_xlfn.XLOOKUP(_Shipments[[#This Row],[CLN]],[2]Dados!$D:$D,[2]Dados!$Q:$Q,"-"),_xlfn.IFS(LEFT(_xlpm.t,3)="PAS","Saco",LEFT(_xlpm.t,3)="PBT","Big Bag",TRUE,"-"))</f>
        <v>Saco</v>
      </c>
      <c r="Q182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13.54</v>
      </c>
      <c r="R182" s="89">
        <f>IF(_Shipments[[#This Row],[Embalagem]]="Big Bag",_Shipments[[#This Row],[Qtd.]],ROUNDUP(_Shipments[[#This Row],[Qtd.]]/_Shipments[[#This Row],[Qtde. sacos/palete]],0))</f>
        <v>3</v>
      </c>
      <c r="S182" s="26" t="s">
        <v>136</v>
      </c>
      <c r="T182" s="26">
        <v>34991030020</v>
      </c>
      <c r="U182" s="26" t="s">
        <v>137</v>
      </c>
      <c r="V182" s="26" t="s">
        <v>220</v>
      </c>
      <c r="W182" s="26" t="s">
        <v>126</v>
      </c>
    </row>
    <row r="183" spans="1:23" x14ac:dyDescent="0.25">
      <c r="A183" s="47">
        <f>_xlfn.XLOOKUP(_Shipments[[#This Row],[Shipment]],[1]Report!$G:$G,[1]Report!$B:$B,"-")</f>
        <v>46294.375</v>
      </c>
      <c r="B183" s="26">
        <v>7246864</v>
      </c>
      <c r="C183" s="26">
        <v>5541988062</v>
      </c>
      <c r="D183" s="26">
        <v>1</v>
      </c>
      <c r="E183" s="26" t="s">
        <v>260</v>
      </c>
      <c r="F183" s="26">
        <v>1080</v>
      </c>
      <c r="G183" s="26" t="s">
        <v>253</v>
      </c>
      <c r="H183" s="26" t="s">
        <v>254</v>
      </c>
      <c r="I183" s="26" t="s">
        <v>65</v>
      </c>
      <c r="J183" s="26">
        <v>1080</v>
      </c>
      <c r="K183" s="26">
        <v>7571432</v>
      </c>
      <c r="L183" s="26" t="s">
        <v>315</v>
      </c>
      <c r="M183" s="26" t="s">
        <v>262</v>
      </c>
      <c r="N183" s="48">
        <f>IF(_Shipments[[#This Row],[Embalagem]]="Big Bag",_Shipments[[#This Row],[Qtd.]]*_Shipments[[#This Row],[Qtde. sacos/palete]],_Shipments[[#This Row],[Qtd.]])</f>
        <v>1080</v>
      </c>
      <c r="O183" s="49">
        <f>_xlfn.XLOOKUP(_Shipments[[#This Row],[CLN]],[2]Dados!$D:$D,[2]Dados!$R:$R,"-")</f>
        <v>75</v>
      </c>
      <c r="P183" s="49" t="str" cm="1">
        <f t="array" ref="P183">_xlfn.LET(_xlpm.t,_xlfn.XLOOKUP(_Shipments[[#This Row],[CLN]],[2]Dados!$D:$D,[2]Dados!$Q:$Q,"-"),_xlfn.IFS(LEFT(_xlpm.t,3)="PAS","Saco",LEFT(_xlpm.t,3)="PBT","Big Bag",TRUE,"-"))</f>
        <v>Saco</v>
      </c>
      <c r="Q183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12.17</v>
      </c>
      <c r="R183" s="89">
        <f>IF(_Shipments[[#This Row],[Embalagem]]="Big Bag",_Shipments[[#This Row],[Qtd.]],ROUNDUP(_Shipments[[#This Row],[Qtd.]]/_Shipments[[#This Row],[Qtde. sacos/palete]],0))</f>
        <v>15</v>
      </c>
      <c r="S183" s="26" t="s">
        <v>225</v>
      </c>
      <c r="T183" s="26">
        <v>34991337791</v>
      </c>
      <c r="U183" s="26" t="s">
        <v>120</v>
      </c>
      <c r="V183" s="26" t="s">
        <v>121</v>
      </c>
      <c r="W183" s="26" t="s">
        <v>126</v>
      </c>
    </row>
    <row r="184" spans="1:23" x14ac:dyDescent="0.25">
      <c r="A184" s="47">
        <f>_xlfn.XLOOKUP(_Shipments[[#This Row],[Shipment]],[1]Report!$G:$G,[1]Report!$B:$B,"-")</f>
        <v>46294.375</v>
      </c>
      <c r="B184" s="26">
        <v>7246864</v>
      </c>
      <c r="C184" s="26">
        <v>5541988062</v>
      </c>
      <c r="D184" s="26">
        <v>2</v>
      </c>
      <c r="E184" s="26" t="s">
        <v>263</v>
      </c>
      <c r="F184" s="26">
        <v>420</v>
      </c>
      <c r="G184" s="26" t="s">
        <v>253</v>
      </c>
      <c r="H184" s="26" t="s">
        <v>254</v>
      </c>
      <c r="I184" s="26" t="s">
        <v>65</v>
      </c>
      <c r="J184" s="26">
        <v>420</v>
      </c>
      <c r="K184" s="26">
        <v>7602423</v>
      </c>
      <c r="L184" s="26" t="s">
        <v>314</v>
      </c>
      <c r="M184" s="26" t="s">
        <v>270</v>
      </c>
      <c r="N184" s="48">
        <f>IF(_Shipments[[#This Row],[Embalagem]]="Big Bag",_Shipments[[#This Row],[Qtd.]]*_Shipments[[#This Row],[Qtde. sacos/palete]],_Shipments[[#This Row],[Qtd.]])</f>
        <v>420</v>
      </c>
      <c r="O184" s="49">
        <f>_xlfn.XLOOKUP(_Shipments[[#This Row],[CLN]],[2]Dados!$D:$D,[2]Dados!$R:$R,"-")</f>
        <v>70</v>
      </c>
      <c r="P184" s="49" t="str" cm="1">
        <f t="array" ref="P184">_xlfn.LET(_xlpm.t,_xlfn.XLOOKUP(_Shipments[[#This Row],[CLN]],[2]Dados!$D:$D,[2]Dados!$Q:$Q,"-"),_xlfn.IFS(LEFT(_xlpm.t,3)="PAS","Saco",LEFT(_xlpm.t,3)="PBT","Big Bag",TRUE,"-"))</f>
        <v>Saco</v>
      </c>
      <c r="Q184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13.54</v>
      </c>
      <c r="R184" s="89">
        <f>IF(_Shipments[[#This Row],[Embalagem]]="Big Bag",_Shipments[[#This Row],[Qtd.]],ROUNDUP(_Shipments[[#This Row],[Qtd.]]/_Shipments[[#This Row],[Qtde. sacos/palete]],0))</f>
        <v>6</v>
      </c>
      <c r="S184" s="26" t="s">
        <v>225</v>
      </c>
      <c r="T184" s="26">
        <v>34991337791</v>
      </c>
      <c r="U184" s="26" t="s">
        <v>120</v>
      </c>
      <c r="V184" s="26" t="s">
        <v>121</v>
      </c>
      <c r="W184" s="26" t="s">
        <v>126</v>
      </c>
    </row>
    <row r="185" spans="1:23" x14ac:dyDescent="0.25">
      <c r="A185" s="47">
        <f>_xlfn.XLOOKUP(_Shipments[[#This Row],[Shipment]],[1]Report!$G:$G,[1]Report!$B:$B,"-")</f>
        <v>46295.333333333336</v>
      </c>
      <c r="B185" s="26">
        <v>7246865</v>
      </c>
      <c r="C185" s="26">
        <v>5541988063</v>
      </c>
      <c r="D185" s="26">
        <v>1</v>
      </c>
      <c r="E185" s="26" t="s">
        <v>252</v>
      </c>
      <c r="F185" s="26">
        <v>272</v>
      </c>
      <c r="G185" s="26" t="s">
        <v>253</v>
      </c>
      <c r="H185" s="26" t="s">
        <v>254</v>
      </c>
      <c r="I185" s="26" t="s">
        <v>65</v>
      </c>
      <c r="J185" s="26">
        <v>272</v>
      </c>
      <c r="K185" s="26">
        <v>7571352</v>
      </c>
      <c r="L185" s="26" t="s">
        <v>319</v>
      </c>
      <c r="M185" s="26" t="s">
        <v>32</v>
      </c>
      <c r="N185" s="48">
        <f>IF(_Shipments[[#This Row],[Embalagem]]="Big Bag",_Shipments[[#This Row],[Qtd.]]*_Shipments[[#This Row],[Qtde. sacos/palete]],_Shipments[[#This Row],[Qtd.]])</f>
        <v>272</v>
      </c>
      <c r="O185" s="49">
        <f>_xlfn.XLOOKUP(_Shipments[[#This Row],[CLN]],[2]Dados!$D:$D,[2]Dados!$R:$R,"-")</f>
        <v>60</v>
      </c>
      <c r="P185" s="49" t="str" cm="1">
        <f t="array" ref="P185">_xlfn.LET(_xlpm.t,_xlfn.XLOOKUP(_Shipments[[#This Row],[CLN]],[2]Dados!$D:$D,[2]Dados!$Q:$Q,"-"),_xlfn.IFS(LEFT(_xlpm.t,3)="PAS","Saco",LEFT(_xlpm.t,3)="PBT","Big Bag",TRUE,"-"))</f>
        <v>Saco</v>
      </c>
      <c r="Q185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16.12</v>
      </c>
      <c r="R185" s="89">
        <f>IF(_Shipments[[#This Row],[Embalagem]]="Big Bag",_Shipments[[#This Row],[Qtd.]],ROUNDUP(_Shipments[[#This Row],[Qtd.]]/_Shipments[[#This Row],[Qtde. sacos/palete]],0))</f>
        <v>5</v>
      </c>
      <c r="S185" s="26" t="s">
        <v>136</v>
      </c>
      <c r="T185" s="26">
        <v>34991030020</v>
      </c>
      <c r="U185" s="26" t="s">
        <v>137</v>
      </c>
      <c r="V185" s="26" t="s">
        <v>220</v>
      </c>
      <c r="W185" s="26" t="s">
        <v>126</v>
      </c>
    </row>
    <row r="186" spans="1:23" x14ac:dyDescent="0.25">
      <c r="A186" s="47">
        <f>_xlfn.XLOOKUP(_Shipments[[#This Row],[Shipment]],[1]Report!$G:$G,[1]Report!$B:$B,"-")</f>
        <v>46295.333333333336</v>
      </c>
      <c r="B186" s="26">
        <v>7246865</v>
      </c>
      <c r="C186" s="26">
        <v>5541988063</v>
      </c>
      <c r="D186" s="26">
        <v>2</v>
      </c>
      <c r="E186" s="26" t="s">
        <v>263</v>
      </c>
      <c r="F186" s="26">
        <v>1112</v>
      </c>
      <c r="G186" s="26" t="s">
        <v>253</v>
      </c>
      <c r="H186" s="26" t="s">
        <v>254</v>
      </c>
      <c r="I186" s="26" t="s">
        <v>65</v>
      </c>
      <c r="J186" s="26">
        <v>1112</v>
      </c>
      <c r="K186" s="26">
        <v>7571374</v>
      </c>
      <c r="L186" s="26" t="s">
        <v>320</v>
      </c>
      <c r="M186" s="26" t="s">
        <v>270</v>
      </c>
      <c r="N186" s="48">
        <f>IF(_Shipments[[#This Row],[Embalagem]]="Big Bag",_Shipments[[#This Row],[Qtd.]]*_Shipments[[#This Row],[Qtde. sacos/palete]],_Shipments[[#This Row],[Qtd.]])</f>
        <v>1112</v>
      </c>
      <c r="O186" s="49">
        <f>_xlfn.XLOOKUP(_Shipments[[#This Row],[CLN]],[2]Dados!$D:$D,[2]Dados!$R:$R,"-")</f>
        <v>70</v>
      </c>
      <c r="P186" s="49" t="str" cm="1">
        <f t="array" ref="P186">_xlfn.LET(_xlpm.t,_xlfn.XLOOKUP(_Shipments[[#This Row],[CLN]],[2]Dados!$D:$D,[2]Dados!$Q:$Q,"-"),_xlfn.IFS(LEFT(_xlpm.t,3)="PAS","Saco",LEFT(_xlpm.t,3)="PBT","Big Bag",TRUE,"-"))</f>
        <v>Saco</v>
      </c>
      <c r="Q186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13.65</v>
      </c>
      <c r="R186" s="89">
        <f>IF(_Shipments[[#This Row],[Embalagem]]="Big Bag",_Shipments[[#This Row],[Qtd.]],ROUNDUP(_Shipments[[#This Row],[Qtd.]]/_Shipments[[#This Row],[Qtde. sacos/palete]],0))</f>
        <v>16</v>
      </c>
      <c r="S186" s="26" t="s">
        <v>136</v>
      </c>
      <c r="T186" s="26">
        <v>34991030020</v>
      </c>
      <c r="U186" s="26" t="s">
        <v>137</v>
      </c>
      <c r="V186" s="26" t="s">
        <v>220</v>
      </c>
      <c r="W186" s="26" t="s">
        <v>126</v>
      </c>
    </row>
    <row r="187" spans="1:23" x14ac:dyDescent="0.25">
      <c r="A187" s="47">
        <f>_xlfn.XLOOKUP(_Shipments[[#This Row],[Shipment]],[1]Report!$G:$G,[1]Report!$B:$B,"-")</f>
        <v>46295.375</v>
      </c>
      <c r="B187" s="26">
        <v>7248673</v>
      </c>
      <c r="C187" s="26">
        <v>5541989627</v>
      </c>
      <c r="D187" s="26">
        <v>1</v>
      </c>
      <c r="E187" s="26" t="s">
        <v>321</v>
      </c>
      <c r="F187" s="26">
        <v>20</v>
      </c>
      <c r="G187" s="26" t="s">
        <v>283</v>
      </c>
      <c r="H187" s="26" t="s">
        <v>64</v>
      </c>
      <c r="I187" s="26" t="s">
        <v>65</v>
      </c>
      <c r="J187" s="26">
        <v>20</v>
      </c>
      <c r="K187" s="26">
        <v>7600784</v>
      </c>
      <c r="L187" s="26" t="s">
        <v>322</v>
      </c>
      <c r="M187" s="26" t="s">
        <v>29</v>
      </c>
      <c r="N187" s="48">
        <f>IF(_Shipments[[#This Row],[Embalagem]]="Big Bag",_Shipments[[#This Row],[Qtd.]]*_Shipments[[#This Row],[Qtde. sacos/palete]],_Shipments[[#This Row],[Qtd.]])</f>
        <v>1000</v>
      </c>
      <c r="O187" s="49">
        <f>_xlfn.XLOOKUP(_Shipments[[#This Row],[CLN]],[2]Dados!$D:$D,[2]Dados!$R:$R,"-")</f>
        <v>50</v>
      </c>
      <c r="P187" s="49" t="str" cm="1">
        <f t="array" ref="P187">_xlfn.LET(_xlpm.t,_xlfn.XLOOKUP(_Shipments[[#This Row],[CLN]],[2]Dados!$D:$D,[2]Dados!$Q:$Q,"-"),_xlfn.IFS(LEFT(_xlpm.t,3)="PAS","Saco",LEFT(_xlpm.t,3)="PBT","Big Bag",TRUE,"-"))</f>
        <v>Big Bag</v>
      </c>
      <c r="Q187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674</v>
      </c>
      <c r="R187" s="89">
        <f>IF(_Shipments[[#This Row],[Embalagem]]="Big Bag",_Shipments[[#This Row],[Qtd.]],ROUNDUP(_Shipments[[#This Row],[Qtd.]]/_Shipments[[#This Row],[Qtde. sacos/palete]],0))</f>
        <v>20</v>
      </c>
      <c r="S187" s="26" t="s">
        <v>249</v>
      </c>
      <c r="T187" s="26">
        <v>34996968579</v>
      </c>
      <c r="U187" s="26" t="s">
        <v>250</v>
      </c>
      <c r="V187" s="26" t="s">
        <v>251</v>
      </c>
      <c r="W187" s="26" t="s">
        <v>126</v>
      </c>
    </row>
    <row r="188" spans="1:23" x14ac:dyDescent="0.25">
      <c r="A188" s="47">
        <f>_xlfn.XLOOKUP(_Shipments[[#This Row],[Shipment]],[1]Report!$G:$G,[1]Report!$B:$B,"-")</f>
        <v>46295.375</v>
      </c>
      <c r="B188" s="26">
        <v>7248679</v>
      </c>
      <c r="C188" s="26">
        <v>5541989628</v>
      </c>
      <c r="D188" s="26">
        <v>1</v>
      </c>
      <c r="E188" s="26" t="s">
        <v>321</v>
      </c>
      <c r="F188" s="26">
        <v>21</v>
      </c>
      <c r="G188" s="26" t="s">
        <v>283</v>
      </c>
      <c r="H188" s="26" t="s">
        <v>64</v>
      </c>
      <c r="I188" s="26" t="s">
        <v>65</v>
      </c>
      <c r="J188" s="26">
        <v>21</v>
      </c>
      <c r="K188" s="26">
        <v>7600780</v>
      </c>
      <c r="L188" s="26" t="s">
        <v>323</v>
      </c>
      <c r="M188" s="26" t="s">
        <v>29</v>
      </c>
      <c r="N188" s="48">
        <f>IF(_Shipments[[#This Row],[Embalagem]]="Big Bag",_Shipments[[#This Row],[Qtd.]]*_Shipments[[#This Row],[Qtde. sacos/palete]],_Shipments[[#This Row],[Qtd.]])</f>
        <v>1050</v>
      </c>
      <c r="O188" s="49">
        <f>_xlfn.XLOOKUP(_Shipments[[#This Row],[CLN]],[2]Dados!$D:$D,[2]Dados!$R:$R,"-")</f>
        <v>50</v>
      </c>
      <c r="P188" s="49" t="str" cm="1">
        <f t="array" ref="P188">_xlfn.LET(_xlpm.t,_xlfn.XLOOKUP(_Shipments[[#This Row],[CLN]],[2]Dados!$D:$D,[2]Dados!$Q:$Q,"-"),_xlfn.IFS(LEFT(_xlpm.t,3)="PAS","Saco",LEFT(_xlpm.t,3)="PBT","Big Bag",TRUE,"-"))</f>
        <v>Big Bag</v>
      </c>
      <c r="Q188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676.5</v>
      </c>
      <c r="R188" s="89">
        <f>IF(_Shipments[[#This Row],[Embalagem]]="Big Bag",_Shipments[[#This Row],[Qtd.]],ROUNDUP(_Shipments[[#This Row],[Qtd.]]/_Shipments[[#This Row],[Qtde. sacos/palete]],0))</f>
        <v>21</v>
      </c>
      <c r="S188" s="26" t="s">
        <v>141</v>
      </c>
      <c r="T188" s="26">
        <v>34999810409</v>
      </c>
      <c r="U188" s="26" t="s">
        <v>142</v>
      </c>
      <c r="V188" s="26" t="s">
        <v>143</v>
      </c>
      <c r="W188" s="26" t="s">
        <v>126</v>
      </c>
    </row>
    <row r="189" spans="1:23" x14ac:dyDescent="0.25">
      <c r="A189" s="47">
        <f>_xlfn.XLOOKUP(_Shipments[[#This Row],[Shipment]],[1]Report!$G:$G,[1]Report!$B:$B,"-")</f>
        <v>46296.333333333336</v>
      </c>
      <c r="B189" s="26">
        <v>7248680</v>
      </c>
      <c r="C189" s="26">
        <v>5541989629</v>
      </c>
      <c r="D189" s="26">
        <v>1</v>
      </c>
      <c r="E189" s="26" t="s">
        <v>321</v>
      </c>
      <c r="F189" s="26">
        <v>18</v>
      </c>
      <c r="G189" s="26" t="s">
        <v>283</v>
      </c>
      <c r="H189" s="26" t="s">
        <v>64</v>
      </c>
      <c r="I189" s="26" t="s">
        <v>65</v>
      </c>
      <c r="J189" s="26">
        <v>18</v>
      </c>
      <c r="K189" s="26">
        <v>7600782</v>
      </c>
      <c r="L189" s="26" t="s">
        <v>324</v>
      </c>
      <c r="M189" s="26" t="s">
        <v>29</v>
      </c>
      <c r="N189" s="48">
        <f>IF(_Shipments[[#This Row],[Embalagem]]="Big Bag",_Shipments[[#This Row],[Qtd.]]*_Shipments[[#This Row],[Qtde. sacos/palete]],_Shipments[[#This Row],[Qtd.]])</f>
        <v>900</v>
      </c>
      <c r="O189" s="49">
        <f>_xlfn.XLOOKUP(_Shipments[[#This Row],[CLN]],[2]Dados!$D:$D,[2]Dados!$R:$R,"-")</f>
        <v>50</v>
      </c>
      <c r="P189" s="49" t="str" cm="1">
        <f t="array" ref="P189">_xlfn.LET(_xlpm.t,_xlfn.XLOOKUP(_Shipments[[#This Row],[CLN]],[2]Dados!$D:$D,[2]Dados!$Q:$Q,"-"),_xlfn.IFS(LEFT(_xlpm.t,3)="PAS","Saco",LEFT(_xlpm.t,3)="PBT","Big Bag",TRUE,"-"))</f>
        <v>Big Bag</v>
      </c>
      <c r="Q189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680.5</v>
      </c>
      <c r="R189" s="89">
        <f>IF(_Shipments[[#This Row],[Embalagem]]="Big Bag",_Shipments[[#This Row],[Qtd.]],ROUNDUP(_Shipments[[#This Row],[Qtd.]]/_Shipments[[#This Row],[Qtde. sacos/palete]],0))</f>
        <v>18</v>
      </c>
      <c r="W189" s="26" t="s">
        <v>126</v>
      </c>
    </row>
    <row r="190" spans="1:23" x14ac:dyDescent="0.25">
      <c r="A190" s="47">
        <f>_xlfn.XLOOKUP(_Shipments[[#This Row],[Shipment]],[1]Report!$G:$G,[1]Report!$B:$B,"-")</f>
        <v>46296.333333333336</v>
      </c>
      <c r="B190" s="26">
        <v>7248680</v>
      </c>
      <c r="C190" s="26">
        <v>5541989629</v>
      </c>
      <c r="D190" s="26">
        <v>2</v>
      </c>
      <c r="E190" s="26" t="s">
        <v>325</v>
      </c>
      <c r="F190" s="26">
        <v>11</v>
      </c>
      <c r="G190" s="26" t="s">
        <v>283</v>
      </c>
      <c r="H190" s="26" t="s">
        <v>64</v>
      </c>
      <c r="I190" s="26" t="s">
        <v>65</v>
      </c>
      <c r="J190" s="26">
        <v>11</v>
      </c>
      <c r="K190" s="26">
        <v>7609023</v>
      </c>
      <c r="L190" s="26" t="s">
        <v>326</v>
      </c>
      <c r="M190" s="26" t="s">
        <v>270</v>
      </c>
      <c r="N190" s="48">
        <f>IF(_Shipments[[#This Row],[Embalagem]]="Big Bag",_Shipments[[#This Row],[Qtd.]]*_Shipments[[#This Row],[Qtde. sacos/palete]],_Shipments[[#This Row],[Qtd.]])</f>
        <v>11</v>
      </c>
      <c r="O190" s="49">
        <f>_xlfn.XLOOKUP(_Shipments[[#This Row],[CLN]],[2]Dados!$D:$D,[2]Dados!$R:$R,"-")</f>
        <v>70</v>
      </c>
      <c r="P190" s="49" t="str" cm="1">
        <f t="array" ref="P190">_xlfn.LET(_xlpm.t,_xlfn.XLOOKUP(_Shipments[[#This Row],[CLN]],[2]Dados!$D:$D,[2]Dados!$Q:$Q,"-"),_xlfn.IFS(LEFT(_xlpm.t,3)="PAS","Saco",LEFT(_xlpm.t,3)="PBT","Big Bag",TRUE,"-"))</f>
        <v>Saco</v>
      </c>
      <c r="Q190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13.74</v>
      </c>
      <c r="R190" s="89">
        <f>IF(_Shipments[[#This Row],[Embalagem]]="Big Bag",_Shipments[[#This Row],[Qtd.]],ROUNDUP(_Shipments[[#This Row],[Qtd.]]/_Shipments[[#This Row],[Qtde. sacos/palete]],0))</f>
        <v>1</v>
      </c>
      <c r="W190" s="26" t="s">
        <v>126</v>
      </c>
    </row>
    <row r="191" spans="1:23" x14ac:dyDescent="0.25">
      <c r="A191" s="47">
        <f>_xlfn.XLOOKUP(_Shipments[[#This Row],[Shipment]],[1]Report!$G:$G,[1]Report!$B:$B,"-")</f>
        <v>46296.333333333336</v>
      </c>
      <c r="B191" s="26">
        <v>7248682</v>
      </c>
      <c r="C191" s="26">
        <v>5541989630</v>
      </c>
      <c r="D191" s="26">
        <v>1</v>
      </c>
      <c r="E191" s="26" t="s">
        <v>327</v>
      </c>
      <c r="F191" s="26">
        <v>17</v>
      </c>
      <c r="G191" s="26" t="s">
        <v>283</v>
      </c>
      <c r="H191" s="26" t="s">
        <v>64</v>
      </c>
      <c r="I191" s="26" t="s">
        <v>65</v>
      </c>
      <c r="J191" s="26">
        <v>17</v>
      </c>
      <c r="K191" s="26">
        <v>7600705</v>
      </c>
      <c r="L191" s="26" t="s">
        <v>328</v>
      </c>
      <c r="M191" s="26" t="s">
        <v>32</v>
      </c>
      <c r="N191" s="48">
        <f>IF(_Shipments[[#This Row],[Embalagem]]="Big Bag",_Shipments[[#This Row],[Qtd.]]*_Shipments[[#This Row],[Qtde. sacos/palete]],_Shipments[[#This Row],[Qtd.]])</f>
        <v>850</v>
      </c>
      <c r="O191" s="49">
        <f>_xlfn.XLOOKUP(_Shipments[[#This Row],[CLN]],[2]Dados!$D:$D,[2]Dados!$R:$R,"-")</f>
        <v>50</v>
      </c>
      <c r="P191" s="49" t="str" cm="1">
        <f t="array" ref="P191">_xlfn.LET(_xlpm.t,_xlfn.XLOOKUP(_Shipments[[#This Row],[CLN]],[2]Dados!$D:$D,[2]Dados!$Q:$Q,"-"),_xlfn.IFS(LEFT(_xlpm.t,3)="PAS","Saco",LEFT(_xlpm.t,3)="PBT","Big Bag",TRUE,"-"))</f>
        <v>Big Bag</v>
      </c>
      <c r="Q191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760</v>
      </c>
      <c r="R191" s="89">
        <f>IF(_Shipments[[#This Row],[Embalagem]]="Big Bag",_Shipments[[#This Row],[Qtd.]],ROUNDUP(_Shipments[[#This Row],[Qtd.]]/_Shipments[[#This Row],[Qtde. sacos/palete]],0))</f>
        <v>17</v>
      </c>
      <c r="W191" s="26" t="s">
        <v>126</v>
      </c>
    </row>
    <row r="192" spans="1:23" x14ac:dyDescent="0.25">
      <c r="A192" s="47">
        <f>_xlfn.XLOOKUP(_Shipments[[#This Row],[Shipment]],[1]Report!$G:$G,[1]Report!$B:$B,"-")</f>
        <v>46296.375</v>
      </c>
      <c r="B192" s="26">
        <v>7248684</v>
      </c>
      <c r="C192" s="26">
        <v>5541989631</v>
      </c>
      <c r="D192" s="26">
        <v>1</v>
      </c>
      <c r="E192" s="26" t="s">
        <v>329</v>
      </c>
      <c r="F192" s="26">
        <v>14</v>
      </c>
      <c r="G192" s="26" t="s">
        <v>283</v>
      </c>
      <c r="H192" s="26" t="s">
        <v>64</v>
      </c>
      <c r="I192" s="26" t="s">
        <v>65</v>
      </c>
      <c r="J192" s="26">
        <v>14</v>
      </c>
      <c r="K192" s="26">
        <v>7600741</v>
      </c>
      <c r="L192" s="26" t="s">
        <v>330</v>
      </c>
      <c r="M192" s="26" t="s">
        <v>270</v>
      </c>
      <c r="N192" s="48">
        <f>IF(_Shipments[[#This Row],[Embalagem]]="Big Bag",_Shipments[[#This Row],[Qtd.]]*_Shipments[[#This Row],[Qtde. sacos/palete]],_Shipments[[#This Row],[Qtd.]])</f>
        <v>700</v>
      </c>
      <c r="O192" s="49">
        <f>_xlfn.XLOOKUP(_Shipments[[#This Row],[CLN]],[2]Dados!$D:$D,[2]Dados!$R:$R,"-")</f>
        <v>50</v>
      </c>
      <c r="P192" s="49" t="str" cm="1">
        <f t="array" ref="P192">_xlfn.LET(_xlpm.t,_xlfn.XLOOKUP(_Shipments[[#This Row],[CLN]],[2]Dados!$D:$D,[2]Dados!$Q:$Q,"-"),_xlfn.IFS(LEFT(_xlpm.t,3)="PAS","Saco",LEFT(_xlpm.t,3)="PBT","Big Bag",TRUE,"-"))</f>
        <v>Big Bag</v>
      </c>
      <c r="Q192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687</v>
      </c>
      <c r="R192" s="89">
        <f>IF(_Shipments[[#This Row],[Embalagem]]="Big Bag",_Shipments[[#This Row],[Qtd.]],ROUNDUP(_Shipments[[#This Row],[Qtd.]]/_Shipments[[#This Row],[Qtde. sacos/palete]],0))</f>
        <v>14</v>
      </c>
      <c r="W192" s="26" t="s">
        <v>126</v>
      </c>
    </row>
    <row r="193" spans="1:23" x14ac:dyDescent="0.25">
      <c r="A193" s="47">
        <f>_xlfn.XLOOKUP(_Shipments[[#This Row],[Shipment]],[1]Report!$G:$G,[1]Report!$B:$B,"-")</f>
        <v>46296.375</v>
      </c>
      <c r="B193" s="26">
        <v>7248684</v>
      </c>
      <c r="C193" s="26">
        <v>5541989631</v>
      </c>
      <c r="D193" s="26">
        <v>2</v>
      </c>
      <c r="E193" s="26" t="s">
        <v>331</v>
      </c>
      <c r="F193" s="26">
        <v>4</v>
      </c>
      <c r="G193" s="26" t="s">
        <v>283</v>
      </c>
      <c r="H193" s="26" t="s">
        <v>64</v>
      </c>
      <c r="I193" s="26" t="s">
        <v>65</v>
      </c>
      <c r="J193" s="26">
        <v>4</v>
      </c>
      <c r="K193" s="26">
        <v>7600765</v>
      </c>
      <c r="L193" s="26" t="s">
        <v>332</v>
      </c>
      <c r="M193" s="26" t="s">
        <v>38</v>
      </c>
      <c r="N193" s="48">
        <f>IF(_Shipments[[#This Row],[Embalagem]]="Big Bag",_Shipments[[#This Row],[Qtd.]]*_Shipments[[#This Row],[Qtde. sacos/palete]],_Shipments[[#This Row],[Qtd.]])</f>
        <v>200</v>
      </c>
      <c r="O193" s="49">
        <f>_xlfn.XLOOKUP(_Shipments[[#This Row],[CLN]],[2]Dados!$D:$D,[2]Dados!$R:$R,"-")</f>
        <v>50</v>
      </c>
      <c r="P193" s="49" t="str" cm="1">
        <f t="array" ref="P193">_xlfn.LET(_xlpm.t,_xlfn.XLOOKUP(_Shipments[[#This Row],[CLN]],[2]Dados!$D:$D,[2]Dados!$Q:$Q,"-"),_xlfn.IFS(LEFT(_xlpm.t,3)="PAS","Saco",LEFT(_xlpm.t,3)="PBT","Big Bag",TRUE,"-"))</f>
        <v>Big Bag</v>
      </c>
      <c r="Q193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756.5</v>
      </c>
      <c r="R193" s="89">
        <f>IF(_Shipments[[#This Row],[Embalagem]]="Big Bag",_Shipments[[#This Row],[Qtd.]],ROUNDUP(_Shipments[[#This Row],[Qtd.]]/_Shipments[[#This Row],[Qtde. sacos/palete]],0))</f>
        <v>4</v>
      </c>
      <c r="W193" s="26" t="s">
        <v>126</v>
      </c>
    </row>
    <row r="194" spans="1:23" x14ac:dyDescent="0.25">
      <c r="A194" s="47">
        <f>_xlfn.XLOOKUP(_Shipments[[#This Row],[Shipment]],[1]Report!$G:$G,[1]Report!$B:$B,"-")</f>
        <v>46296.375</v>
      </c>
      <c r="B194" s="26">
        <v>7248685</v>
      </c>
      <c r="C194" s="26">
        <v>5541989632</v>
      </c>
      <c r="D194" s="26">
        <v>1</v>
      </c>
      <c r="E194" s="26" t="s">
        <v>331</v>
      </c>
      <c r="F194" s="26">
        <v>7</v>
      </c>
      <c r="G194" s="26" t="s">
        <v>283</v>
      </c>
      <c r="H194" s="26" t="s">
        <v>64</v>
      </c>
      <c r="I194" s="26" t="s">
        <v>65</v>
      </c>
      <c r="J194" s="26">
        <v>7</v>
      </c>
      <c r="K194" s="26">
        <v>7600765</v>
      </c>
      <c r="L194" s="26" t="s">
        <v>332</v>
      </c>
      <c r="M194" s="26" t="s">
        <v>38</v>
      </c>
      <c r="N194" s="48">
        <f>IF(_Shipments[[#This Row],[Embalagem]]="Big Bag",_Shipments[[#This Row],[Qtd.]]*_Shipments[[#This Row],[Qtde. sacos/palete]],_Shipments[[#This Row],[Qtd.]])</f>
        <v>350</v>
      </c>
      <c r="O194" s="49">
        <f>_xlfn.XLOOKUP(_Shipments[[#This Row],[CLN]],[2]Dados!$D:$D,[2]Dados!$R:$R,"-")</f>
        <v>50</v>
      </c>
      <c r="P194" s="49" t="str" cm="1">
        <f t="array" ref="P194">_xlfn.LET(_xlpm.t,_xlfn.XLOOKUP(_Shipments[[#This Row],[CLN]],[2]Dados!$D:$D,[2]Dados!$Q:$Q,"-"),_xlfn.IFS(LEFT(_xlpm.t,3)="PAS","Saco",LEFT(_xlpm.t,3)="PBT","Big Bag",TRUE,"-"))</f>
        <v>Big Bag</v>
      </c>
      <c r="Q194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756.5</v>
      </c>
      <c r="R194" s="89">
        <f>IF(_Shipments[[#This Row],[Embalagem]]="Big Bag",_Shipments[[#This Row],[Qtd.]],ROUNDUP(_Shipments[[#This Row],[Qtd.]]/_Shipments[[#This Row],[Qtde. sacos/palete]],0))</f>
        <v>7</v>
      </c>
      <c r="W194" s="26" t="s">
        <v>126</v>
      </c>
    </row>
    <row r="195" spans="1:23" x14ac:dyDescent="0.25">
      <c r="A195" s="47">
        <f>_xlfn.XLOOKUP(_Shipments[[#This Row],[Shipment]],[1]Report!$G:$G,[1]Report!$B:$B,"-")</f>
        <v>46296.375</v>
      </c>
      <c r="B195" s="26">
        <v>7248685</v>
      </c>
      <c r="C195" s="26">
        <v>5541989632</v>
      </c>
      <c r="D195" s="26">
        <v>2</v>
      </c>
      <c r="E195" s="26" t="s">
        <v>321</v>
      </c>
      <c r="F195" s="26">
        <v>11</v>
      </c>
      <c r="G195" s="26" t="s">
        <v>283</v>
      </c>
      <c r="H195" s="26" t="s">
        <v>64</v>
      </c>
      <c r="I195" s="26" t="s">
        <v>65</v>
      </c>
      <c r="J195" s="26">
        <v>11</v>
      </c>
      <c r="K195" s="26">
        <v>7600779</v>
      </c>
      <c r="L195" s="26" t="s">
        <v>333</v>
      </c>
      <c r="M195" s="26" t="s">
        <v>29</v>
      </c>
      <c r="N195" s="48">
        <f>IF(_Shipments[[#This Row],[Embalagem]]="Big Bag",_Shipments[[#This Row],[Qtd.]]*_Shipments[[#This Row],[Qtde. sacos/palete]],_Shipments[[#This Row],[Qtd.]])</f>
        <v>550</v>
      </c>
      <c r="O195" s="49">
        <f>_xlfn.XLOOKUP(_Shipments[[#This Row],[CLN]],[2]Dados!$D:$D,[2]Dados!$R:$R,"-")</f>
        <v>50</v>
      </c>
      <c r="P195" s="49" t="str" cm="1">
        <f t="array" ref="P195">_xlfn.LET(_xlpm.t,_xlfn.XLOOKUP(_Shipments[[#This Row],[CLN]],[2]Dados!$D:$D,[2]Dados!$Q:$Q,"-"),_xlfn.IFS(LEFT(_xlpm.t,3)="PAS","Saco",LEFT(_xlpm.t,3)="PBT","Big Bag",TRUE,"-"))</f>
        <v>Big Bag</v>
      </c>
      <c r="Q195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678.5</v>
      </c>
      <c r="R195" s="89">
        <f>IF(_Shipments[[#This Row],[Embalagem]]="Big Bag",_Shipments[[#This Row],[Qtd.]],ROUNDUP(_Shipments[[#This Row],[Qtd.]]/_Shipments[[#This Row],[Qtde. sacos/palete]],0))</f>
        <v>11</v>
      </c>
      <c r="W195" s="26" t="s">
        <v>126</v>
      </c>
    </row>
    <row r="196" spans="1:23" x14ac:dyDescent="0.25">
      <c r="A196" s="47">
        <f>_xlfn.XLOOKUP(_Shipments[[#This Row],[Shipment]],[1]Report!$G:$G,[1]Report!$B:$B,"-")</f>
        <v>46296.375</v>
      </c>
      <c r="B196" s="26">
        <v>7248685</v>
      </c>
      <c r="C196" s="26">
        <v>5541989632</v>
      </c>
      <c r="D196" s="26">
        <v>3</v>
      </c>
      <c r="E196" s="26" t="s">
        <v>334</v>
      </c>
      <c r="F196" s="26">
        <v>42</v>
      </c>
      <c r="G196" s="26" t="s">
        <v>283</v>
      </c>
      <c r="H196" s="26" t="s">
        <v>64</v>
      </c>
      <c r="I196" s="26" t="s">
        <v>65</v>
      </c>
      <c r="J196" s="26">
        <v>42</v>
      </c>
      <c r="K196" s="26">
        <v>7609082</v>
      </c>
      <c r="L196" s="26" t="s">
        <v>335</v>
      </c>
      <c r="M196" s="26" t="s">
        <v>29</v>
      </c>
      <c r="N196" s="48">
        <f>IF(_Shipments[[#This Row],[Embalagem]]="Big Bag",_Shipments[[#This Row],[Qtd.]]*_Shipments[[#This Row],[Qtde. sacos/palete]],_Shipments[[#This Row],[Qtd.]])</f>
        <v>42</v>
      </c>
      <c r="O196" s="49">
        <f>_xlfn.XLOOKUP(_Shipments[[#This Row],[CLN]],[2]Dados!$D:$D,[2]Dados!$R:$R,"-")</f>
        <v>70</v>
      </c>
      <c r="P196" s="49" t="str" cm="1">
        <f t="array" ref="P196">_xlfn.LET(_xlpm.t,_xlfn.XLOOKUP(_Shipments[[#This Row],[CLN]],[2]Dados!$D:$D,[2]Dados!$Q:$Q,"-"),_xlfn.IFS(LEFT(_xlpm.t,3)="PAS","Saco",LEFT(_xlpm.t,3)="PBT","Big Bag",TRUE,"-"))</f>
        <v>Saco</v>
      </c>
      <c r="Q196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13.57</v>
      </c>
      <c r="R196" s="89">
        <f>IF(_Shipments[[#This Row],[Embalagem]]="Big Bag",_Shipments[[#This Row],[Qtd.]],ROUNDUP(_Shipments[[#This Row],[Qtd.]]/_Shipments[[#This Row],[Qtde. sacos/palete]],0))</f>
        <v>1</v>
      </c>
      <c r="W196" s="26" t="s">
        <v>126</v>
      </c>
    </row>
    <row r="197" spans="1:23" x14ac:dyDescent="0.25">
      <c r="A197" s="47">
        <f>_xlfn.XLOOKUP(_Shipments[[#This Row],[Shipment]],[1]Report!$G:$G,[1]Report!$B:$B,"-")</f>
        <v>46295.333333333336</v>
      </c>
      <c r="B197" s="26">
        <v>7248712</v>
      </c>
      <c r="C197" s="26">
        <v>5541989199</v>
      </c>
      <c r="D197" s="26">
        <v>1</v>
      </c>
      <c r="E197" s="26" t="s">
        <v>252</v>
      </c>
      <c r="F197" s="26">
        <v>600</v>
      </c>
      <c r="G197" s="26" t="s">
        <v>253</v>
      </c>
      <c r="H197" s="26" t="s">
        <v>254</v>
      </c>
      <c r="I197" s="26" t="s">
        <v>65</v>
      </c>
      <c r="J197" s="26">
        <v>600</v>
      </c>
      <c r="K197" s="26">
        <v>7571352</v>
      </c>
      <c r="L197" s="26" t="s">
        <v>319</v>
      </c>
      <c r="M197" s="26" t="s">
        <v>32</v>
      </c>
      <c r="N197" s="48">
        <f>IF(_Shipments[[#This Row],[Embalagem]]="Big Bag",_Shipments[[#This Row],[Qtd.]]*_Shipments[[#This Row],[Qtde. sacos/palete]],_Shipments[[#This Row],[Qtd.]])</f>
        <v>600</v>
      </c>
      <c r="O197" s="49">
        <f>_xlfn.XLOOKUP(_Shipments[[#This Row],[CLN]],[2]Dados!$D:$D,[2]Dados!$R:$R,"-")</f>
        <v>60</v>
      </c>
      <c r="P197" s="49" t="str" cm="1">
        <f t="array" ref="P197">_xlfn.LET(_xlpm.t,_xlfn.XLOOKUP(_Shipments[[#This Row],[CLN]],[2]Dados!$D:$D,[2]Dados!$Q:$Q,"-"),_xlfn.IFS(LEFT(_xlpm.t,3)="PAS","Saco",LEFT(_xlpm.t,3)="PBT","Big Bag",TRUE,"-"))</f>
        <v>Saco</v>
      </c>
      <c r="Q197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16.12</v>
      </c>
      <c r="R197" s="89">
        <f>IF(_Shipments[[#This Row],[Embalagem]]="Big Bag",_Shipments[[#This Row],[Qtd.]],ROUNDUP(_Shipments[[#This Row],[Qtd.]]/_Shipments[[#This Row],[Qtde. sacos/palete]],0))</f>
        <v>10</v>
      </c>
      <c r="S197" s="26" t="s">
        <v>338</v>
      </c>
      <c r="T197" s="26">
        <v>34991525469</v>
      </c>
      <c r="U197" s="26" t="s">
        <v>340</v>
      </c>
      <c r="V197" s="26" t="s">
        <v>339</v>
      </c>
      <c r="W197" s="26" t="s">
        <v>126</v>
      </c>
    </row>
    <row r="198" spans="1:23" x14ac:dyDescent="0.25">
      <c r="A198" s="47">
        <f>_xlfn.XLOOKUP(_Shipments[[#This Row],[Shipment]],[1]Report!$G:$G,[1]Report!$B:$B,"-")</f>
        <v>46295.333333333336</v>
      </c>
      <c r="B198" s="26">
        <v>7248712</v>
      </c>
      <c r="C198" s="26">
        <v>5541989199</v>
      </c>
      <c r="D198" s="26">
        <v>2</v>
      </c>
      <c r="E198" s="26" t="s">
        <v>327</v>
      </c>
      <c r="F198" s="26">
        <v>10</v>
      </c>
      <c r="G198" s="26" t="s">
        <v>253</v>
      </c>
      <c r="H198" s="26" t="s">
        <v>254</v>
      </c>
      <c r="I198" s="26" t="s">
        <v>65</v>
      </c>
      <c r="J198" s="26">
        <v>10</v>
      </c>
      <c r="K198" s="26">
        <v>7600823</v>
      </c>
      <c r="L198" s="26" t="s">
        <v>336</v>
      </c>
      <c r="M198" s="26" t="s">
        <v>43</v>
      </c>
      <c r="N198" s="48">
        <f>IF(_Shipments[[#This Row],[Embalagem]]="Big Bag",_Shipments[[#This Row],[Qtd.]]*_Shipments[[#This Row],[Qtde. sacos/palete]],_Shipments[[#This Row],[Qtd.]])</f>
        <v>500</v>
      </c>
      <c r="O198" s="49">
        <f>_xlfn.XLOOKUP(_Shipments[[#This Row],[CLN]],[2]Dados!$D:$D,[2]Dados!$R:$R,"-")</f>
        <v>50</v>
      </c>
      <c r="P198" s="49" t="str" cm="1">
        <f t="array" ref="P198">_xlfn.LET(_xlpm.t,_xlfn.XLOOKUP(_Shipments[[#This Row],[CLN]],[2]Dados!$D:$D,[2]Dados!$Q:$Q,"-"),_xlfn.IFS(LEFT(_xlpm.t,3)="PAS","Saco",LEFT(_xlpm.t,3)="PBT","Big Bag",TRUE,"-"))</f>
        <v>Big Bag</v>
      </c>
      <c r="Q198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707.5</v>
      </c>
      <c r="R198" s="89">
        <f>IF(_Shipments[[#This Row],[Embalagem]]="Big Bag",_Shipments[[#This Row],[Qtd.]],ROUNDUP(_Shipments[[#This Row],[Qtd.]]/_Shipments[[#This Row],[Qtde. sacos/palete]],0))</f>
        <v>10</v>
      </c>
      <c r="S198" s="26" t="s">
        <v>338</v>
      </c>
      <c r="T198" s="26">
        <v>34991525469</v>
      </c>
      <c r="U198" s="26" t="s">
        <v>340</v>
      </c>
      <c r="V198" s="26" t="s">
        <v>339</v>
      </c>
      <c r="W198" s="26" t="s">
        <v>126</v>
      </c>
    </row>
    <row r="199" spans="1:23" x14ac:dyDescent="0.25">
      <c r="A199" s="47">
        <f>_xlfn.XLOOKUP(_Shipments[[#This Row],[Shipment]],[1]Report!$G:$G,[1]Report!$B:$B,"-")</f>
        <v>46294.333333333336</v>
      </c>
      <c r="B199" s="26">
        <v>7251557</v>
      </c>
      <c r="C199" s="26">
        <v>5541991011</v>
      </c>
      <c r="D199" s="26">
        <v>1</v>
      </c>
      <c r="E199" s="26" t="s">
        <v>252</v>
      </c>
      <c r="F199" s="26">
        <v>1177</v>
      </c>
      <c r="G199" s="26" t="s">
        <v>253</v>
      </c>
      <c r="H199" s="26" t="s">
        <v>254</v>
      </c>
      <c r="I199" s="26" t="s">
        <v>65</v>
      </c>
      <c r="J199" s="26">
        <v>1177</v>
      </c>
      <c r="K199" s="26">
        <v>7571351</v>
      </c>
      <c r="L199" s="26" t="s">
        <v>337</v>
      </c>
      <c r="M199" s="26" t="s">
        <v>32</v>
      </c>
      <c r="N199" s="48">
        <f>IF(_Shipments[[#This Row],[Embalagem]]="Big Bag",_Shipments[[#This Row],[Qtd.]]*_Shipments[[#This Row],[Qtde. sacos/palete]],_Shipments[[#This Row],[Qtd.]])</f>
        <v>1177</v>
      </c>
      <c r="O199" s="49">
        <f>_xlfn.XLOOKUP(_Shipments[[#This Row],[CLN]],[2]Dados!$D:$D,[2]Dados!$R:$R,"-")</f>
        <v>60</v>
      </c>
      <c r="P199" s="49" t="str" cm="1">
        <f t="array" ref="P199">_xlfn.LET(_xlpm.t,_xlfn.XLOOKUP(_Shipments[[#This Row],[CLN]],[2]Dados!$D:$D,[2]Dados!$Q:$Q,"-"),_xlfn.IFS(LEFT(_xlpm.t,3)="PAS","Saco",LEFT(_xlpm.t,3)="PBT","Big Bag",TRUE,"-"))</f>
        <v>Saco</v>
      </c>
      <c r="Q199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15.87</v>
      </c>
      <c r="R199" s="89">
        <f>IF(_Shipments[[#This Row],[Embalagem]]="Big Bag",_Shipments[[#This Row],[Qtd.]],ROUNDUP(_Shipments[[#This Row],[Qtd.]]/_Shipments[[#This Row],[Qtde. sacos/palete]],0))</f>
        <v>20</v>
      </c>
      <c r="S199" s="26" t="s">
        <v>141</v>
      </c>
      <c r="T199" s="26">
        <v>34999810409</v>
      </c>
      <c r="U199" s="26" t="s">
        <v>142</v>
      </c>
      <c r="V199" s="26" t="s">
        <v>143</v>
      </c>
      <c r="W199" s="26" t="s">
        <v>126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A0D1E-4B6D-482A-9915-DA8F823F8E71}">
  <sheetPr>
    <tabColor rgb="FFC00000"/>
  </sheetPr>
  <dimension ref="A1:AB226"/>
  <sheetViews>
    <sheetView showGridLines="0" tabSelected="1" zoomScaleNormal="100" workbookViewId="0">
      <pane xSplit="2" ySplit="1" topLeftCell="J167" activePane="bottomRight" state="frozen"/>
      <selection pane="topRight" activeCell="B1" sqref="B1"/>
      <selection pane="bottomLeft" activeCell="A2" sqref="A2"/>
      <selection pane="bottomRight" activeCell="O194" sqref="O194"/>
    </sheetView>
  </sheetViews>
  <sheetFormatPr defaultRowHeight="12.75" x14ac:dyDescent="0.25"/>
  <cols>
    <col min="1" max="1" width="11.85546875" style="26" customWidth="1"/>
    <col min="2" max="2" width="13.140625" style="26" bestFit="1" customWidth="1"/>
    <col min="3" max="3" width="12" style="26" bestFit="1" customWidth="1"/>
    <col min="4" max="4" width="9.28515625" style="26" bestFit="1" customWidth="1"/>
    <col min="5" max="5" width="14.7109375" style="26" bestFit="1" customWidth="1"/>
    <col min="6" max="6" width="9" style="26" bestFit="1" customWidth="1"/>
    <col min="7" max="7" width="31.140625" style="26" bestFit="1" customWidth="1"/>
    <col min="8" max="8" width="19.42578125" style="26" bestFit="1" customWidth="1"/>
    <col min="9" max="9" width="10.7109375" style="26" bestFit="1" customWidth="1"/>
    <col min="10" max="10" width="13.140625" style="26" bestFit="1" customWidth="1"/>
    <col min="11" max="11" width="9.140625" style="26" bestFit="1" customWidth="1"/>
    <col min="12" max="12" width="11" style="26" bestFit="1" customWidth="1"/>
    <col min="13" max="13" width="11.5703125" style="26" bestFit="1" customWidth="1"/>
    <col min="14" max="14" width="15.5703125" style="26" customWidth="1"/>
    <col min="15" max="15" width="11.85546875" style="26" customWidth="1"/>
    <col min="16" max="16" width="14.5703125" style="26" bestFit="1" customWidth="1"/>
    <col min="17" max="17" width="9.28515625" style="26" bestFit="1" customWidth="1"/>
    <col min="18" max="18" width="13.28515625" style="26" customWidth="1"/>
    <col min="19" max="19" width="35.85546875" style="26" bestFit="1" customWidth="1"/>
    <col min="20" max="20" width="14.7109375" style="26" bestFit="1" customWidth="1"/>
    <col min="21" max="21" width="14.85546875" style="26" bestFit="1" customWidth="1"/>
    <col min="22" max="22" width="15.7109375" style="26" bestFit="1" customWidth="1"/>
    <col min="23" max="23" width="18.28515625" style="26" bestFit="1" customWidth="1"/>
    <col min="24" max="24" width="20.85546875" style="26" bestFit="1" customWidth="1"/>
    <col min="25" max="25" width="10.140625" style="26" bestFit="1" customWidth="1"/>
    <col min="26" max="26" width="12.28515625" style="26" bestFit="1" customWidth="1"/>
    <col min="27" max="27" width="11.140625" style="26" bestFit="1" customWidth="1"/>
    <col min="28" max="28" width="12.28515625" style="52" bestFit="1" customWidth="1"/>
    <col min="29" max="29" width="11.140625" style="26" bestFit="1" customWidth="1"/>
    <col min="30" max="30" width="13.140625" style="26" bestFit="1" customWidth="1"/>
    <col min="31" max="31" width="26.28515625" style="26" bestFit="1" customWidth="1"/>
    <col min="32" max="32" width="11.28515625" style="26" bestFit="1" customWidth="1"/>
    <col min="33" max="33" width="7" style="26" bestFit="1" customWidth="1"/>
    <col min="34" max="16384" width="9.140625" style="26"/>
  </cols>
  <sheetData>
    <row r="1" spans="1:28" s="21" customFormat="1" ht="29.25" customHeight="1" x14ac:dyDescent="0.25">
      <c r="A1" s="53" t="s">
        <v>125</v>
      </c>
      <c r="B1" s="54" t="s">
        <v>77</v>
      </c>
      <c r="C1" s="54" t="s">
        <v>17</v>
      </c>
      <c r="D1" s="54" t="s">
        <v>6</v>
      </c>
      <c r="E1" s="54" t="s">
        <v>12</v>
      </c>
      <c r="F1" s="55" t="s">
        <v>80</v>
      </c>
      <c r="G1" s="54" t="s">
        <v>19</v>
      </c>
      <c r="H1" s="54" t="s">
        <v>20</v>
      </c>
      <c r="I1" s="54" t="s">
        <v>21</v>
      </c>
      <c r="J1" s="54" t="s">
        <v>22</v>
      </c>
      <c r="K1" s="54" t="s">
        <v>7</v>
      </c>
      <c r="L1" s="54" t="s">
        <v>23</v>
      </c>
      <c r="M1" s="54" t="s">
        <v>24</v>
      </c>
      <c r="N1" s="53" t="s">
        <v>219</v>
      </c>
      <c r="O1" s="53" t="s">
        <v>115</v>
      </c>
      <c r="P1" s="53" t="s">
        <v>118</v>
      </c>
      <c r="Q1" s="53" t="s">
        <v>122</v>
      </c>
      <c r="R1" s="53" t="s">
        <v>192</v>
      </c>
      <c r="S1" s="56" t="s">
        <v>1</v>
      </c>
      <c r="T1" s="56" t="s">
        <v>9</v>
      </c>
      <c r="U1" s="56" t="s">
        <v>2</v>
      </c>
      <c r="V1" s="56" t="s">
        <v>3</v>
      </c>
      <c r="W1" s="56" t="s">
        <v>10</v>
      </c>
      <c r="Y1" s="87" t="s">
        <v>114</v>
      </c>
    </row>
    <row r="2" spans="1:28" x14ac:dyDescent="0.25">
      <c r="A2" s="47">
        <f>_xlfn.XLOOKUP(_Shipments[[#This Row],[Shipment]],[1]Report!$G:$G,[1]Report!$B:$B,"-")</f>
        <v>46260.333333333336</v>
      </c>
      <c r="B2" s="26">
        <v>7240103</v>
      </c>
      <c r="C2" s="26">
        <v>5541981925</v>
      </c>
      <c r="D2" s="26">
        <v>1</v>
      </c>
      <c r="E2" s="26" t="s">
        <v>25</v>
      </c>
      <c r="F2" s="85">
        <v>987</v>
      </c>
      <c r="G2" s="26" t="s">
        <v>283</v>
      </c>
      <c r="H2" s="26" t="s">
        <v>26</v>
      </c>
      <c r="I2" s="26" t="s">
        <v>27</v>
      </c>
      <c r="J2" s="26">
        <v>987</v>
      </c>
      <c r="K2" s="26">
        <v>7520918</v>
      </c>
      <c r="L2" s="26" t="s">
        <v>28</v>
      </c>
      <c r="M2" s="26" t="s">
        <v>29</v>
      </c>
      <c r="N2" s="48">
        <f>IF(_Shipments[[#This Row],[Embalagem]]="Big Bag",_Shipments[[#This Row],[Qtd.]]*_Shipments[[#This Row],[Qtde. sacos/palete]],_Shipments[[#This Row],[Qtd.]])</f>
        <v>987</v>
      </c>
      <c r="O2" s="49">
        <f>_xlfn.XLOOKUP(_Shipments[[#This Row],[CLN]],[2]Dados!$D:$D,[2]Dados!$R:$R,"-")</f>
        <v>75</v>
      </c>
      <c r="P2" s="49" t="str" cm="1">
        <f t="array" ref="P2">_xlfn.LET(_xlpm.t,_xlfn.XLOOKUP(_Shipments[[#This Row],[CLN]],[2]Dados!$D:$D,[2]Dados!$Q:$Q,"-"),_xlfn.IFS(LEFT(_xlpm.t,3)="PAS","Saco",LEFT(_xlpm.t,3)="PBT","Big Bag",TRUE,"-"))</f>
        <v>Saco</v>
      </c>
      <c r="Q2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12.16</v>
      </c>
      <c r="R2" s="89">
        <f>IF(_Shipments[[#This Row],[Embalagem]]="Big Bag",_Shipments[[#This Row],[Qtd.]],ROUNDUP(_Shipments[[#This Row],[Qtd.]]/_Shipments[[#This Row],[Qtde. sacos/palete]],0))</f>
        <v>14</v>
      </c>
      <c r="S2" s="26" t="s">
        <v>158</v>
      </c>
      <c r="T2" s="51">
        <v>34992119997</v>
      </c>
      <c r="U2" s="26" t="s">
        <v>134</v>
      </c>
      <c r="V2" s="26" t="s">
        <v>135</v>
      </c>
      <c r="W2" s="26" t="s">
        <v>126</v>
      </c>
      <c r="Y2" s="88" cm="1">
        <f t="array" ref="Y2:Y106">_xlfn.DROP(_xlfn.UNIQUE(_xlfn._xlws.FILTER('_Shipments'!B:B,'_Shipments'!B:B&lt;&gt;"")),1)</f>
        <v>7240103</v>
      </c>
      <c r="AB2" s="26"/>
    </row>
    <row r="3" spans="1:28" x14ac:dyDescent="0.25">
      <c r="A3" s="47">
        <f>_xlfn.XLOOKUP(_Shipments[[#This Row],[Shipment]],[1]Report!$G:$G,[1]Report!$B:$B,"-")</f>
        <v>46260.333333333336</v>
      </c>
      <c r="B3" s="26">
        <v>7240103</v>
      </c>
      <c r="C3" s="26">
        <v>5541981925</v>
      </c>
      <c r="D3" s="26">
        <v>2</v>
      </c>
      <c r="E3" s="26" t="s">
        <v>30</v>
      </c>
      <c r="F3" s="85">
        <v>36</v>
      </c>
      <c r="G3" s="26" t="s">
        <v>283</v>
      </c>
      <c r="H3" s="26" t="s">
        <v>26</v>
      </c>
      <c r="I3" s="26" t="s">
        <v>27</v>
      </c>
      <c r="J3" s="26">
        <v>36</v>
      </c>
      <c r="K3" s="26">
        <v>7520947</v>
      </c>
      <c r="L3" s="26" t="s">
        <v>31</v>
      </c>
      <c r="M3" s="26" t="s">
        <v>32</v>
      </c>
      <c r="N3" s="48">
        <f>IF(_Shipments[[#This Row],[Embalagem]]="Big Bag",_Shipments[[#This Row],[Qtd.]]*_Shipments[[#This Row],[Qtde. sacos/palete]],_Shipments[[#This Row],[Qtd.]])</f>
        <v>36</v>
      </c>
      <c r="O3" s="49">
        <f>_xlfn.XLOOKUP(_Shipments[[#This Row],[CLN]],[2]Dados!$D:$D,[2]Dados!$R:$R,"-")</f>
        <v>70</v>
      </c>
      <c r="P3" s="49" t="str" cm="1">
        <f t="array" ref="P3">_xlfn.LET(_xlpm.t,_xlfn.XLOOKUP(_Shipments[[#This Row],[CLN]],[2]Dados!$D:$D,[2]Dados!$Q:$Q,"-"),_xlfn.IFS(LEFT(_xlpm.t,3)="PAS","Saco",LEFT(_xlpm.t,3)="PBT","Big Bag",TRUE,"-"))</f>
        <v>Saco</v>
      </c>
      <c r="Q3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13.77</v>
      </c>
      <c r="R3" s="89">
        <f>IF(_Shipments[[#This Row],[Embalagem]]="Big Bag",_Shipments[[#This Row],[Qtd.]],ROUNDUP(_Shipments[[#This Row],[Qtd.]]/_Shipments[[#This Row],[Qtde. sacos/palete]],0))</f>
        <v>1</v>
      </c>
      <c r="S3" s="26" t="s">
        <v>158</v>
      </c>
      <c r="T3" s="51">
        <v>34992119997</v>
      </c>
      <c r="U3" s="26" t="s">
        <v>134</v>
      </c>
      <c r="V3" s="26" t="s">
        <v>135</v>
      </c>
      <c r="W3" s="26" t="s">
        <v>126</v>
      </c>
      <c r="Y3" s="88">
        <v>7240104</v>
      </c>
      <c r="AB3" s="26"/>
    </row>
    <row r="4" spans="1:28" x14ac:dyDescent="0.25">
      <c r="A4" s="47">
        <f>_xlfn.XLOOKUP(_Shipments[[#This Row],[Shipment]],[1]Report!$G:$G,[1]Report!$B:$B,"-")</f>
        <v>46260.333333333336</v>
      </c>
      <c r="B4" s="26">
        <v>7240103</v>
      </c>
      <c r="C4" s="26">
        <v>5541981925</v>
      </c>
      <c r="D4" s="26">
        <v>3</v>
      </c>
      <c r="E4" s="26" t="s">
        <v>33</v>
      </c>
      <c r="F4" s="85">
        <v>16</v>
      </c>
      <c r="G4" s="26" t="s">
        <v>283</v>
      </c>
      <c r="H4" s="26" t="s">
        <v>26</v>
      </c>
      <c r="I4" s="26" t="s">
        <v>27</v>
      </c>
      <c r="J4" s="26">
        <v>16</v>
      </c>
      <c r="K4" s="26">
        <v>7520951</v>
      </c>
      <c r="L4" s="26" t="s">
        <v>34</v>
      </c>
      <c r="M4" s="26" t="s">
        <v>35</v>
      </c>
      <c r="N4" s="48">
        <f>IF(_Shipments[[#This Row],[Embalagem]]="Big Bag",_Shipments[[#This Row],[Qtd.]]*_Shipments[[#This Row],[Qtde. sacos/palete]],_Shipments[[#This Row],[Qtd.]])</f>
        <v>16</v>
      </c>
      <c r="O4" s="49">
        <f>_xlfn.XLOOKUP(_Shipments[[#This Row],[CLN]],[2]Dados!$D:$D,[2]Dados!$R:$R,"-")</f>
        <v>60</v>
      </c>
      <c r="P4" s="49" t="str" cm="1">
        <f t="array" ref="P4">_xlfn.LET(_xlpm.t,_xlfn.XLOOKUP(_Shipments[[#This Row],[CLN]],[2]Dados!$D:$D,[2]Dados!$Q:$Q,"-"),_xlfn.IFS(LEFT(_xlpm.t,3)="PAS","Saco",LEFT(_xlpm.t,3)="PBT","Big Bag",TRUE,"-"))</f>
        <v>Saco</v>
      </c>
      <c r="Q4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16.690000000000001</v>
      </c>
      <c r="R4" s="89">
        <f>IF(_Shipments[[#This Row],[Embalagem]]="Big Bag",_Shipments[[#This Row],[Qtd.]],ROUNDUP(_Shipments[[#This Row],[Qtd.]]/_Shipments[[#This Row],[Qtde. sacos/palete]],0))</f>
        <v>1</v>
      </c>
      <c r="S4" s="26" t="s">
        <v>158</v>
      </c>
      <c r="T4" s="51">
        <v>34992119997</v>
      </c>
      <c r="U4" s="26" t="s">
        <v>134</v>
      </c>
      <c r="V4" s="26" t="s">
        <v>135</v>
      </c>
      <c r="W4" s="26" t="s">
        <v>126</v>
      </c>
      <c r="Y4" s="88">
        <v>7240105</v>
      </c>
      <c r="AB4" s="26"/>
    </row>
    <row r="5" spans="1:28" x14ac:dyDescent="0.25">
      <c r="A5" s="47">
        <f>_xlfn.XLOOKUP(_Shipments[[#This Row],[Shipment]],[1]Report!$G:$G,[1]Report!$B:$B,"-")</f>
        <v>46260.333333333336</v>
      </c>
      <c r="B5" s="26">
        <v>7240103</v>
      </c>
      <c r="C5" s="26">
        <v>5541981925</v>
      </c>
      <c r="D5" s="26">
        <v>4</v>
      </c>
      <c r="E5" s="26" t="s">
        <v>36</v>
      </c>
      <c r="F5" s="85">
        <v>27</v>
      </c>
      <c r="G5" s="26" t="s">
        <v>283</v>
      </c>
      <c r="H5" s="26" t="s">
        <v>26</v>
      </c>
      <c r="I5" s="26" t="s">
        <v>27</v>
      </c>
      <c r="J5" s="26">
        <v>27</v>
      </c>
      <c r="K5" s="26">
        <v>7520927</v>
      </c>
      <c r="L5" s="26" t="s">
        <v>37</v>
      </c>
      <c r="M5" s="26" t="s">
        <v>38</v>
      </c>
      <c r="N5" s="48">
        <f>IF(_Shipments[[#This Row],[Embalagem]]="Big Bag",_Shipments[[#This Row],[Qtd.]]*_Shipments[[#This Row],[Qtde. sacos/palete]],_Shipments[[#This Row],[Qtd.]])</f>
        <v>27</v>
      </c>
      <c r="O5" s="49">
        <f>_xlfn.XLOOKUP(_Shipments[[#This Row],[CLN]],[2]Dados!$D:$D,[2]Dados!$R:$R,"-")</f>
        <v>60</v>
      </c>
      <c r="P5" s="49" t="str" cm="1">
        <f t="array" ref="P5">_xlfn.LET(_xlpm.t,_xlfn.XLOOKUP(_Shipments[[#This Row],[CLN]],[2]Dados!$D:$D,[2]Dados!$Q:$Q,"-"),_xlfn.IFS(LEFT(_xlpm.t,3)="PAS","Saco",LEFT(_xlpm.t,3)="PBT","Big Bag",TRUE,"-"))</f>
        <v>Saco</v>
      </c>
      <c r="Q5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14.69</v>
      </c>
      <c r="R5" s="89">
        <f>IF(_Shipments[[#This Row],[Embalagem]]="Big Bag",_Shipments[[#This Row],[Qtd.]],ROUNDUP(_Shipments[[#This Row],[Qtd.]]/_Shipments[[#This Row],[Qtde. sacos/palete]],0))</f>
        <v>1</v>
      </c>
      <c r="S5" s="26" t="s">
        <v>158</v>
      </c>
      <c r="T5" s="51">
        <v>34992119997</v>
      </c>
      <c r="U5" s="26" t="s">
        <v>134</v>
      </c>
      <c r="V5" s="26" t="s">
        <v>135</v>
      </c>
      <c r="W5" s="26" t="s">
        <v>126</v>
      </c>
      <c r="Y5" s="88">
        <v>7240106</v>
      </c>
      <c r="AB5" s="26"/>
    </row>
    <row r="6" spans="1:28" x14ac:dyDescent="0.25">
      <c r="A6" s="47">
        <f>_xlfn.XLOOKUP(_Shipments[[#This Row],[Shipment]],[1]Report!$G:$G,[1]Report!$B:$B,"-")</f>
        <v>46260.333333333336</v>
      </c>
      <c r="B6" s="26">
        <v>7240103</v>
      </c>
      <c r="C6" s="26">
        <v>5541981925</v>
      </c>
      <c r="D6" s="26">
        <v>5</v>
      </c>
      <c r="E6" s="26" t="s">
        <v>36</v>
      </c>
      <c r="F6" s="85">
        <v>31</v>
      </c>
      <c r="G6" s="26" t="s">
        <v>283</v>
      </c>
      <c r="H6" s="26" t="s">
        <v>26</v>
      </c>
      <c r="I6" s="26" t="s">
        <v>27</v>
      </c>
      <c r="J6" s="26">
        <v>31</v>
      </c>
      <c r="K6" s="26">
        <v>7520929</v>
      </c>
      <c r="L6" s="26" t="s">
        <v>39</v>
      </c>
      <c r="M6" s="26" t="s">
        <v>38</v>
      </c>
      <c r="N6" s="48">
        <f>IF(_Shipments[[#This Row],[Embalagem]]="Big Bag",_Shipments[[#This Row],[Qtd.]]*_Shipments[[#This Row],[Qtde. sacos/palete]],_Shipments[[#This Row],[Qtd.]])</f>
        <v>31</v>
      </c>
      <c r="O6" s="49">
        <f>_xlfn.XLOOKUP(_Shipments[[#This Row],[CLN]],[2]Dados!$D:$D,[2]Dados!$R:$R,"-")</f>
        <v>70</v>
      </c>
      <c r="P6" s="49" t="str" cm="1">
        <f t="array" ref="P6">_xlfn.LET(_xlpm.t,_xlfn.XLOOKUP(_Shipments[[#This Row],[CLN]],[2]Dados!$D:$D,[2]Dados!$Q:$Q,"-"),_xlfn.IFS(LEFT(_xlpm.t,3)="PAS","Saco",LEFT(_xlpm.t,3)="PBT","Big Bag",TRUE,"-"))</f>
        <v>Saco</v>
      </c>
      <c r="Q6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14.13</v>
      </c>
      <c r="R6" s="89">
        <f>IF(_Shipments[[#This Row],[Embalagem]]="Big Bag",_Shipments[[#This Row],[Qtd.]],ROUNDUP(_Shipments[[#This Row],[Qtd.]]/_Shipments[[#This Row],[Qtde. sacos/palete]],0))</f>
        <v>1</v>
      </c>
      <c r="S6" s="26" t="s">
        <v>158</v>
      </c>
      <c r="T6" s="51">
        <v>34992119997</v>
      </c>
      <c r="U6" s="26" t="s">
        <v>134</v>
      </c>
      <c r="V6" s="26" t="s">
        <v>135</v>
      </c>
      <c r="W6" s="26" t="s">
        <v>126</v>
      </c>
      <c r="Y6" s="88">
        <v>7240107</v>
      </c>
      <c r="AB6" s="26"/>
    </row>
    <row r="7" spans="1:28" x14ac:dyDescent="0.25">
      <c r="A7" s="47">
        <f>_xlfn.XLOOKUP(_Shipments[[#This Row],[Shipment]],[1]Report!$G:$G,[1]Report!$B:$B,"-")</f>
        <v>46260.333333333336</v>
      </c>
      <c r="B7" s="26">
        <v>7240103</v>
      </c>
      <c r="C7" s="26">
        <v>5541981925</v>
      </c>
      <c r="D7" s="26">
        <v>6</v>
      </c>
      <c r="E7" s="26" t="s">
        <v>25</v>
      </c>
      <c r="F7" s="85">
        <v>195</v>
      </c>
      <c r="G7" s="26" t="s">
        <v>283</v>
      </c>
      <c r="H7" s="26" t="s">
        <v>26</v>
      </c>
      <c r="I7" s="26" t="s">
        <v>27</v>
      </c>
      <c r="J7" s="26">
        <v>195</v>
      </c>
      <c r="K7" s="26">
        <v>7520886</v>
      </c>
      <c r="L7" s="26" t="s">
        <v>40</v>
      </c>
      <c r="M7" s="26" t="s">
        <v>41</v>
      </c>
      <c r="N7" s="48">
        <f>IF(_Shipments[[#This Row],[Embalagem]]="Big Bag",_Shipments[[#This Row],[Qtd.]]*_Shipments[[#This Row],[Qtde. sacos/palete]],_Shipments[[#This Row],[Qtd.]])</f>
        <v>195</v>
      </c>
      <c r="O7" s="49">
        <f>_xlfn.XLOOKUP(_Shipments[[#This Row],[CLN]],[2]Dados!$D:$D,[2]Dados!$R:$R,"-")</f>
        <v>75</v>
      </c>
      <c r="P7" s="49" t="str" cm="1">
        <f t="array" ref="P7">_xlfn.LET(_xlpm.t,_xlfn.XLOOKUP(_Shipments[[#This Row],[CLN]],[2]Dados!$D:$D,[2]Dados!$Q:$Q,"-"),_xlfn.IFS(LEFT(_xlpm.t,3)="PAS","Saco",LEFT(_xlpm.t,3)="PBT","Big Bag",TRUE,"-"))</f>
        <v>Saco</v>
      </c>
      <c r="Q7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11.26</v>
      </c>
      <c r="R7" s="89">
        <f>IF(_Shipments[[#This Row],[Embalagem]]="Big Bag",_Shipments[[#This Row],[Qtd.]],ROUNDUP(_Shipments[[#This Row],[Qtd.]]/_Shipments[[#This Row],[Qtde. sacos/palete]],0))</f>
        <v>3</v>
      </c>
      <c r="S7" s="26" t="s">
        <v>158</v>
      </c>
      <c r="T7" s="51">
        <v>34992119997</v>
      </c>
      <c r="U7" s="26" t="s">
        <v>134</v>
      </c>
      <c r="V7" s="26" t="s">
        <v>135</v>
      </c>
      <c r="W7" s="26" t="s">
        <v>126</v>
      </c>
      <c r="Y7" s="88">
        <v>7240108</v>
      </c>
      <c r="AB7" s="26"/>
    </row>
    <row r="8" spans="1:28" x14ac:dyDescent="0.25">
      <c r="A8" s="47">
        <f>_xlfn.XLOOKUP(_Shipments[[#This Row],[Shipment]],[1]Report!$G:$G,[1]Report!$B:$B,"-")</f>
        <v>46260.333333333336</v>
      </c>
      <c r="B8" s="26">
        <v>7240104</v>
      </c>
      <c r="C8" s="26">
        <v>5541981926</v>
      </c>
      <c r="D8" s="26">
        <v>1</v>
      </c>
      <c r="E8" s="26" t="s">
        <v>30</v>
      </c>
      <c r="F8" s="85">
        <v>925</v>
      </c>
      <c r="G8" s="26" t="s">
        <v>283</v>
      </c>
      <c r="H8" s="26" t="s">
        <v>26</v>
      </c>
      <c r="I8" s="26" t="s">
        <v>27</v>
      </c>
      <c r="J8" s="26">
        <v>925</v>
      </c>
      <c r="K8" s="26">
        <v>7520891</v>
      </c>
      <c r="L8" s="26" t="s">
        <v>42</v>
      </c>
      <c r="M8" s="26" t="s">
        <v>43</v>
      </c>
      <c r="N8" s="48">
        <f>IF(_Shipments[[#This Row],[Embalagem]]="Big Bag",_Shipments[[#This Row],[Qtd.]]*_Shipments[[#This Row],[Qtde. sacos/palete]],_Shipments[[#This Row],[Qtd.]])</f>
        <v>925</v>
      </c>
      <c r="O8" s="49">
        <f>_xlfn.XLOOKUP(_Shipments[[#This Row],[CLN]],[2]Dados!$D:$D,[2]Dados!$R:$R,"-")</f>
        <v>70</v>
      </c>
      <c r="P8" s="49" t="str" cm="1">
        <f t="array" ref="P8">_xlfn.LET(_xlpm.t,_xlfn.XLOOKUP(_Shipments[[#This Row],[CLN]],[2]Dados!$D:$D,[2]Dados!$Q:$Q,"-"),_xlfn.IFS(LEFT(_xlpm.t,3)="PAS","Saco",LEFT(_xlpm.t,3)="PBT","Big Bag",TRUE,"-"))</f>
        <v>Saco</v>
      </c>
      <c r="Q8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13.11</v>
      </c>
      <c r="R8" s="89">
        <f>IF(_Shipments[[#This Row],[Embalagem]]="Big Bag",_Shipments[[#This Row],[Qtd.]],ROUNDUP(_Shipments[[#This Row],[Qtd.]]/_Shipments[[#This Row],[Qtde. sacos/palete]],0))</f>
        <v>14</v>
      </c>
      <c r="S8" s="26" t="s">
        <v>159</v>
      </c>
      <c r="T8" s="51">
        <v>38999337997</v>
      </c>
      <c r="U8" s="26" t="s">
        <v>144</v>
      </c>
      <c r="V8" s="26" t="s">
        <v>145</v>
      </c>
      <c r="W8" s="26" t="s">
        <v>126</v>
      </c>
      <c r="Y8" s="88">
        <v>7240109</v>
      </c>
      <c r="AB8" s="26"/>
    </row>
    <row r="9" spans="1:28" x14ac:dyDescent="0.25">
      <c r="A9" s="47">
        <f>_xlfn.XLOOKUP(_Shipments[[#This Row],[Shipment]],[1]Report!$G:$G,[1]Report!$B:$B,"-")</f>
        <v>46260.333333333336</v>
      </c>
      <c r="B9" s="26">
        <v>7240104</v>
      </c>
      <c r="C9" s="26">
        <v>5541981926</v>
      </c>
      <c r="D9" s="26">
        <v>2</v>
      </c>
      <c r="E9" s="26" t="s">
        <v>36</v>
      </c>
      <c r="F9" s="85">
        <v>39</v>
      </c>
      <c r="G9" s="26" t="s">
        <v>283</v>
      </c>
      <c r="H9" s="26" t="s">
        <v>26</v>
      </c>
      <c r="I9" s="26" t="s">
        <v>27</v>
      </c>
      <c r="J9" s="26">
        <v>39</v>
      </c>
      <c r="K9" s="26">
        <v>7520933</v>
      </c>
      <c r="L9" s="26" t="s">
        <v>44</v>
      </c>
      <c r="M9" s="26" t="s">
        <v>38</v>
      </c>
      <c r="N9" s="48">
        <f>IF(_Shipments[[#This Row],[Embalagem]]="Big Bag",_Shipments[[#This Row],[Qtd.]]*_Shipments[[#This Row],[Qtde. sacos/palete]],_Shipments[[#This Row],[Qtd.]])</f>
        <v>39</v>
      </c>
      <c r="O9" s="49">
        <f>_xlfn.XLOOKUP(_Shipments[[#This Row],[CLN]],[2]Dados!$D:$D,[2]Dados!$R:$R,"-")</f>
        <v>60</v>
      </c>
      <c r="P9" s="49" t="str" cm="1">
        <f t="array" ref="P9">_xlfn.LET(_xlpm.t,_xlfn.XLOOKUP(_Shipments[[#This Row],[CLN]],[2]Dados!$D:$D,[2]Dados!$Q:$Q,"-"),_xlfn.IFS(LEFT(_xlpm.t,3)="PAS","Saco",LEFT(_xlpm.t,3)="PBT","Big Bag",TRUE,"-"))</f>
        <v>Saco</v>
      </c>
      <c r="Q9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14.56</v>
      </c>
      <c r="R9" s="89">
        <f>IF(_Shipments[[#This Row],[Embalagem]]="Big Bag",_Shipments[[#This Row],[Qtd.]],ROUNDUP(_Shipments[[#This Row],[Qtd.]]/_Shipments[[#This Row],[Qtde. sacos/palete]],0))</f>
        <v>1</v>
      </c>
      <c r="S9" s="26" t="s">
        <v>159</v>
      </c>
      <c r="T9" s="51">
        <v>38999337997</v>
      </c>
      <c r="U9" s="26" t="s">
        <v>144</v>
      </c>
      <c r="V9" s="26" t="s">
        <v>145</v>
      </c>
      <c r="W9" s="26" t="s">
        <v>126</v>
      </c>
      <c r="Y9" s="88">
        <v>7240110</v>
      </c>
      <c r="AB9" s="26"/>
    </row>
    <row r="10" spans="1:28" x14ac:dyDescent="0.25">
      <c r="A10" s="47">
        <f>_xlfn.XLOOKUP(_Shipments[[#This Row],[Shipment]],[1]Report!$G:$G,[1]Report!$B:$B,"-")</f>
        <v>46260.333333333336</v>
      </c>
      <c r="B10" s="26">
        <v>7240104</v>
      </c>
      <c r="C10" s="26">
        <v>5541981926</v>
      </c>
      <c r="D10" s="26">
        <v>3</v>
      </c>
      <c r="E10" s="26" t="s">
        <v>36</v>
      </c>
      <c r="F10" s="85">
        <v>27</v>
      </c>
      <c r="G10" s="26" t="s">
        <v>283</v>
      </c>
      <c r="H10" s="26" t="s">
        <v>26</v>
      </c>
      <c r="I10" s="26" t="s">
        <v>27</v>
      </c>
      <c r="J10" s="26">
        <v>27</v>
      </c>
      <c r="K10" s="26">
        <v>7520936</v>
      </c>
      <c r="L10" s="26" t="s">
        <v>45</v>
      </c>
      <c r="M10" s="26" t="s">
        <v>46</v>
      </c>
      <c r="N10" s="48">
        <f>IF(_Shipments[[#This Row],[Embalagem]]="Big Bag",_Shipments[[#This Row],[Qtd.]]*_Shipments[[#This Row],[Qtde. sacos/palete]],_Shipments[[#This Row],[Qtd.]])</f>
        <v>27</v>
      </c>
      <c r="O10" s="49">
        <f>_xlfn.XLOOKUP(_Shipments[[#This Row],[CLN]],[2]Dados!$D:$D,[2]Dados!$R:$R,"-")</f>
        <v>60</v>
      </c>
      <c r="P10" s="49" t="str" cm="1">
        <f t="array" ref="P10">_xlfn.LET(_xlpm.t,_xlfn.XLOOKUP(_Shipments[[#This Row],[CLN]],[2]Dados!$D:$D,[2]Dados!$Q:$Q,"-"),_xlfn.IFS(LEFT(_xlpm.t,3)="PAS","Saco",LEFT(_xlpm.t,3)="PBT","Big Bag",TRUE,"-"))</f>
        <v>Saco</v>
      </c>
      <c r="Q10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16.18</v>
      </c>
      <c r="R10" s="89">
        <f>IF(_Shipments[[#This Row],[Embalagem]]="Big Bag",_Shipments[[#This Row],[Qtd.]],ROUNDUP(_Shipments[[#This Row],[Qtd.]]/_Shipments[[#This Row],[Qtde. sacos/palete]],0))</f>
        <v>1</v>
      </c>
      <c r="S10" s="26" t="s">
        <v>159</v>
      </c>
      <c r="T10" s="51">
        <v>38999337997</v>
      </c>
      <c r="U10" s="26" t="s">
        <v>144</v>
      </c>
      <c r="V10" s="26" t="s">
        <v>145</v>
      </c>
      <c r="W10" s="26" t="s">
        <v>126</v>
      </c>
      <c r="Y10" s="88">
        <v>7240111</v>
      </c>
      <c r="AB10" s="26"/>
    </row>
    <row r="11" spans="1:28" x14ac:dyDescent="0.25">
      <c r="A11" s="47">
        <f>_xlfn.XLOOKUP(_Shipments[[#This Row],[Shipment]],[1]Report!$G:$G,[1]Report!$B:$B,"-")</f>
        <v>46260.333333333336</v>
      </c>
      <c r="B11" s="26">
        <v>7240104</v>
      </c>
      <c r="C11" s="26">
        <v>5541981926</v>
      </c>
      <c r="D11" s="26">
        <v>4</v>
      </c>
      <c r="E11" s="26" t="s">
        <v>36</v>
      </c>
      <c r="F11" s="85">
        <v>39</v>
      </c>
      <c r="G11" s="26" t="s">
        <v>283</v>
      </c>
      <c r="H11" s="26" t="s">
        <v>26</v>
      </c>
      <c r="I11" s="26" t="s">
        <v>27</v>
      </c>
      <c r="J11" s="26">
        <v>39</v>
      </c>
      <c r="K11" s="26">
        <v>7520939</v>
      </c>
      <c r="L11" s="26" t="s">
        <v>47</v>
      </c>
      <c r="M11" s="26" t="s">
        <v>46</v>
      </c>
      <c r="N11" s="48">
        <f>IF(_Shipments[[#This Row],[Embalagem]]="Big Bag",_Shipments[[#This Row],[Qtd.]]*_Shipments[[#This Row],[Qtde. sacos/palete]],_Shipments[[#This Row],[Qtd.]])</f>
        <v>39</v>
      </c>
      <c r="O11" s="49">
        <f>_xlfn.XLOOKUP(_Shipments[[#This Row],[CLN]],[2]Dados!$D:$D,[2]Dados!$R:$R,"-")</f>
        <v>60</v>
      </c>
      <c r="P11" s="49" t="str" cm="1">
        <f t="array" ref="P11">_xlfn.LET(_xlpm.t,_xlfn.XLOOKUP(_Shipments[[#This Row],[CLN]],[2]Dados!$D:$D,[2]Dados!$Q:$Q,"-"),_xlfn.IFS(LEFT(_xlpm.t,3)="PAS","Saco",LEFT(_xlpm.t,3)="PBT","Big Bag",TRUE,"-"))</f>
        <v>Saco</v>
      </c>
      <c r="Q11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16.84</v>
      </c>
      <c r="R11" s="89">
        <f>IF(_Shipments[[#This Row],[Embalagem]]="Big Bag",_Shipments[[#This Row],[Qtd.]],ROUNDUP(_Shipments[[#This Row],[Qtd.]]/_Shipments[[#This Row],[Qtde. sacos/palete]],0))</f>
        <v>1</v>
      </c>
      <c r="S11" s="26" t="s">
        <v>159</v>
      </c>
      <c r="T11" s="51">
        <v>38999337997</v>
      </c>
      <c r="U11" s="26" t="s">
        <v>144</v>
      </c>
      <c r="V11" s="26" t="s">
        <v>145</v>
      </c>
      <c r="W11" s="26" t="s">
        <v>126</v>
      </c>
      <c r="Y11" s="88">
        <v>7241110</v>
      </c>
      <c r="AB11" s="26"/>
    </row>
    <row r="12" spans="1:28" x14ac:dyDescent="0.25">
      <c r="A12" s="47">
        <f>_xlfn.XLOOKUP(_Shipments[[#This Row],[Shipment]],[1]Report!$G:$G,[1]Report!$B:$B,"-")</f>
        <v>46260.333333333336</v>
      </c>
      <c r="B12" s="26">
        <v>7240104</v>
      </c>
      <c r="C12" s="26">
        <v>5541981926</v>
      </c>
      <c r="D12" s="26">
        <v>5</v>
      </c>
      <c r="E12" s="26" t="s">
        <v>30</v>
      </c>
      <c r="F12" s="85">
        <v>37</v>
      </c>
      <c r="G12" s="26" t="s">
        <v>283</v>
      </c>
      <c r="H12" s="26" t="s">
        <v>26</v>
      </c>
      <c r="I12" s="26" t="s">
        <v>27</v>
      </c>
      <c r="J12" s="26">
        <v>37</v>
      </c>
      <c r="K12" s="26">
        <v>7520948</v>
      </c>
      <c r="L12" s="26" t="s">
        <v>48</v>
      </c>
      <c r="M12" s="26" t="s">
        <v>32</v>
      </c>
      <c r="N12" s="48">
        <f>IF(_Shipments[[#This Row],[Embalagem]]="Big Bag",_Shipments[[#This Row],[Qtd.]]*_Shipments[[#This Row],[Qtde. sacos/palete]],_Shipments[[#This Row],[Qtd.]])</f>
        <v>37</v>
      </c>
      <c r="O12" s="49">
        <f>_xlfn.XLOOKUP(_Shipments[[#This Row],[CLN]],[2]Dados!$D:$D,[2]Dados!$R:$R,"-")</f>
        <v>70</v>
      </c>
      <c r="P12" s="49" t="str" cm="1">
        <f t="array" ref="P12">_xlfn.LET(_xlpm.t,_xlfn.XLOOKUP(_Shipments[[#This Row],[CLN]],[2]Dados!$D:$D,[2]Dados!$Q:$Q,"-"),_xlfn.IFS(LEFT(_xlpm.t,3)="PAS","Saco",LEFT(_xlpm.t,3)="PBT","Big Bag",TRUE,"-"))</f>
        <v>Saco</v>
      </c>
      <c r="Q12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14.06</v>
      </c>
      <c r="R12" s="89">
        <f>IF(_Shipments[[#This Row],[Embalagem]]="Big Bag",_Shipments[[#This Row],[Qtd.]],ROUNDUP(_Shipments[[#This Row],[Qtd.]]/_Shipments[[#This Row],[Qtde. sacos/palete]],0))</f>
        <v>1</v>
      </c>
      <c r="S12" s="26" t="s">
        <v>159</v>
      </c>
      <c r="T12" s="51">
        <v>38999337997</v>
      </c>
      <c r="U12" s="26" t="s">
        <v>144</v>
      </c>
      <c r="V12" s="26" t="s">
        <v>145</v>
      </c>
      <c r="W12" s="26" t="s">
        <v>126</v>
      </c>
      <c r="Y12" s="88">
        <v>7241111</v>
      </c>
      <c r="AB12" s="26"/>
    </row>
    <row r="13" spans="1:28" x14ac:dyDescent="0.25">
      <c r="A13" s="47">
        <f>_xlfn.XLOOKUP(_Shipments[[#This Row],[Shipment]],[1]Report!$G:$G,[1]Report!$B:$B,"-")</f>
        <v>46260.333333333336</v>
      </c>
      <c r="B13" s="26">
        <v>7240104</v>
      </c>
      <c r="C13" s="26">
        <v>5541981926</v>
      </c>
      <c r="D13" s="26">
        <v>6</v>
      </c>
      <c r="E13" s="26" t="s">
        <v>25</v>
      </c>
      <c r="F13" s="85">
        <v>207</v>
      </c>
      <c r="G13" s="26" t="s">
        <v>283</v>
      </c>
      <c r="H13" s="26" t="s">
        <v>26</v>
      </c>
      <c r="I13" s="26" t="s">
        <v>27</v>
      </c>
      <c r="J13" s="26">
        <v>207</v>
      </c>
      <c r="K13" s="26">
        <v>7520924</v>
      </c>
      <c r="L13" s="26" t="s">
        <v>49</v>
      </c>
      <c r="M13" s="26" t="s">
        <v>29</v>
      </c>
      <c r="N13" s="48">
        <f>IF(_Shipments[[#This Row],[Embalagem]]="Big Bag",_Shipments[[#This Row],[Qtd.]]*_Shipments[[#This Row],[Qtde. sacos/palete]],_Shipments[[#This Row],[Qtd.]])</f>
        <v>207</v>
      </c>
      <c r="O13" s="49">
        <f>_xlfn.XLOOKUP(_Shipments[[#This Row],[CLN]],[2]Dados!$D:$D,[2]Dados!$R:$R,"-")</f>
        <v>70</v>
      </c>
      <c r="P13" s="49" t="str" cm="1">
        <f t="array" ref="P13">_xlfn.LET(_xlpm.t,_xlfn.XLOOKUP(_Shipments[[#This Row],[CLN]],[2]Dados!$D:$D,[2]Dados!$Q:$Q,"-"),_xlfn.IFS(LEFT(_xlpm.t,3)="PAS","Saco",LEFT(_xlpm.t,3)="PBT","Big Bag",TRUE,"-"))</f>
        <v>Saco</v>
      </c>
      <c r="Q13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13.26</v>
      </c>
      <c r="R13" s="89">
        <f>IF(_Shipments[[#This Row],[Embalagem]]="Big Bag",_Shipments[[#This Row],[Qtd.]],ROUNDUP(_Shipments[[#This Row],[Qtd.]]/_Shipments[[#This Row],[Qtde. sacos/palete]],0))</f>
        <v>3</v>
      </c>
      <c r="S13" s="26" t="s">
        <v>159</v>
      </c>
      <c r="T13" s="51">
        <v>38999337997</v>
      </c>
      <c r="U13" s="26" t="s">
        <v>144</v>
      </c>
      <c r="V13" s="26" t="s">
        <v>145</v>
      </c>
      <c r="W13" s="26" t="s">
        <v>126</v>
      </c>
      <c r="Y13" s="88">
        <v>7241113</v>
      </c>
      <c r="AB13" s="26"/>
    </row>
    <row r="14" spans="1:28" x14ac:dyDescent="0.25">
      <c r="A14" s="47">
        <f>_xlfn.XLOOKUP(_Shipments[[#This Row],[Shipment]],[1]Report!$G:$G,[1]Report!$B:$B,"-")</f>
        <v>46260.375</v>
      </c>
      <c r="B14" s="26">
        <v>7240105</v>
      </c>
      <c r="C14" s="26">
        <v>5541981927</v>
      </c>
      <c r="D14" s="26">
        <v>1</v>
      </c>
      <c r="E14" s="26" t="s">
        <v>33</v>
      </c>
      <c r="F14" s="85">
        <v>36</v>
      </c>
      <c r="G14" s="26" t="s">
        <v>283</v>
      </c>
      <c r="H14" s="26" t="s">
        <v>26</v>
      </c>
      <c r="I14" s="26" t="s">
        <v>27</v>
      </c>
      <c r="J14" s="26">
        <v>36</v>
      </c>
      <c r="K14" s="26">
        <v>7520952</v>
      </c>
      <c r="L14" s="26" t="s">
        <v>50</v>
      </c>
      <c r="M14" s="26" t="s">
        <v>35</v>
      </c>
      <c r="N14" s="48">
        <f>IF(_Shipments[[#This Row],[Embalagem]]="Big Bag",_Shipments[[#This Row],[Qtd.]]*_Shipments[[#This Row],[Qtde. sacos/palete]],_Shipments[[#This Row],[Qtd.]])</f>
        <v>36</v>
      </c>
      <c r="O14" s="49">
        <f>_xlfn.XLOOKUP(_Shipments[[#This Row],[CLN]],[2]Dados!$D:$D,[2]Dados!$R:$R,"-")</f>
        <v>60</v>
      </c>
      <c r="P14" s="49" t="str" cm="1">
        <f t="array" ref="P14">_xlfn.LET(_xlpm.t,_xlfn.XLOOKUP(_Shipments[[#This Row],[CLN]],[2]Dados!$D:$D,[2]Dados!$Q:$Q,"-"),_xlfn.IFS(LEFT(_xlpm.t,3)="PAS","Saco",LEFT(_xlpm.t,3)="PBT","Big Bag",TRUE,"-"))</f>
        <v>Saco</v>
      </c>
      <c r="Q14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17.09</v>
      </c>
      <c r="R14" s="89">
        <f>IF(_Shipments[[#This Row],[Embalagem]]="Big Bag",_Shipments[[#This Row],[Qtd.]],ROUNDUP(_Shipments[[#This Row],[Qtd.]]/_Shipments[[#This Row],[Qtde. sacos/palete]],0))</f>
        <v>1</v>
      </c>
      <c r="S14" s="26" t="s">
        <v>160</v>
      </c>
      <c r="T14" s="51">
        <v>63981169588</v>
      </c>
      <c r="U14" s="26" t="s">
        <v>146</v>
      </c>
      <c r="V14" s="26" t="s">
        <v>147</v>
      </c>
      <c r="W14" s="26" t="s">
        <v>126</v>
      </c>
      <c r="Y14" s="88">
        <v>7241116</v>
      </c>
      <c r="AB14" s="26"/>
    </row>
    <row r="15" spans="1:28" x14ac:dyDescent="0.25">
      <c r="A15" s="47">
        <f>_xlfn.XLOOKUP(_Shipments[[#This Row],[Shipment]],[1]Report!$G:$G,[1]Report!$B:$B,"-")</f>
        <v>46260.375</v>
      </c>
      <c r="B15" s="26">
        <v>7240105</v>
      </c>
      <c r="C15" s="26">
        <v>5541981927</v>
      </c>
      <c r="D15" s="26">
        <v>2</v>
      </c>
      <c r="E15" s="26" t="s">
        <v>36</v>
      </c>
      <c r="F15" s="85">
        <v>39</v>
      </c>
      <c r="G15" s="26" t="s">
        <v>283</v>
      </c>
      <c r="H15" s="26" t="s">
        <v>26</v>
      </c>
      <c r="I15" s="26" t="s">
        <v>27</v>
      </c>
      <c r="J15" s="26">
        <v>39</v>
      </c>
      <c r="K15" s="26">
        <v>7550832</v>
      </c>
      <c r="L15" s="26" t="s">
        <v>51</v>
      </c>
      <c r="M15" s="26" t="s">
        <v>46</v>
      </c>
      <c r="N15" s="48">
        <f>IF(_Shipments[[#This Row],[Embalagem]]="Big Bag",_Shipments[[#This Row],[Qtd.]]*_Shipments[[#This Row],[Qtde. sacos/palete]],_Shipments[[#This Row],[Qtd.]])</f>
        <v>39</v>
      </c>
      <c r="O15" s="49">
        <f>_xlfn.XLOOKUP(_Shipments[[#This Row],[CLN]],[2]Dados!$D:$D,[2]Dados!$R:$R,"-")</f>
        <v>60</v>
      </c>
      <c r="P15" s="49" t="str" cm="1">
        <f t="array" ref="P15">_xlfn.LET(_xlpm.t,_xlfn.XLOOKUP(_Shipments[[#This Row],[CLN]],[2]Dados!$D:$D,[2]Dados!$Q:$Q,"-"),_xlfn.IFS(LEFT(_xlpm.t,3)="PAS","Saco",LEFT(_xlpm.t,3)="PBT","Big Bag",TRUE,"-"))</f>
        <v>Saco</v>
      </c>
      <c r="Q15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17.46</v>
      </c>
      <c r="R15" s="89">
        <f>IF(_Shipments[[#This Row],[Embalagem]]="Big Bag",_Shipments[[#This Row],[Qtd.]],ROUNDUP(_Shipments[[#This Row],[Qtd.]]/_Shipments[[#This Row],[Qtde. sacos/palete]],0))</f>
        <v>1</v>
      </c>
      <c r="S15" s="26" t="s">
        <v>160</v>
      </c>
      <c r="T15" s="51">
        <v>63981169588</v>
      </c>
      <c r="U15" s="26" t="s">
        <v>146</v>
      </c>
      <c r="V15" s="26" t="s">
        <v>147</v>
      </c>
      <c r="W15" s="26" t="s">
        <v>126</v>
      </c>
      <c r="Y15" s="88">
        <v>7241123</v>
      </c>
      <c r="AB15" s="26"/>
    </row>
    <row r="16" spans="1:28" x14ac:dyDescent="0.25">
      <c r="A16" s="47">
        <f>_xlfn.XLOOKUP(_Shipments[[#This Row],[Shipment]],[1]Report!$G:$G,[1]Report!$B:$B,"-")</f>
        <v>46260.375</v>
      </c>
      <c r="B16" s="26">
        <v>7240105</v>
      </c>
      <c r="C16" s="26">
        <v>5541981927</v>
      </c>
      <c r="D16" s="26">
        <v>3</v>
      </c>
      <c r="E16" s="26" t="s">
        <v>36</v>
      </c>
      <c r="F16" s="85">
        <v>32</v>
      </c>
      <c r="G16" s="26" t="s">
        <v>283</v>
      </c>
      <c r="H16" s="26" t="s">
        <v>26</v>
      </c>
      <c r="I16" s="26" t="s">
        <v>27</v>
      </c>
      <c r="J16" s="26">
        <v>32</v>
      </c>
      <c r="K16" s="26">
        <v>7550840</v>
      </c>
      <c r="L16" s="26" t="s">
        <v>52</v>
      </c>
      <c r="M16" s="26" t="s">
        <v>38</v>
      </c>
      <c r="N16" s="48">
        <f>IF(_Shipments[[#This Row],[Embalagem]]="Big Bag",_Shipments[[#This Row],[Qtd.]]*_Shipments[[#This Row],[Qtde. sacos/palete]],_Shipments[[#This Row],[Qtd.]])</f>
        <v>32</v>
      </c>
      <c r="O16" s="49">
        <f>_xlfn.XLOOKUP(_Shipments[[#This Row],[CLN]],[2]Dados!$D:$D,[2]Dados!$R:$R,"-")</f>
        <v>60</v>
      </c>
      <c r="P16" s="49" t="str" cm="1">
        <f t="array" ref="P16">_xlfn.LET(_xlpm.t,_xlfn.XLOOKUP(_Shipments[[#This Row],[CLN]],[2]Dados!$D:$D,[2]Dados!$Q:$Q,"-"),_xlfn.IFS(LEFT(_xlpm.t,3)="PAS","Saco",LEFT(_xlpm.t,3)="PBT","Big Bag",TRUE,"-"))</f>
        <v>Saco</v>
      </c>
      <c r="Q16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14.51</v>
      </c>
      <c r="R16" s="89">
        <f>IF(_Shipments[[#This Row],[Embalagem]]="Big Bag",_Shipments[[#This Row],[Qtd.]],ROUNDUP(_Shipments[[#This Row],[Qtd.]]/_Shipments[[#This Row],[Qtde. sacos/palete]],0))</f>
        <v>1</v>
      </c>
      <c r="S16" s="26" t="s">
        <v>160</v>
      </c>
      <c r="T16" s="51">
        <v>63981169588</v>
      </c>
      <c r="U16" s="26" t="s">
        <v>146</v>
      </c>
      <c r="V16" s="26" t="s">
        <v>147</v>
      </c>
      <c r="W16" s="26" t="s">
        <v>126</v>
      </c>
      <c r="Y16" s="88">
        <v>7241124</v>
      </c>
      <c r="AB16" s="26"/>
    </row>
    <row r="17" spans="1:28" x14ac:dyDescent="0.25">
      <c r="A17" s="47">
        <f>_xlfn.XLOOKUP(_Shipments[[#This Row],[Shipment]],[1]Report!$G:$G,[1]Report!$B:$B,"-")</f>
        <v>46260.375</v>
      </c>
      <c r="B17" s="26">
        <v>7240105</v>
      </c>
      <c r="C17" s="26">
        <v>5541981927</v>
      </c>
      <c r="D17" s="26">
        <v>4</v>
      </c>
      <c r="E17" s="26" t="s">
        <v>36</v>
      </c>
      <c r="F17" s="85">
        <v>39</v>
      </c>
      <c r="G17" s="26" t="s">
        <v>283</v>
      </c>
      <c r="H17" s="26" t="s">
        <v>26</v>
      </c>
      <c r="I17" s="26" t="s">
        <v>27</v>
      </c>
      <c r="J17" s="26">
        <v>39</v>
      </c>
      <c r="K17" s="26">
        <v>7550842</v>
      </c>
      <c r="L17" s="26" t="s">
        <v>53</v>
      </c>
      <c r="M17" s="26" t="s">
        <v>38</v>
      </c>
      <c r="N17" s="48">
        <f>IF(_Shipments[[#This Row],[Embalagem]]="Big Bag",_Shipments[[#This Row],[Qtd.]]*_Shipments[[#This Row],[Qtde. sacos/palete]],_Shipments[[#This Row],[Qtd.]])</f>
        <v>39</v>
      </c>
      <c r="O17" s="49">
        <f>_xlfn.XLOOKUP(_Shipments[[#This Row],[CLN]],[2]Dados!$D:$D,[2]Dados!$R:$R,"-")</f>
        <v>60</v>
      </c>
      <c r="P17" s="49" t="str" cm="1">
        <f t="array" ref="P17">_xlfn.LET(_xlpm.t,_xlfn.XLOOKUP(_Shipments[[#This Row],[CLN]],[2]Dados!$D:$D,[2]Dados!$Q:$Q,"-"),_xlfn.IFS(LEFT(_xlpm.t,3)="PAS","Saco",LEFT(_xlpm.t,3)="PBT","Big Bag",TRUE,"-"))</f>
        <v>Saco</v>
      </c>
      <c r="Q17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15.09</v>
      </c>
      <c r="R17" s="89">
        <f>IF(_Shipments[[#This Row],[Embalagem]]="Big Bag",_Shipments[[#This Row],[Qtd.]],ROUNDUP(_Shipments[[#This Row],[Qtd.]]/_Shipments[[#This Row],[Qtde. sacos/palete]],0))</f>
        <v>1</v>
      </c>
      <c r="S17" s="26" t="s">
        <v>160</v>
      </c>
      <c r="T17" s="51">
        <v>63981169588</v>
      </c>
      <c r="U17" s="26" t="s">
        <v>146</v>
      </c>
      <c r="V17" s="26" t="s">
        <v>147</v>
      </c>
      <c r="W17" s="26" t="s">
        <v>126</v>
      </c>
      <c r="Y17" s="88">
        <v>7241125</v>
      </c>
      <c r="AB17" s="26"/>
    </row>
    <row r="18" spans="1:28" x14ac:dyDescent="0.25">
      <c r="A18" s="47">
        <f>_xlfn.XLOOKUP(_Shipments[[#This Row],[Shipment]],[1]Report!$G:$G,[1]Report!$B:$B,"-")</f>
        <v>46260.375</v>
      </c>
      <c r="B18" s="26">
        <v>7240105</v>
      </c>
      <c r="C18" s="26">
        <v>5541981927</v>
      </c>
      <c r="D18" s="26">
        <v>5</v>
      </c>
      <c r="E18" s="26" t="s">
        <v>30</v>
      </c>
      <c r="F18" s="85">
        <v>590</v>
      </c>
      <c r="G18" s="26" t="s">
        <v>283</v>
      </c>
      <c r="H18" s="26" t="s">
        <v>26</v>
      </c>
      <c r="I18" s="26" t="s">
        <v>27</v>
      </c>
      <c r="J18" s="26">
        <v>590</v>
      </c>
      <c r="K18" s="26">
        <v>7520893</v>
      </c>
      <c r="L18" s="26" t="s">
        <v>54</v>
      </c>
      <c r="M18" s="26" t="s">
        <v>43</v>
      </c>
      <c r="N18" s="48">
        <f>IF(_Shipments[[#This Row],[Embalagem]]="Big Bag",_Shipments[[#This Row],[Qtd.]]*_Shipments[[#This Row],[Qtde. sacos/palete]],_Shipments[[#This Row],[Qtd.]])</f>
        <v>590</v>
      </c>
      <c r="O18" s="49">
        <f>_xlfn.XLOOKUP(_Shipments[[#This Row],[CLN]],[2]Dados!$D:$D,[2]Dados!$R:$R,"-")</f>
        <v>70</v>
      </c>
      <c r="P18" s="49" t="str" cm="1">
        <f t="array" ref="P18">_xlfn.LET(_xlpm.t,_xlfn.XLOOKUP(_Shipments[[#This Row],[CLN]],[2]Dados!$D:$D,[2]Dados!$Q:$Q,"-"),_xlfn.IFS(LEFT(_xlpm.t,3)="PAS","Saco",LEFT(_xlpm.t,3)="PBT","Big Bag",TRUE,"-"))</f>
        <v>Saco</v>
      </c>
      <c r="Q18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13.3</v>
      </c>
      <c r="R18" s="89">
        <f>IF(_Shipments[[#This Row],[Embalagem]]="Big Bag",_Shipments[[#This Row],[Qtd.]],ROUNDUP(_Shipments[[#This Row],[Qtd.]]/_Shipments[[#This Row],[Qtde. sacos/palete]],0))</f>
        <v>9</v>
      </c>
      <c r="S18" s="26" t="s">
        <v>160</v>
      </c>
      <c r="T18" s="51">
        <v>63981169588</v>
      </c>
      <c r="U18" s="26" t="s">
        <v>146</v>
      </c>
      <c r="V18" s="26" t="s">
        <v>147</v>
      </c>
      <c r="W18" s="26" t="s">
        <v>126</v>
      </c>
      <c r="Y18" s="88">
        <v>7241127</v>
      </c>
      <c r="AB18" s="26"/>
    </row>
    <row r="19" spans="1:28" x14ac:dyDescent="0.25">
      <c r="A19" s="47">
        <f>_xlfn.XLOOKUP(_Shipments[[#This Row],[Shipment]],[1]Report!$G:$G,[1]Report!$B:$B,"-")</f>
        <v>46260.375</v>
      </c>
      <c r="B19" s="26">
        <v>7240105</v>
      </c>
      <c r="C19" s="26">
        <v>5541981927</v>
      </c>
      <c r="D19" s="26">
        <v>6</v>
      </c>
      <c r="E19" s="26" t="s">
        <v>25</v>
      </c>
      <c r="F19" s="85">
        <v>588</v>
      </c>
      <c r="G19" s="26" t="s">
        <v>283</v>
      </c>
      <c r="H19" s="26" t="s">
        <v>26</v>
      </c>
      <c r="I19" s="26" t="s">
        <v>27</v>
      </c>
      <c r="J19" s="26">
        <v>588</v>
      </c>
      <c r="K19" s="26">
        <v>7520919</v>
      </c>
      <c r="L19" s="26" t="s">
        <v>55</v>
      </c>
      <c r="M19" s="26" t="s">
        <v>29</v>
      </c>
      <c r="N19" s="48">
        <f>IF(_Shipments[[#This Row],[Embalagem]]="Big Bag",_Shipments[[#This Row],[Qtd.]]*_Shipments[[#This Row],[Qtde. sacos/palete]],_Shipments[[#This Row],[Qtd.]])</f>
        <v>588</v>
      </c>
      <c r="O19" s="49">
        <f>_xlfn.XLOOKUP(_Shipments[[#This Row],[CLN]],[2]Dados!$D:$D,[2]Dados!$R:$R,"-")</f>
        <v>75</v>
      </c>
      <c r="P19" s="49" t="str" cm="1">
        <f t="array" ref="P19">_xlfn.LET(_xlpm.t,_xlfn.XLOOKUP(_Shipments[[#This Row],[CLN]],[2]Dados!$D:$D,[2]Dados!$Q:$Q,"-"),_xlfn.IFS(LEFT(_xlpm.t,3)="PAS","Saco",LEFT(_xlpm.t,3)="PBT","Big Bag",TRUE,"-"))</f>
        <v>Saco</v>
      </c>
      <c r="Q19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12.19</v>
      </c>
      <c r="R19" s="89">
        <f>IF(_Shipments[[#This Row],[Embalagem]]="Big Bag",_Shipments[[#This Row],[Qtd.]],ROUNDUP(_Shipments[[#This Row],[Qtd.]]/_Shipments[[#This Row],[Qtde. sacos/palete]],0))</f>
        <v>8</v>
      </c>
      <c r="S19" s="26" t="s">
        <v>160</v>
      </c>
      <c r="T19" s="51">
        <v>63981169588</v>
      </c>
      <c r="U19" s="26" t="s">
        <v>146</v>
      </c>
      <c r="V19" s="26" t="s">
        <v>147</v>
      </c>
      <c r="W19" s="26" t="s">
        <v>126</v>
      </c>
      <c r="Y19" s="88">
        <v>7241131</v>
      </c>
      <c r="AB19" s="26"/>
    </row>
    <row r="20" spans="1:28" x14ac:dyDescent="0.25">
      <c r="A20" s="47">
        <f>_xlfn.XLOOKUP(_Shipments[[#This Row],[Shipment]],[1]Report!$G:$G,[1]Report!$B:$B,"-")</f>
        <v>46261.375</v>
      </c>
      <c r="B20" s="26">
        <v>7240106</v>
      </c>
      <c r="C20" s="26">
        <v>5541981931</v>
      </c>
      <c r="D20" s="26">
        <v>1</v>
      </c>
      <c r="E20" s="26" t="s">
        <v>13</v>
      </c>
      <c r="F20" s="85">
        <v>20</v>
      </c>
      <c r="G20" s="26" t="s">
        <v>283</v>
      </c>
      <c r="H20" s="26" t="s">
        <v>26</v>
      </c>
      <c r="I20" s="26" t="s">
        <v>27</v>
      </c>
      <c r="J20" s="26">
        <v>20</v>
      </c>
      <c r="K20" s="26">
        <v>7518215</v>
      </c>
      <c r="L20" s="26" t="s">
        <v>14</v>
      </c>
      <c r="M20" s="26" t="s">
        <v>35</v>
      </c>
      <c r="N20" s="48">
        <f>IF(_Shipments[[#This Row],[Embalagem]]="Big Bag",_Shipments[[#This Row],[Qtd.]]*_Shipments[[#This Row],[Qtde. sacos/palete]],_Shipments[[#This Row],[Qtd.]])</f>
        <v>800</v>
      </c>
      <c r="O20" s="49">
        <f>_xlfn.XLOOKUP(_Shipments[[#This Row],[CLN]],[2]Dados!$D:$D,[2]Dados!$R:$R,"-")</f>
        <v>40</v>
      </c>
      <c r="P20" s="49" t="str" cm="1">
        <f t="array" ref="P20">_xlfn.LET(_xlpm.t,_xlfn.XLOOKUP(_Shipments[[#This Row],[CLN]],[2]Dados!$D:$D,[2]Dados!$Q:$Q,"-"),_xlfn.IFS(LEFT(_xlpm.t,3)="PAS","Saco",LEFT(_xlpm.t,3)="PBT","Big Bag",TRUE,"-"))</f>
        <v>Big Bag</v>
      </c>
      <c r="Q20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686.4</v>
      </c>
      <c r="R20" s="89">
        <f>IF(_Shipments[[#This Row],[Embalagem]]="Big Bag",_Shipments[[#This Row],[Qtd.]],ROUNDUP(_Shipments[[#This Row],[Qtd.]]/_Shipments[[#This Row],[Qtde. sacos/palete]],0))</f>
        <v>20</v>
      </c>
      <c r="S20" s="26" t="s">
        <v>161</v>
      </c>
      <c r="T20" s="51">
        <v>34999994801</v>
      </c>
      <c r="U20" s="26" t="s">
        <v>148</v>
      </c>
      <c r="V20" s="26" t="s">
        <v>149</v>
      </c>
      <c r="W20" s="26" t="s">
        <v>126</v>
      </c>
      <c r="Y20" s="88">
        <v>7241132</v>
      </c>
      <c r="AB20" s="26"/>
    </row>
    <row r="21" spans="1:28" x14ac:dyDescent="0.25">
      <c r="A21" s="47">
        <f>_xlfn.XLOOKUP(_Shipments[[#This Row],[Shipment]],[1]Report!$G:$G,[1]Report!$B:$B,"-")</f>
        <v>46261.416666666664</v>
      </c>
      <c r="B21" s="26">
        <v>7240107</v>
      </c>
      <c r="C21" s="26">
        <v>5541981932</v>
      </c>
      <c r="D21" s="26">
        <v>1</v>
      </c>
      <c r="E21" s="26" t="s">
        <v>56</v>
      </c>
      <c r="F21" s="85">
        <v>20</v>
      </c>
      <c r="G21" s="26" t="s">
        <v>283</v>
      </c>
      <c r="H21" s="26" t="s">
        <v>26</v>
      </c>
      <c r="I21" s="26" t="s">
        <v>27</v>
      </c>
      <c r="J21" s="26">
        <v>20</v>
      </c>
      <c r="K21" s="26">
        <v>7518187</v>
      </c>
      <c r="L21" s="26" t="s">
        <v>57</v>
      </c>
      <c r="M21" s="26" t="s">
        <v>32</v>
      </c>
      <c r="N21" s="48">
        <f>IF(_Shipments[[#This Row],[Embalagem]]="Big Bag",_Shipments[[#This Row],[Qtd.]]*_Shipments[[#This Row],[Qtde. sacos/palete]],_Shipments[[#This Row],[Qtd.]])</f>
        <v>800</v>
      </c>
      <c r="O21" s="49">
        <f>_xlfn.XLOOKUP(_Shipments[[#This Row],[CLN]],[2]Dados!$D:$D,[2]Dados!$R:$R,"-")</f>
        <v>40</v>
      </c>
      <c r="P21" s="49" t="str" cm="1">
        <f t="array" ref="P21">_xlfn.LET(_xlpm.t,_xlfn.XLOOKUP(_Shipments[[#This Row],[CLN]],[2]Dados!$D:$D,[2]Dados!$Q:$Q,"-"),_xlfn.IFS(LEFT(_xlpm.t,3)="PAS","Saco",LEFT(_xlpm.t,3)="PBT","Big Bag",TRUE,"-"))</f>
        <v>Big Bag</v>
      </c>
      <c r="Q21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562.4</v>
      </c>
      <c r="R21" s="89">
        <f>IF(_Shipments[[#This Row],[Embalagem]]="Big Bag",_Shipments[[#This Row],[Qtd.]],ROUNDUP(_Shipments[[#This Row],[Qtd.]]/_Shipments[[#This Row],[Qtde. sacos/palete]],0))</f>
        <v>20</v>
      </c>
      <c r="S21" s="26" t="s">
        <v>162</v>
      </c>
      <c r="T21" s="51">
        <v>61999471983</v>
      </c>
      <c r="U21" s="26" t="s">
        <v>150</v>
      </c>
      <c r="V21" s="26" t="s">
        <v>151</v>
      </c>
      <c r="W21" s="26" t="s">
        <v>126</v>
      </c>
      <c r="Y21" s="88">
        <v>7241134</v>
      </c>
      <c r="AB21" s="26"/>
    </row>
    <row r="22" spans="1:28" x14ac:dyDescent="0.25">
      <c r="A22" s="47">
        <f>_xlfn.XLOOKUP(_Shipments[[#This Row],[Shipment]],[1]Report!$G:$G,[1]Report!$B:$B,"-")</f>
        <v>46261.416666666664</v>
      </c>
      <c r="B22" s="26">
        <v>7240108</v>
      </c>
      <c r="C22" s="26">
        <v>5541981933</v>
      </c>
      <c r="D22" s="26">
        <v>1</v>
      </c>
      <c r="E22" s="26" t="s">
        <v>16</v>
      </c>
      <c r="F22" s="85">
        <v>21</v>
      </c>
      <c r="G22" s="26" t="s">
        <v>283</v>
      </c>
      <c r="H22" s="26" t="s">
        <v>26</v>
      </c>
      <c r="I22" s="26" t="s">
        <v>27</v>
      </c>
      <c r="J22" s="26">
        <v>21</v>
      </c>
      <c r="K22" s="26">
        <v>7518125</v>
      </c>
      <c r="L22" s="26" t="s">
        <v>58</v>
      </c>
      <c r="M22" s="26" t="s">
        <v>38</v>
      </c>
      <c r="N22" s="48">
        <f>IF(_Shipments[[#This Row],[Embalagem]]="Big Bag",_Shipments[[#This Row],[Qtd.]]*_Shipments[[#This Row],[Qtde. sacos/palete]],_Shipments[[#This Row],[Qtd.]])</f>
        <v>840</v>
      </c>
      <c r="O22" s="49">
        <f>_xlfn.XLOOKUP(_Shipments[[#This Row],[CLN]],[2]Dados!$D:$D,[2]Dados!$R:$R,"-")</f>
        <v>40</v>
      </c>
      <c r="P22" s="49" t="str" cm="1">
        <f t="array" ref="P22">_xlfn.LET(_xlpm.t,_xlfn.XLOOKUP(_Shipments[[#This Row],[CLN]],[2]Dados!$D:$D,[2]Dados!$Q:$Q,"-"),_xlfn.IFS(LEFT(_xlpm.t,3)="PAS","Saco",LEFT(_xlpm.t,3)="PBT","Big Bag",TRUE,"-"))</f>
        <v>Big Bag</v>
      </c>
      <c r="Q22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580.4</v>
      </c>
      <c r="R22" s="89">
        <f>IF(_Shipments[[#This Row],[Embalagem]]="Big Bag",_Shipments[[#This Row],[Qtd.]],ROUNDUP(_Shipments[[#This Row],[Qtd.]]/_Shipments[[#This Row],[Qtde. sacos/palete]],0))</f>
        <v>21</v>
      </c>
      <c r="S22" s="26" t="s">
        <v>163</v>
      </c>
      <c r="T22" s="51">
        <v>34999233031</v>
      </c>
      <c r="U22" s="26" t="s">
        <v>152</v>
      </c>
      <c r="V22" s="26" t="s">
        <v>153</v>
      </c>
      <c r="W22" s="26" t="s">
        <v>126</v>
      </c>
      <c r="Y22" s="88">
        <v>7241135</v>
      </c>
      <c r="AB22" s="26"/>
    </row>
    <row r="23" spans="1:28" x14ac:dyDescent="0.25">
      <c r="A23" s="47">
        <f>_xlfn.XLOOKUP(_Shipments[[#This Row],[Shipment]],[1]Report!$G:$G,[1]Report!$B:$B,"-")</f>
        <v>46262.375</v>
      </c>
      <c r="B23" s="26">
        <v>7240109</v>
      </c>
      <c r="C23" s="26">
        <v>5541981934</v>
      </c>
      <c r="D23" s="26">
        <v>1</v>
      </c>
      <c r="E23" s="26" t="s">
        <v>16</v>
      </c>
      <c r="F23" s="85">
        <v>20</v>
      </c>
      <c r="G23" s="26" t="s">
        <v>283</v>
      </c>
      <c r="H23" s="26" t="s">
        <v>26</v>
      </c>
      <c r="I23" s="26" t="s">
        <v>27</v>
      </c>
      <c r="J23" s="26">
        <v>20</v>
      </c>
      <c r="K23" s="26">
        <v>7518123</v>
      </c>
      <c r="L23" s="26" t="s">
        <v>15</v>
      </c>
      <c r="M23" s="26" t="s">
        <v>38</v>
      </c>
      <c r="N23" s="48">
        <f>IF(_Shipments[[#This Row],[Embalagem]]="Big Bag",_Shipments[[#This Row],[Qtd.]]*_Shipments[[#This Row],[Qtde. sacos/palete]],_Shipments[[#This Row],[Qtd.]])</f>
        <v>800</v>
      </c>
      <c r="O23" s="49">
        <f>_xlfn.XLOOKUP(_Shipments[[#This Row],[CLN]],[2]Dados!$D:$D,[2]Dados!$R:$R,"-")</f>
        <v>40</v>
      </c>
      <c r="P23" s="49" t="str" cm="1">
        <f t="array" ref="P23">_xlfn.LET(_xlpm.t,_xlfn.XLOOKUP(_Shipments[[#This Row],[CLN]],[2]Dados!$D:$D,[2]Dados!$Q:$Q,"-"),_xlfn.IFS(LEFT(_xlpm.t,3)="PAS","Saco",LEFT(_xlpm.t,3)="PBT","Big Bag",TRUE,"-"))</f>
        <v>Big Bag</v>
      </c>
      <c r="Q23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595.6</v>
      </c>
      <c r="R23" s="89">
        <f>IF(_Shipments[[#This Row],[Embalagem]]="Big Bag",_Shipments[[#This Row],[Qtd.]],ROUNDUP(_Shipments[[#This Row],[Qtd.]]/_Shipments[[#This Row],[Qtde. sacos/palete]],0))</f>
        <v>20</v>
      </c>
      <c r="S23" s="26" t="s">
        <v>164</v>
      </c>
      <c r="T23" s="51">
        <v>34999586631</v>
      </c>
      <c r="U23" s="26" t="s">
        <v>154</v>
      </c>
      <c r="V23" s="26" t="s">
        <v>155</v>
      </c>
      <c r="W23" s="26" t="s">
        <v>126</v>
      </c>
      <c r="Y23" s="88">
        <v>7241136</v>
      </c>
      <c r="AB23" s="26"/>
    </row>
    <row r="24" spans="1:28" x14ac:dyDescent="0.25">
      <c r="A24" s="47">
        <f>_xlfn.XLOOKUP(_Shipments[[#This Row],[Shipment]],[1]Report!$G:$G,[1]Report!$B:$B,"-")</f>
        <v>46262.416666666664</v>
      </c>
      <c r="B24" s="26">
        <v>7240110</v>
      </c>
      <c r="C24" s="26">
        <v>5541981935</v>
      </c>
      <c r="D24" s="26">
        <v>1</v>
      </c>
      <c r="E24" s="26" t="s">
        <v>59</v>
      </c>
      <c r="F24" s="85">
        <v>9</v>
      </c>
      <c r="G24" s="26" t="s">
        <v>283</v>
      </c>
      <c r="H24" s="26" t="s">
        <v>26</v>
      </c>
      <c r="I24" s="26" t="s">
        <v>27</v>
      </c>
      <c r="J24" s="26">
        <v>9</v>
      </c>
      <c r="K24" s="26">
        <v>7518037</v>
      </c>
      <c r="L24" s="26" t="s">
        <v>60</v>
      </c>
      <c r="M24" s="26" t="s">
        <v>61</v>
      </c>
      <c r="N24" s="48">
        <f>IF(_Shipments[[#This Row],[Embalagem]]="Big Bag",_Shipments[[#This Row],[Qtd.]]*_Shipments[[#This Row],[Qtde. sacos/palete]],_Shipments[[#This Row],[Qtd.]])</f>
        <v>360</v>
      </c>
      <c r="O24" s="49">
        <f>_xlfn.XLOOKUP(_Shipments[[#This Row],[CLN]],[2]Dados!$D:$D,[2]Dados!$R:$R,"-")</f>
        <v>40</v>
      </c>
      <c r="P24" s="49" t="str" cm="1">
        <f t="array" ref="P24">_xlfn.LET(_xlpm.t,_xlfn.XLOOKUP(_Shipments[[#This Row],[CLN]],[2]Dados!$D:$D,[2]Dados!$Q:$Q,"-"),_xlfn.IFS(LEFT(_xlpm.t,3)="PAS","Saco",LEFT(_xlpm.t,3)="PBT","Big Bag",TRUE,"-"))</f>
        <v>Big Bag</v>
      </c>
      <c r="Q24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839.59999999999991</v>
      </c>
      <c r="R24" s="89">
        <f>IF(_Shipments[[#This Row],[Embalagem]]="Big Bag",_Shipments[[#This Row],[Qtd.]],ROUNDUP(_Shipments[[#This Row],[Qtd.]]/_Shipments[[#This Row],[Qtde. sacos/palete]],0))</f>
        <v>9</v>
      </c>
      <c r="S24" s="26" t="s">
        <v>165</v>
      </c>
      <c r="T24" s="51">
        <v>34991057132</v>
      </c>
      <c r="U24" s="26" t="s">
        <v>156</v>
      </c>
      <c r="V24" s="26" t="s">
        <v>157</v>
      </c>
      <c r="W24" s="26" t="s">
        <v>126</v>
      </c>
      <c r="Y24" s="88">
        <v>7241137</v>
      </c>
      <c r="AB24" s="26"/>
    </row>
    <row r="25" spans="1:28" x14ac:dyDescent="0.25">
      <c r="A25" s="47">
        <f>_xlfn.XLOOKUP(_Shipments[[#This Row],[Shipment]],[1]Report!$G:$G,[1]Report!$B:$B,"-")</f>
        <v>46262.416666666664</v>
      </c>
      <c r="B25" s="26">
        <v>7240110</v>
      </c>
      <c r="C25" s="26">
        <v>5541981935</v>
      </c>
      <c r="D25" s="26">
        <v>2</v>
      </c>
      <c r="E25" s="26" t="s">
        <v>56</v>
      </c>
      <c r="F25" s="85">
        <v>12</v>
      </c>
      <c r="G25" s="26" t="s">
        <v>283</v>
      </c>
      <c r="H25" s="26" t="s">
        <v>26</v>
      </c>
      <c r="I25" s="26" t="s">
        <v>27</v>
      </c>
      <c r="J25" s="26">
        <v>12</v>
      </c>
      <c r="K25" s="26">
        <v>7518192</v>
      </c>
      <c r="L25" s="26" t="s">
        <v>62</v>
      </c>
      <c r="M25" s="26" t="s">
        <v>32</v>
      </c>
      <c r="N25" s="48">
        <f>IF(_Shipments[[#This Row],[Embalagem]]="Big Bag",_Shipments[[#This Row],[Qtd.]]*_Shipments[[#This Row],[Qtde. sacos/palete]],_Shipments[[#This Row],[Qtd.]])</f>
        <v>480</v>
      </c>
      <c r="O25" s="49">
        <f>_xlfn.XLOOKUP(_Shipments[[#This Row],[CLN]],[2]Dados!$D:$D,[2]Dados!$R:$R,"-")</f>
        <v>40</v>
      </c>
      <c r="P25" s="49" t="str" cm="1">
        <f t="array" ref="P25">_xlfn.LET(_xlpm.t,_xlfn.XLOOKUP(_Shipments[[#This Row],[CLN]],[2]Dados!$D:$D,[2]Dados!$Q:$Q,"-"),_xlfn.IFS(LEFT(_xlpm.t,3)="PAS","Saco",LEFT(_xlpm.t,3)="PBT","Big Bag",TRUE,"-"))</f>
        <v>Big Bag</v>
      </c>
      <c r="Q25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572</v>
      </c>
      <c r="R25" s="89">
        <f>IF(_Shipments[[#This Row],[Embalagem]]="Big Bag",_Shipments[[#This Row],[Qtd.]],ROUNDUP(_Shipments[[#This Row],[Qtd.]]/_Shipments[[#This Row],[Qtde. sacos/palete]],0))</f>
        <v>12</v>
      </c>
      <c r="S25" s="26" t="s">
        <v>165</v>
      </c>
      <c r="T25" s="51">
        <v>34991057132</v>
      </c>
      <c r="U25" s="26" t="s">
        <v>156</v>
      </c>
      <c r="V25" s="26" t="s">
        <v>157</v>
      </c>
      <c r="W25" s="26" t="s">
        <v>126</v>
      </c>
      <c r="Y25" s="88">
        <v>7241139</v>
      </c>
      <c r="AB25" s="26"/>
    </row>
    <row r="26" spans="1:28" x14ac:dyDescent="0.25">
      <c r="A26" s="47">
        <f>_xlfn.XLOOKUP(_Shipments[[#This Row],[Shipment]],[1]Report!$G:$G,[1]Report!$B:$B,"-")</f>
        <v>46262.416666666664</v>
      </c>
      <c r="B26" s="26">
        <v>7240111</v>
      </c>
      <c r="C26" s="26">
        <v>5541981936</v>
      </c>
      <c r="D26" s="26">
        <v>1</v>
      </c>
      <c r="E26" s="26" t="s">
        <v>16</v>
      </c>
      <c r="F26" s="85">
        <v>21</v>
      </c>
      <c r="G26" s="26" t="s">
        <v>283</v>
      </c>
      <c r="H26" s="26" t="s">
        <v>26</v>
      </c>
      <c r="I26" s="26" t="s">
        <v>27</v>
      </c>
      <c r="J26" s="26">
        <v>21</v>
      </c>
      <c r="K26" s="26">
        <v>7518134</v>
      </c>
      <c r="L26" s="26" t="s">
        <v>63</v>
      </c>
      <c r="M26" s="26" t="s">
        <v>38</v>
      </c>
      <c r="N26" s="48">
        <f>IF(_Shipments[[#This Row],[Embalagem]]="Big Bag",_Shipments[[#This Row],[Qtd.]]*_Shipments[[#This Row],[Qtde. sacos/palete]],_Shipments[[#This Row],[Qtd.]])</f>
        <v>840</v>
      </c>
      <c r="O26" s="49">
        <f>_xlfn.XLOOKUP(_Shipments[[#This Row],[CLN]],[2]Dados!$D:$D,[2]Dados!$R:$R,"-")</f>
        <v>40</v>
      </c>
      <c r="P26" s="49" t="str" cm="1">
        <f t="array" ref="P26">_xlfn.LET(_xlpm.t,_xlfn.XLOOKUP(_Shipments[[#This Row],[CLN]],[2]Dados!$D:$D,[2]Dados!$Q:$Q,"-"),_xlfn.IFS(LEFT(_xlpm.t,3)="PAS","Saco",LEFT(_xlpm.t,3)="PBT","Big Bag",TRUE,"-"))</f>
        <v>Big Bag</v>
      </c>
      <c r="Q26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591.59999999999991</v>
      </c>
      <c r="R26" s="89">
        <f>IF(_Shipments[[#This Row],[Embalagem]]="Big Bag",_Shipments[[#This Row],[Qtd.]],ROUNDUP(_Shipments[[#This Row],[Qtd.]]/_Shipments[[#This Row],[Qtde. sacos/palete]],0))</f>
        <v>21</v>
      </c>
      <c r="S26" s="26" t="s">
        <v>225</v>
      </c>
      <c r="T26" s="51">
        <v>34991337791</v>
      </c>
      <c r="U26" s="26" t="s">
        <v>120</v>
      </c>
      <c r="V26" s="26" t="s">
        <v>121</v>
      </c>
      <c r="W26" s="26" t="s">
        <v>126</v>
      </c>
      <c r="Y26" s="88">
        <v>7241141</v>
      </c>
      <c r="AB26" s="26"/>
    </row>
    <row r="27" spans="1:28" x14ac:dyDescent="0.25">
      <c r="A27" s="47">
        <f>_xlfn.XLOOKUP(_Shipments[[#This Row],[Shipment]],[1]Report!$G:$G,[1]Report!$B:$B,"-")</f>
        <v>46265.333333333336</v>
      </c>
      <c r="B27" s="26">
        <v>7241110</v>
      </c>
      <c r="C27" s="26">
        <v>5541983141</v>
      </c>
      <c r="D27" s="26">
        <v>1</v>
      </c>
      <c r="E27" s="26" t="s">
        <v>56</v>
      </c>
      <c r="F27" s="85">
        <v>8</v>
      </c>
      <c r="G27" s="26" t="s">
        <v>283</v>
      </c>
      <c r="H27" s="26" t="s">
        <v>64</v>
      </c>
      <c r="I27" s="26" t="s">
        <v>65</v>
      </c>
      <c r="J27" s="26">
        <v>8</v>
      </c>
      <c r="K27" s="26">
        <v>7518195</v>
      </c>
      <c r="L27" s="26" t="s">
        <v>66</v>
      </c>
      <c r="M27" s="26" t="s">
        <v>32</v>
      </c>
      <c r="N27" s="48">
        <f>IF(_Shipments[[#This Row],[Embalagem]]="Big Bag",_Shipments[[#This Row],[Qtd.]]*_Shipments[[#This Row],[Qtde. sacos/palete]],_Shipments[[#This Row],[Qtd.]])</f>
        <v>320</v>
      </c>
      <c r="O27" s="49">
        <f>_xlfn.XLOOKUP(_Shipments[[#This Row],[CLN]],[2]Dados!$D:$D,[2]Dados!$R:$R,"-")</f>
        <v>40</v>
      </c>
      <c r="P27" s="49" t="str" cm="1">
        <f t="array" ref="P27">_xlfn.LET(_xlpm.t,_xlfn.XLOOKUP(_Shipments[[#This Row],[CLN]],[2]Dados!$D:$D,[2]Dados!$Q:$Q,"-"),_xlfn.IFS(LEFT(_xlpm.t,3)="PAS","Saco",LEFT(_xlpm.t,3)="PBT","Big Bag",TRUE,"-"))</f>
        <v>Big Bag</v>
      </c>
      <c r="Q27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596.79999999999995</v>
      </c>
      <c r="R27" s="89">
        <f>IF(_Shipments[[#This Row],[Embalagem]]="Big Bag",_Shipments[[#This Row],[Qtd.]],ROUNDUP(_Shipments[[#This Row],[Qtd.]]/_Shipments[[#This Row],[Qtde. sacos/palete]],0))</f>
        <v>8</v>
      </c>
      <c r="S27" s="26" t="s">
        <v>131</v>
      </c>
      <c r="T27" s="51">
        <v>34999248710</v>
      </c>
      <c r="U27" s="26" t="s">
        <v>132</v>
      </c>
      <c r="V27" s="26" t="s">
        <v>133</v>
      </c>
      <c r="W27" s="26" t="s">
        <v>126</v>
      </c>
      <c r="Y27" s="88">
        <v>7241939</v>
      </c>
      <c r="AB27" s="26"/>
    </row>
    <row r="28" spans="1:28" x14ac:dyDescent="0.25">
      <c r="A28" s="47">
        <f>_xlfn.XLOOKUP(_Shipments[[#This Row],[Shipment]],[1]Report!$G:$G,[1]Report!$B:$B,"-")</f>
        <v>46265.333333333336</v>
      </c>
      <c r="B28" s="26">
        <v>7241110</v>
      </c>
      <c r="C28" s="26">
        <v>5541983141</v>
      </c>
      <c r="D28" s="26">
        <v>2</v>
      </c>
      <c r="E28" s="26" t="s">
        <v>56</v>
      </c>
      <c r="F28" s="85">
        <v>7</v>
      </c>
      <c r="G28" s="26" t="s">
        <v>283</v>
      </c>
      <c r="H28" s="26" t="s">
        <v>64</v>
      </c>
      <c r="I28" s="26" t="s">
        <v>65</v>
      </c>
      <c r="J28" s="26">
        <v>7</v>
      </c>
      <c r="K28" s="26">
        <v>7518198</v>
      </c>
      <c r="L28" s="26" t="s">
        <v>67</v>
      </c>
      <c r="M28" s="26" t="s">
        <v>32</v>
      </c>
      <c r="N28" s="48">
        <f>IF(_Shipments[[#This Row],[Embalagem]]="Big Bag",_Shipments[[#This Row],[Qtd.]]*_Shipments[[#This Row],[Qtde. sacos/palete]],_Shipments[[#This Row],[Qtd.]])</f>
        <v>280</v>
      </c>
      <c r="O28" s="49">
        <f>_xlfn.XLOOKUP(_Shipments[[#This Row],[CLN]],[2]Dados!$D:$D,[2]Dados!$R:$R,"-")</f>
        <v>40</v>
      </c>
      <c r="P28" s="49" t="str" cm="1">
        <f t="array" ref="P28">_xlfn.LET(_xlpm.t,_xlfn.XLOOKUP(_Shipments[[#This Row],[CLN]],[2]Dados!$D:$D,[2]Dados!$Q:$Q,"-"),_xlfn.IFS(LEFT(_xlpm.t,3)="PAS","Saco",LEFT(_xlpm.t,3)="PBT","Big Bag",TRUE,"-"))</f>
        <v>Big Bag</v>
      </c>
      <c r="Q28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661.2</v>
      </c>
      <c r="R28" s="89">
        <f>IF(_Shipments[[#This Row],[Embalagem]]="Big Bag",_Shipments[[#This Row],[Qtd.]],ROUNDUP(_Shipments[[#This Row],[Qtd.]]/_Shipments[[#This Row],[Qtde. sacos/palete]],0))</f>
        <v>7</v>
      </c>
      <c r="S28" s="26" t="s">
        <v>131</v>
      </c>
      <c r="T28" s="51">
        <v>34999248710</v>
      </c>
      <c r="U28" s="26" t="s">
        <v>132</v>
      </c>
      <c r="V28" s="26" t="s">
        <v>133</v>
      </c>
      <c r="W28" s="26" t="s">
        <v>126</v>
      </c>
      <c r="Y28" s="88">
        <v>7241940</v>
      </c>
      <c r="AB28" s="26"/>
    </row>
    <row r="29" spans="1:28" x14ac:dyDescent="0.25">
      <c r="A29" s="47">
        <f>_xlfn.XLOOKUP(_Shipments[[#This Row],[Shipment]],[1]Report!$G:$G,[1]Report!$B:$B,"-")</f>
        <v>46265.333333333336</v>
      </c>
      <c r="B29" s="26">
        <v>7241110</v>
      </c>
      <c r="C29" s="26">
        <v>5541983141</v>
      </c>
      <c r="D29" s="26">
        <v>3</v>
      </c>
      <c r="E29" s="26" t="s">
        <v>13</v>
      </c>
      <c r="F29" s="85">
        <v>6</v>
      </c>
      <c r="G29" s="26" t="s">
        <v>283</v>
      </c>
      <c r="H29" s="26" t="s">
        <v>64</v>
      </c>
      <c r="I29" s="26" t="s">
        <v>65</v>
      </c>
      <c r="J29" s="26">
        <v>6</v>
      </c>
      <c r="K29" s="26">
        <v>7518216</v>
      </c>
      <c r="L29" s="26" t="s">
        <v>68</v>
      </c>
      <c r="M29" s="26" t="s">
        <v>35</v>
      </c>
      <c r="N29" s="48">
        <f>IF(_Shipments[[#This Row],[Embalagem]]="Big Bag",_Shipments[[#This Row],[Qtd.]]*_Shipments[[#This Row],[Qtde. sacos/palete]],_Shipments[[#This Row],[Qtd.]])</f>
        <v>240</v>
      </c>
      <c r="O29" s="49">
        <f>_xlfn.XLOOKUP(_Shipments[[#This Row],[CLN]],[2]Dados!$D:$D,[2]Dados!$R:$R,"-")</f>
        <v>40</v>
      </c>
      <c r="P29" s="49" t="str" cm="1">
        <f t="array" ref="P29">_xlfn.LET(_xlpm.t,_xlfn.XLOOKUP(_Shipments[[#This Row],[CLN]],[2]Dados!$D:$D,[2]Dados!$Q:$Q,"-"),_xlfn.IFS(LEFT(_xlpm.t,3)="PAS","Saco",LEFT(_xlpm.t,3)="PBT","Big Bag",TRUE,"-"))</f>
        <v>Big Bag</v>
      </c>
      <c r="Q29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768</v>
      </c>
      <c r="R29" s="89">
        <f>IF(_Shipments[[#This Row],[Embalagem]]="Big Bag",_Shipments[[#This Row],[Qtd.]],ROUNDUP(_Shipments[[#This Row],[Qtd.]]/_Shipments[[#This Row],[Qtde. sacos/palete]],0))</f>
        <v>6</v>
      </c>
      <c r="S29" s="26" t="s">
        <v>131</v>
      </c>
      <c r="T29" s="51">
        <v>34999248710</v>
      </c>
      <c r="U29" s="26" t="s">
        <v>132</v>
      </c>
      <c r="V29" s="26" t="s">
        <v>133</v>
      </c>
      <c r="W29" s="26" t="s">
        <v>126</v>
      </c>
      <c r="Y29" s="88">
        <v>7241941</v>
      </c>
      <c r="AB29" s="26"/>
    </row>
    <row r="30" spans="1:28" x14ac:dyDescent="0.25">
      <c r="A30" s="47">
        <f>_xlfn.XLOOKUP(_Shipments[[#This Row],[Shipment]],[1]Report!$G:$G,[1]Report!$B:$B,"-")</f>
        <v>46265.333333333336</v>
      </c>
      <c r="B30" s="26">
        <v>7241111</v>
      </c>
      <c r="C30" s="26">
        <v>5541983143</v>
      </c>
      <c r="D30" s="26">
        <v>1</v>
      </c>
      <c r="E30" s="26" t="s">
        <v>13</v>
      </c>
      <c r="F30" s="85">
        <v>21</v>
      </c>
      <c r="G30" s="26" t="s">
        <v>283</v>
      </c>
      <c r="H30" s="26" t="s">
        <v>64</v>
      </c>
      <c r="I30" s="26" t="s">
        <v>65</v>
      </c>
      <c r="J30" s="26">
        <v>21</v>
      </c>
      <c r="K30" s="26">
        <v>7518216</v>
      </c>
      <c r="L30" s="26" t="s">
        <v>68</v>
      </c>
      <c r="M30" s="26" t="s">
        <v>35</v>
      </c>
      <c r="N30" s="48">
        <f>IF(_Shipments[[#This Row],[Embalagem]]="Big Bag",_Shipments[[#This Row],[Qtd.]]*_Shipments[[#This Row],[Qtde. sacos/palete]],_Shipments[[#This Row],[Qtd.]])</f>
        <v>840</v>
      </c>
      <c r="O30" s="49">
        <f>_xlfn.XLOOKUP(_Shipments[[#This Row],[CLN]],[2]Dados!$D:$D,[2]Dados!$R:$R,"-")</f>
        <v>40</v>
      </c>
      <c r="P30" s="49" t="str" cm="1">
        <f t="array" ref="P30">_xlfn.LET(_xlpm.t,_xlfn.XLOOKUP(_Shipments[[#This Row],[CLN]],[2]Dados!$D:$D,[2]Dados!$Q:$Q,"-"),_xlfn.IFS(LEFT(_xlpm.t,3)="PAS","Saco",LEFT(_xlpm.t,3)="PBT","Big Bag",TRUE,"-"))</f>
        <v>Big Bag</v>
      </c>
      <c r="Q30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768</v>
      </c>
      <c r="R30" s="89">
        <f>IF(_Shipments[[#This Row],[Embalagem]]="Big Bag",_Shipments[[#This Row],[Qtd.]],ROUNDUP(_Shipments[[#This Row],[Qtd.]]/_Shipments[[#This Row],[Qtde. sacos/palete]],0))</f>
        <v>21</v>
      </c>
      <c r="S30" s="26" t="s">
        <v>141</v>
      </c>
      <c r="T30" s="51">
        <v>34999810409</v>
      </c>
      <c r="U30" s="26" t="s">
        <v>142</v>
      </c>
      <c r="V30" s="26" t="s">
        <v>143</v>
      </c>
      <c r="W30" s="26" t="s">
        <v>126</v>
      </c>
      <c r="Y30" s="88">
        <v>7241943</v>
      </c>
      <c r="AB30" s="26"/>
    </row>
    <row r="31" spans="1:28" x14ac:dyDescent="0.25">
      <c r="A31" s="47">
        <f>_xlfn.XLOOKUP(_Shipments[[#This Row],[Shipment]],[1]Report!$G:$G,[1]Report!$B:$B,"-")</f>
        <v>46265.375</v>
      </c>
      <c r="B31" s="26">
        <v>7241113</v>
      </c>
      <c r="C31" s="26">
        <v>5541983144</v>
      </c>
      <c r="D31" s="26">
        <v>1</v>
      </c>
      <c r="E31" s="26" t="s">
        <v>16</v>
      </c>
      <c r="F31" s="85">
        <v>20</v>
      </c>
      <c r="G31" s="26" t="s">
        <v>283</v>
      </c>
      <c r="H31" s="26" t="s">
        <v>64</v>
      </c>
      <c r="I31" s="26" t="s">
        <v>65</v>
      </c>
      <c r="J31" s="26">
        <v>20</v>
      </c>
      <c r="K31" s="26">
        <v>7518131</v>
      </c>
      <c r="L31" s="26" t="s">
        <v>69</v>
      </c>
      <c r="M31" s="26" t="s">
        <v>38</v>
      </c>
      <c r="N31" s="48">
        <f>IF(_Shipments[[#This Row],[Embalagem]]="Big Bag",_Shipments[[#This Row],[Qtd.]]*_Shipments[[#This Row],[Qtde. sacos/palete]],_Shipments[[#This Row],[Qtd.]])</f>
        <v>800</v>
      </c>
      <c r="O31" s="49">
        <f>_xlfn.XLOOKUP(_Shipments[[#This Row],[CLN]],[2]Dados!$D:$D,[2]Dados!$R:$R,"-")</f>
        <v>40</v>
      </c>
      <c r="P31" s="49" t="str" cm="1">
        <f t="array" ref="P31">_xlfn.LET(_xlpm.t,_xlfn.XLOOKUP(_Shipments[[#This Row],[CLN]],[2]Dados!$D:$D,[2]Dados!$Q:$Q,"-"),_xlfn.IFS(LEFT(_xlpm.t,3)="PAS","Saco",LEFT(_xlpm.t,3)="PBT","Big Bag",TRUE,"-"))</f>
        <v>Big Bag</v>
      </c>
      <c r="Q31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601.59999999999991</v>
      </c>
      <c r="R31" s="89">
        <f>IF(_Shipments[[#This Row],[Embalagem]]="Big Bag",_Shipments[[#This Row],[Qtd.]],ROUNDUP(_Shipments[[#This Row],[Qtd.]]/_Shipments[[#This Row],[Qtde. sacos/palete]],0))</f>
        <v>20</v>
      </c>
      <c r="S31" s="26" t="s">
        <v>128</v>
      </c>
      <c r="T31" s="51">
        <v>34997330803</v>
      </c>
      <c r="U31" s="26" t="s">
        <v>129</v>
      </c>
      <c r="V31" s="26" t="s">
        <v>130</v>
      </c>
      <c r="W31" s="26" t="s">
        <v>126</v>
      </c>
      <c r="Y31" s="88">
        <v>7241944</v>
      </c>
      <c r="AB31" s="26"/>
    </row>
    <row r="32" spans="1:28" x14ac:dyDescent="0.25">
      <c r="A32" s="47">
        <f>_xlfn.XLOOKUP(_Shipments[[#This Row],[Shipment]],[1]Report!$G:$G,[1]Report!$B:$B,"-")</f>
        <v>46265.375</v>
      </c>
      <c r="B32" s="26">
        <v>7241116</v>
      </c>
      <c r="C32" s="26">
        <v>5541983147</v>
      </c>
      <c r="D32" s="26">
        <v>1</v>
      </c>
      <c r="E32" s="26" t="s">
        <v>16</v>
      </c>
      <c r="F32" s="85">
        <v>20</v>
      </c>
      <c r="G32" s="26" t="s">
        <v>283</v>
      </c>
      <c r="H32" s="26" t="s">
        <v>64</v>
      </c>
      <c r="I32" s="26" t="s">
        <v>65</v>
      </c>
      <c r="J32" s="26">
        <v>20</v>
      </c>
      <c r="K32" s="26">
        <v>7561731</v>
      </c>
      <c r="L32" s="26" t="s">
        <v>70</v>
      </c>
      <c r="M32" s="26" t="s">
        <v>38</v>
      </c>
      <c r="N32" s="48">
        <f>IF(_Shipments[[#This Row],[Embalagem]]="Big Bag",_Shipments[[#This Row],[Qtd.]]*_Shipments[[#This Row],[Qtde. sacos/palete]],_Shipments[[#This Row],[Qtd.]])</f>
        <v>800</v>
      </c>
      <c r="O32" s="49">
        <f>_xlfn.XLOOKUP(_Shipments[[#This Row],[CLN]],[2]Dados!$D:$D,[2]Dados!$R:$R,"-")</f>
        <v>40</v>
      </c>
      <c r="P32" s="49" t="str" cm="1">
        <f t="array" ref="P32">_xlfn.LET(_xlpm.t,_xlfn.XLOOKUP(_Shipments[[#This Row],[CLN]],[2]Dados!$D:$D,[2]Dados!$Q:$Q,"-"),_xlfn.IFS(LEFT(_xlpm.t,3)="PAS","Saco",LEFT(_xlpm.t,3)="PBT","Big Bag",TRUE,"-"))</f>
        <v>Big Bag</v>
      </c>
      <c r="Q32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704</v>
      </c>
      <c r="R32" s="89">
        <f>IF(_Shipments[[#This Row],[Embalagem]]="Big Bag",_Shipments[[#This Row],[Qtd.]],ROUNDUP(_Shipments[[#This Row],[Qtd.]]/_Shipments[[#This Row],[Qtde. sacos/palete]],0))</f>
        <v>20</v>
      </c>
      <c r="S32" s="26" t="s">
        <v>138</v>
      </c>
      <c r="T32" s="51">
        <v>34991718554</v>
      </c>
      <c r="U32" s="26" t="s">
        <v>139</v>
      </c>
      <c r="V32" s="26" t="s">
        <v>140</v>
      </c>
      <c r="W32" s="26" t="s">
        <v>126</v>
      </c>
      <c r="Y32" s="88">
        <v>7241945</v>
      </c>
      <c r="AB32" s="26"/>
    </row>
    <row r="33" spans="1:28" x14ac:dyDescent="0.25">
      <c r="A33" s="47">
        <f>_xlfn.XLOOKUP(_Shipments[[#This Row],[Shipment]],[1]Report!$G:$G,[1]Report!$B:$B,"-")</f>
        <v>46266.333333333336</v>
      </c>
      <c r="B33" s="26">
        <v>7241123</v>
      </c>
      <c r="C33" s="26">
        <v>5541983163</v>
      </c>
      <c r="D33" s="26">
        <v>1</v>
      </c>
      <c r="E33" s="26" t="s">
        <v>16</v>
      </c>
      <c r="F33" s="85">
        <v>10</v>
      </c>
      <c r="G33" s="26" t="s">
        <v>283</v>
      </c>
      <c r="H33" s="26" t="s">
        <v>64</v>
      </c>
      <c r="I33" s="26" t="s">
        <v>65</v>
      </c>
      <c r="J33" s="26">
        <v>10</v>
      </c>
      <c r="K33" s="26">
        <v>7518130</v>
      </c>
      <c r="L33" s="26" t="s">
        <v>71</v>
      </c>
      <c r="M33" s="26" t="s">
        <v>38</v>
      </c>
      <c r="N33" s="48">
        <f>IF(_Shipments[[#This Row],[Embalagem]]="Big Bag",_Shipments[[#This Row],[Qtd.]]*_Shipments[[#This Row],[Qtde. sacos/palete]],_Shipments[[#This Row],[Qtd.]])</f>
        <v>400</v>
      </c>
      <c r="O33" s="49">
        <f>_xlfn.XLOOKUP(_Shipments[[#This Row],[CLN]],[2]Dados!$D:$D,[2]Dados!$R:$R,"-")</f>
        <v>40</v>
      </c>
      <c r="P33" s="49" t="str" cm="1">
        <f t="array" ref="P33">_xlfn.LET(_xlpm.t,_xlfn.XLOOKUP(_Shipments[[#This Row],[CLN]],[2]Dados!$D:$D,[2]Dados!$Q:$Q,"-"),_xlfn.IFS(LEFT(_xlpm.t,3)="PAS","Saco",LEFT(_xlpm.t,3)="PBT","Big Bag",TRUE,"-"))</f>
        <v>Big Bag</v>
      </c>
      <c r="Q33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597.6</v>
      </c>
      <c r="R33" s="89">
        <f>IF(_Shipments[[#This Row],[Embalagem]]="Big Bag",_Shipments[[#This Row],[Qtd.]],ROUNDUP(_Shipments[[#This Row],[Qtd.]]/_Shipments[[#This Row],[Qtde. sacos/palete]],0))</f>
        <v>10</v>
      </c>
      <c r="S33" s="26" t="s">
        <v>136</v>
      </c>
      <c r="T33" s="51">
        <v>34991030020</v>
      </c>
      <c r="U33" s="26" t="s">
        <v>137</v>
      </c>
      <c r="V33" s="26" t="s">
        <v>220</v>
      </c>
      <c r="W33" s="26" t="s">
        <v>126</v>
      </c>
      <c r="Y33" s="88">
        <v>7241946</v>
      </c>
      <c r="AB33" s="26"/>
    </row>
    <row r="34" spans="1:28" x14ac:dyDescent="0.25">
      <c r="A34" s="47">
        <f>_xlfn.XLOOKUP(_Shipments[[#This Row],[Shipment]],[1]Report!$G:$G,[1]Report!$B:$B,"-")</f>
        <v>46266.333333333336</v>
      </c>
      <c r="B34" s="26">
        <v>7241123</v>
      </c>
      <c r="C34" s="26">
        <v>5541983163</v>
      </c>
      <c r="D34" s="26">
        <v>2</v>
      </c>
      <c r="E34" s="26" t="s">
        <v>16</v>
      </c>
      <c r="F34" s="85">
        <v>10</v>
      </c>
      <c r="G34" s="26" t="s">
        <v>283</v>
      </c>
      <c r="H34" s="26" t="s">
        <v>64</v>
      </c>
      <c r="I34" s="26" t="s">
        <v>65</v>
      </c>
      <c r="J34" s="26">
        <v>10</v>
      </c>
      <c r="K34" s="26">
        <v>7561731</v>
      </c>
      <c r="L34" s="26" t="s">
        <v>70</v>
      </c>
      <c r="M34" s="26" t="s">
        <v>38</v>
      </c>
      <c r="N34" s="48">
        <f>IF(_Shipments[[#This Row],[Embalagem]]="Big Bag",_Shipments[[#This Row],[Qtd.]]*_Shipments[[#This Row],[Qtde. sacos/palete]],_Shipments[[#This Row],[Qtd.]])</f>
        <v>400</v>
      </c>
      <c r="O34" s="49">
        <f>_xlfn.XLOOKUP(_Shipments[[#This Row],[CLN]],[2]Dados!$D:$D,[2]Dados!$R:$R,"-")</f>
        <v>40</v>
      </c>
      <c r="P34" s="49" t="str" cm="1">
        <f t="array" ref="P34">_xlfn.LET(_xlpm.t,_xlfn.XLOOKUP(_Shipments[[#This Row],[CLN]],[2]Dados!$D:$D,[2]Dados!$Q:$Q,"-"),_xlfn.IFS(LEFT(_xlpm.t,3)="PAS","Saco",LEFT(_xlpm.t,3)="PBT","Big Bag",TRUE,"-"))</f>
        <v>Big Bag</v>
      </c>
      <c r="Q34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704</v>
      </c>
      <c r="R34" s="89">
        <f>IF(_Shipments[[#This Row],[Embalagem]]="Big Bag",_Shipments[[#This Row],[Qtd.]],ROUNDUP(_Shipments[[#This Row],[Qtd.]]/_Shipments[[#This Row],[Qtde. sacos/palete]],0))</f>
        <v>10</v>
      </c>
      <c r="S34" s="26" t="s">
        <v>136</v>
      </c>
      <c r="T34" s="51">
        <v>34991030020</v>
      </c>
      <c r="U34" s="26" t="s">
        <v>137</v>
      </c>
      <c r="V34" s="26" t="s">
        <v>220</v>
      </c>
      <c r="W34" s="26" t="s">
        <v>126</v>
      </c>
      <c r="Y34" s="88">
        <v>7241954</v>
      </c>
      <c r="AB34" s="26"/>
    </row>
    <row r="35" spans="1:28" x14ac:dyDescent="0.25">
      <c r="A35" s="47">
        <f>_xlfn.XLOOKUP(_Shipments[[#This Row],[Shipment]],[1]Report!$G:$G,[1]Report!$B:$B,"-")</f>
        <v>46266.333333333336</v>
      </c>
      <c r="B35" s="26">
        <v>7241124</v>
      </c>
      <c r="C35" s="26">
        <v>5541983164</v>
      </c>
      <c r="D35" s="26">
        <v>1</v>
      </c>
      <c r="E35" s="26" t="s">
        <v>16</v>
      </c>
      <c r="F35" s="85">
        <v>20</v>
      </c>
      <c r="G35" s="26" t="s">
        <v>283</v>
      </c>
      <c r="H35" s="26" t="s">
        <v>64</v>
      </c>
      <c r="I35" s="26" t="s">
        <v>65</v>
      </c>
      <c r="J35" s="26">
        <v>20</v>
      </c>
      <c r="K35" s="26">
        <v>7518130</v>
      </c>
      <c r="L35" s="26" t="s">
        <v>71</v>
      </c>
      <c r="M35" s="26" t="s">
        <v>38</v>
      </c>
      <c r="N35" s="48">
        <f>IF(_Shipments[[#This Row],[Embalagem]]="Big Bag",_Shipments[[#This Row],[Qtd.]]*_Shipments[[#This Row],[Qtde. sacos/palete]],_Shipments[[#This Row],[Qtd.]])</f>
        <v>800</v>
      </c>
      <c r="O35" s="49">
        <f>_xlfn.XLOOKUP(_Shipments[[#This Row],[CLN]],[2]Dados!$D:$D,[2]Dados!$R:$R,"-")</f>
        <v>40</v>
      </c>
      <c r="P35" s="49" t="str" cm="1">
        <f t="array" ref="P35">_xlfn.LET(_xlpm.t,_xlfn.XLOOKUP(_Shipments[[#This Row],[CLN]],[2]Dados!$D:$D,[2]Dados!$Q:$Q,"-"),_xlfn.IFS(LEFT(_xlpm.t,3)="PAS","Saco",LEFT(_xlpm.t,3)="PBT","Big Bag",TRUE,"-"))</f>
        <v>Big Bag</v>
      </c>
      <c r="Q35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597.6</v>
      </c>
      <c r="R35" s="89">
        <f>IF(_Shipments[[#This Row],[Embalagem]]="Big Bag",_Shipments[[#This Row],[Qtd.]],ROUNDUP(_Shipments[[#This Row],[Qtd.]]/_Shipments[[#This Row],[Qtde. sacos/palete]],0))</f>
        <v>20</v>
      </c>
      <c r="S35" s="26" t="s">
        <v>158</v>
      </c>
      <c r="T35" s="51">
        <v>34992119997</v>
      </c>
      <c r="U35" s="26" t="s">
        <v>134</v>
      </c>
      <c r="V35" s="26" t="s">
        <v>135</v>
      </c>
      <c r="W35" s="26" t="s">
        <v>126</v>
      </c>
      <c r="Y35" s="88">
        <v>7241962</v>
      </c>
      <c r="AB35" s="26"/>
    </row>
    <row r="36" spans="1:28" x14ac:dyDescent="0.25">
      <c r="A36" s="47">
        <f>_xlfn.XLOOKUP(_Shipments[[#This Row],[Shipment]],[1]Report!$G:$G,[1]Report!$B:$B,"-")</f>
        <v>46266.375</v>
      </c>
      <c r="B36" s="26">
        <v>7241125</v>
      </c>
      <c r="C36" s="26">
        <v>5541983165</v>
      </c>
      <c r="D36" s="26">
        <v>1</v>
      </c>
      <c r="E36" s="26" t="s">
        <v>16</v>
      </c>
      <c r="F36" s="85">
        <v>21</v>
      </c>
      <c r="G36" s="26" t="s">
        <v>283</v>
      </c>
      <c r="H36" s="26" t="s">
        <v>64</v>
      </c>
      <c r="I36" s="26" t="s">
        <v>65</v>
      </c>
      <c r="J36" s="26">
        <v>21</v>
      </c>
      <c r="K36" s="26">
        <v>7518120</v>
      </c>
      <c r="L36" s="26" t="s">
        <v>72</v>
      </c>
      <c r="M36" s="26" t="s">
        <v>38</v>
      </c>
      <c r="N36" s="48">
        <f>IF(_Shipments[[#This Row],[Embalagem]]="Big Bag",_Shipments[[#This Row],[Qtd.]]*_Shipments[[#This Row],[Qtde. sacos/palete]],_Shipments[[#This Row],[Qtd.]])</f>
        <v>840</v>
      </c>
      <c r="O36" s="49">
        <f>_xlfn.XLOOKUP(_Shipments[[#This Row],[CLN]],[2]Dados!$D:$D,[2]Dados!$R:$R,"-")</f>
        <v>40</v>
      </c>
      <c r="P36" s="49" t="str" cm="1">
        <f t="array" ref="P36">_xlfn.LET(_xlpm.t,_xlfn.XLOOKUP(_Shipments[[#This Row],[CLN]],[2]Dados!$D:$D,[2]Dados!$Q:$Q,"-"),_xlfn.IFS(LEFT(_xlpm.t,3)="PAS","Saco",LEFT(_xlpm.t,3)="PBT","Big Bag",TRUE,"-"))</f>
        <v>Big Bag</v>
      </c>
      <c r="Q36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564.4</v>
      </c>
      <c r="R36" s="89">
        <f>IF(_Shipments[[#This Row],[Embalagem]]="Big Bag",_Shipments[[#This Row],[Qtd.]],ROUNDUP(_Shipments[[#This Row],[Qtd.]]/_Shipments[[#This Row],[Qtde. sacos/palete]],0))</f>
        <v>21</v>
      </c>
      <c r="S36" s="26" t="s">
        <v>166</v>
      </c>
      <c r="T36" s="51">
        <v>34991694434</v>
      </c>
      <c r="U36" s="26" t="s">
        <v>167</v>
      </c>
      <c r="V36" s="26" t="s">
        <v>168</v>
      </c>
      <c r="W36" s="26" t="s">
        <v>126</v>
      </c>
      <c r="Y36" s="88">
        <v>7241989</v>
      </c>
      <c r="AB36" s="26"/>
    </row>
    <row r="37" spans="1:28" x14ac:dyDescent="0.25">
      <c r="A37" s="47">
        <f>_xlfn.XLOOKUP(_Shipments[[#This Row],[Shipment]],[1]Report!$G:$G,[1]Report!$B:$B,"-")</f>
        <v>46266.375</v>
      </c>
      <c r="B37" s="26">
        <v>7241127</v>
      </c>
      <c r="C37" s="26">
        <v>5541983167</v>
      </c>
      <c r="D37" s="26">
        <v>1</v>
      </c>
      <c r="E37" s="26" t="s">
        <v>16</v>
      </c>
      <c r="F37" s="85">
        <v>21</v>
      </c>
      <c r="G37" s="26" t="s">
        <v>283</v>
      </c>
      <c r="H37" s="26" t="s">
        <v>64</v>
      </c>
      <c r="I37" s="26" t="s">
        <v>65</v>
      </c>
      <c r="J37" s="26">
        <v>21</v>
      </c>
      <c r="K37" s="26">
        <v>7518120</v>
      </c>
      <c r="L37" s="26" t="s">
        <v>72</v>
      </c>
      <c r="M37" s="26" t="s">
        <v>38</v>
      </c>
      <c r="N37" s="48">
        <f>IF(_Shipments[[#This Row],[Embalagem]]="Big Bag",_Shipments[[#This Row],[Qtd.]]*_Shipments[[#This Row],[Qtde. sacos/palete]],_Shipments[[#This Row],[Qtd.]])</f>
        <v>840</v>
      </c>
      <c r="O37" s="49">
        <f>_xlfn.XLOOKUP(_Shipments[[#This Row],[CLN]],[2]Dados!$D:$D,[2]Dados!$R:$R,"-")</f>
        <v>40</v>
      </c>
      <c r="P37" s="49" t="str" cm="1">
        <f t="array" ref="P37">_xlfn.LET(_xlpm.t,_xlfn.XLOOKUP(_Shipments[[#This Row],[CLN]],[2]Dados!$D:$D,[2]Dados!$Q:$Q,"-"),_xlfn.IFS(LEFT(_xlpm.t,3)="PAS","Saco",LEFT(_xlpm.t,3)="PBT","Big Bag",TRUE,"-"))</f>
        <v>Big Bag</v>
      </c>
      <c r="Q37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564.4</v>
      </c>
      <c r="R37" s="89">
        <f>IF(_Shipments[[#This Row],[Embalagem]]="Big Bag",_Shipments[[#This Row],[Qtd.]],ROUNDUP(_Shipments[[#This Row],[Qtd.]]/_Shipments[[#This Row],[Qtde. sacos/palete]],0))</f>
        <v>21</v>
      </c>
      <c r="S37" s="26" t="s">
        <v>169</v>
      </c>
      <c r="T37" s="51">
        <v>34999559998</v>
      </c>
      <c r="U37" s="26" t="s">
        <v>170</v>
      </c>
      <c r="V37" s="26" t="s">
        <v>171</v>
      </c>
      <c r="W37" s="26" t="s">
        <v>126</v>
      </c>
      <c r="Y37" s="88">
        <v>7241990</v>
      </c>
      <c r="AB37" s="26"/>
    </row>
    <row r="38" spans="1:28" x14ac:dyDescent="0.25">
      <c r="A38" s="47">
        <f>_xlfn.XLOOKUP(_Shipments[[#This Row],[Shipment]],[1]Report!$G:$G,[1]Report!$B:$B,"-")</f>
        <v>46267.333333333336</v>
      </c>
      <c r="B38" s="26">
        <v>7241131</v>
      </c>
      <c r="C38" s="26">
        <v>5541983168</v>
      </c>
      <c r="D38" s="26">
        <v>1</v>
      </c>
      <c r="E38" s="26" t="s">
        <v>16</v>
      </c>
      <c r="F38" s="85">
        <v>21</v>
      </c>
      <c r="G38" s="26" t="s">
        <v>283</v>
      </c>
      <c r="H38" s="26" t="s">
        <v>64</v>
      </c>
      <c r="I38" s="26" t="s">
        <v>65</v>
      </c>
      <c r="J38" s="26">
        <v>21</v>
      </c>
      <c r="K38" s="26">
        <v>7518117</v>
      </c>
      <c r="L38" s="26" t="s">
        <v>73</v>
      </c>
      <c r="M38" s="26" t="s">
        <v>38</v>
      </c>
      <c r="N38" s="48">
        <f>IF(_Shipments[[#This Row],[Embalagem]]="Big Bag",_Shipments[[#This Row],[Qtd.]]*_Shipments[[#This Row],[Qtde. sacos/palete]],_Shipments[[#This Row],[Qtd.]])</f>
        <v>840</v>
      </c>
      <c r="O38" s="49">
        <f>_xlfn.XLOOKUP(_Shipments[[#This Row],[CLN]],[2]Dados!$D:$D,[2]Dados!$R:$R,"-")</f>
        <v>40</v>
      </c>
      <c r="P38" s="49" t="str" cm="1">
        <f t="array" ref="P38">_xlfn.LET(_xlpm.t,_xlfn.XLOOKUP(_Shipments[[#This Row],[CLN]],[2]Dados!$D:$D,[2]Dados!$Q:$Q,"-"),_xlfn.IFS(LEFT(_xlpm.t,3)="PAS","Saco",LEFT(_xlpm.t,3)="PBT","Big Bag",TRUE,"-"))</f>
        <v>Big Bag</v>
      </c>
      <c r="Q38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587.6</v>
      </c>
      <c r="R38" s="89">
        <f>IF(_Shipments[[#This Row],[Embalagem]]="Big Bag",_Shipments[[#This Row],[Qtd.]],ROUNDUP(_Shipments[[#This Row],[Qtd.]]/_Shipments[[#This Row],[Qtde. sacos/palete]],0))</f>
        <v>21</v>
      </c>
      <c r="S38" s="26" t="s">
        <v>163</v>
      </c>
      <c r="T38" s="51">
        <v>34999233031</v>
      </c>
      <c r="U38" s="26" t="s">
        <v>152</v>
      </c>
      <c r="V38" s="26" t="s">
        <v>153</v>
      </c>
      <c r="W38" s="26" t="s">
        <v>126</v>
      </c>
      <c r="Y38" s="88">
        <v>7241991</v>
      </c>
      <c r="AB38" s="26"/>
    </row>
    <row r="39" spans="1:28" x14ac:dyDescent="0.25">
      <c r="A39" s="47">
        <f>_xlfn.XLOOKUP(_Shipments[[#This Row],[Shipment]],[1]Report!$G:$G,[1]Report!$B:$B,"-")</f>
        <v>46267.333333333336</v>
      </c>
      <c r="B39" s="26">
        <v>7241132</v>
      </c>
      <c r="C39" s="26">
        <v>5541983169</v>
      </c>
      <c r="D39" s="26">
        <v>1</v>
      </c>
      <c r="E39" s="26" t="s">
        <v>16</v>
      </c>
      <c r="F39" s="85">
        <v>13</v>
      </c>
      <c r="G39" s="26" t="s">
        <v>283</v>
      </c>
      <c r="H39" s="26" t="s">
        <v>64</v>
      </c>
      <c r="I39" s="26" t="s">
        <v>65</v>
      </c>
      <c r="J39" s="26">
        <v>13</v>
      </c>
      <c r="K39" s="26">
        <v>7518117</v>
      </c>
      <c r="L39" s="26" t="s">
        <v>73</v>
      </c>
      <c r="M39" s="26" t="s">
        <v>38</v>
      </c>
      <c r="N39" s="48">
        <f>IF(_Shipments[[#This Row],[Embalagem]]="Big Bag",_Shipments[[#This Row],[Qtd.]]*_Shipments[[#This Row],[Qtde. sacos/palete]],_Shipments[[#This Row],[Qtd.]])</f>
        <v>520</v>
      </c>
      <c r="O39" s="49">
        <f>_xlfn.XLOOKUP(_Shipments[[#This Row],[CLN]],[2]Dados!$D:$D,[2]Dados!$R:$R,"-")</f>
        <v>40</v>
      </c>
      <c r="P39" s="49" t="str" cm="1">
        <f t="array" ref="P39">_xlfn.LET(_xlpm.t,_xlfn.XLOOKUP(_Shipments[[#This Row],[CLN]],[2]Dados!$D:$D,[2]Dados!$Q:$Q,"-"),_xlfn.IFS(LEFT(_xlpm.t,3)="PAS","Saco",LEFT(_xlpm.t,3)="PBT","Big Bag",TRUE,"-"))</f>
        <v>Big Bag</v>
      </c>
      <c r="Q39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587.6</v>
      </c>
      <c r="R39" s="89">
        <f>IF(_Shipments[[#This Row],[Embalagem]]="Big Bag",_Shipments[[#This Row],[Qtd.]],ROUNDUP(_Shipments[[#This Row],[Qtd.]]/_Shipments[[#This Row],[Qtde. sacos/palete]],0))</f>
        <v>13</v>
      </c>
      <c r="S39" s="26" t="s">
        <v>162</v>
      </c>
      <c r="T39" s="51">
        <v>61999471983</v>
      </c>
      <c r="U39" s="26" t="s">
        <v>150</v>
      </c>
      <c r="V39" s="26" t="s">
        <v>151</v>
      </c>
      <c r="W39" s="26" t="s">
        <v>126</v>
      </c>
      <c r="Y39" s="88">
        <v>7241993</v>
      </c>
      <c r="AB39" s="26"/>
    </row>
    <row r="40" spans="1:28" x14ac:dyDescent="0.25">
      <c r="A40" s="47">
        <f>_xlfn.XLOOKUP(_Shipments[[#This Row],[Shipment]],[1]Report!$G:$G,[1]Report!$B:$B,"-")</f>
        <v>46267.333333333336</v>
      </c>
      <c r="B40" s="26">
        <v>7241132</v>
      </c>
      <c r="C40" s="26">
        <v>5541983169</v>
      </c>
      <c r="D40" s="26">
        <v>2</v>
      </c>
      <c r="E40" s="26" t="s">
        <v>16</v>
      </c>
      <c r="F40" s="85">
        <v>7</v>
      </c>
      <c r="G40" s="26" t="s">
        <v>283</v>
      </c>
      <c r="H40" s="26" t="s">
        <v>64</v>
      </c>
      <c r="I40" s="26" t="s">
        <v>65</v>
      </c>
      <c r="J40" s="26">
        <v>7</v>
      </c>
      <c r="K40" s="26">
        <v>7561723</v>
      </c>
      <c r="L40" s="26" t="s">
        <v>74</v>
      </c>
      <c r="M40" s="26" t="s">
        <v>38</v>
      </c>
      <c r="N40" s="48">
        <f>IF(_Shipments[[#This Row],[Embalagem]]="Big Bag",_Shipments[[#This Row],[Qtd.]]*_Shipments[[#This Row],[Qtde. sacos/palete]],_Shipments[[#This Row],[Qtd.]])</f>
        <v>280</v>
      </c>
      <c r="O40" s="49">
        <f>_xlfn.XLOOKUP(_Shipments[[#This Row],[CLN]],[2]Dados!$D:$D,[2]Dados!$R:$R,"-")</f>
        <v>40</v>
      </c>
      <c r="P40" s="49" t="str" cm="1">
        <f t="array" ref="P40">_xlfn.LET(_xlpm.t,_xlfn.XLOOKUP(_Shipments[[#This Row],[CLN]],[2]Dados!$D:$D,[2]Dados!$Q:$Q,"-"),_xlfn.IFS(LEFT(_xlpm.t,3)="PAS","Saco",LEFT(_xlpm.t,3)="PBT","Big Bag",TRUE,"-"))</f>
        <v>Big Bag</v>
      </c>
      <c r="Q40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600</v>
      </c>
      <c r="R40" s="89">
        <f>IF(_Shipments[[#This Row],[Embalagem]]="Big Bag",_Shipments[[#This Row],[Qtd.]],ROUNDUP(_Shipments[[#This Row],[Qtd.]]/_Shipments[[#This Row],[Qtde. sacos/palete]],0))</f>
        <v>7</v>
      </c>
      <c r="S40" s="26" t="s">
        <v>162</v>
      </c>
      <c r="T40" s="51">
        <v>61999471983</v>
      </c>
      <c r="U40" s="26" t="s">
        <v>150</v>
      </c>
      <c r="V40" s="26" t="s">
        <v>151</v>
      </c>
      <c r="W40" s="26" t="s">
        <v>126</v>
      </c>
      <c r="Y40" s="88">
        <v>7241994</v>
      </c>
      <c r="AB40" s="26"/>
    </row>
    <row r="41" spans="1:28" x14ac:dyDescent="0.25">
      <c r="A41" s="47">
        <f>_xlfn.XLOOKUP(_Shipments[[#This Row],[Shipment]],[1]Report!$G:$G,[1]Report!$B:$B,"-")</f>
        <v>46267.375</v>
      </c>
      <c r="B41" s="26">
        <v>7241134</v>
      </c>
      <c r="C41" s="26">
        <v>5541983171</v>
      </c>
      <c r="D41" s="26">
        <v>1</v>
      </c>
      <c r="E41" s="26" t="s">
        <v>16</v>
      </c>
      <c r="F41" s="85">
        <v>21</v>
      </c>
      <c r="G41" s="26" t="s">
        <v>283</v>
      </c>
      <c r="H41" s="26" t="s">
        <v>64</v>
      </c>
      <c r="I41" s="26" t="s">
        <v>65</v>
      </c>
      <c r="J41" s="26">
        <v>21</v>
      </c>
      <c r="K41" s="26">
        <v>7518137</v>
      </c>
      <c r="L41" s="26" t="s">
        <v>75</v>
      </c>
      <c r="M41" s="26" t="s">
        <v>46</v>
      </c>
      <c r="N41" s="48">
        <f>IF(_Shipments[[#This Row],[Embalagem]]="Big Bag",_Shipments[[#This Row],[Qtd.]]*_Shipments[[#This Row],[Qtde. sacos/palete]],_Shipments[[#This Row],[Qtd.]])</f>
        <v>840</v>
      </c>
      <c r="O41" s="49">
        <f>_xlfn.XLOOKUP(_Shipments[[#This Row],[CLN]],[2]Dados!$D:$D,[2]Dados!$R:$R,"-")</f>
        <v>40</v>
      </c>
      <c r="P41" s="49" t="str" cm="1">
        <f t="array" ref="P41">_xlfn.LET(_xlpm.t,_xlfn.XLOOKUP(_Shipments[[#This Row],[CLN]],[2]Dados!$D:$D,[2]Dados!$Q:$Q,"-"),_xlfn.IFS(LEFT(_xlpm.t,3)="PAS","Saco",LEFT(_xlpm.t,3)="PBT","Big Bag",TRUE,"-"))</f>
        <v>Big Bag</v>
      </c>
      <c r="Q41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647.20000000000005</v>
      </c>
      <c r="R41" s="89">
        <f>IF(_Shipments[[#This Row],[Embalagem]]="Big Bag",_Shipments[[#This Row],[Qtd.]],ROUNDUP(_Shipments[[#This Row],[Qtd.]]/_Shipments[[#This Row],[Qtde. sacos/palete]],0))</f>
        <v>21</v>
      </c>
      <c r="S41" s="26" t="s">
        <v>179</v>
      </c>
      <c r="T41" s="51">
        <v>34997412844</v>
      </c>
      <c r="U41" s="26" t="s">
        <v>172</v>
      </c>
      <c r="V41" s="26" t="s">
        <v>173</v>
      </c>
      <c r="W41" s="26" t="s">
        <v>126</v>
      </c>
      <c r="Y41" s="88">
        <v>7241996</v>
      </c>
      <c r="AB41" s="26"/>
    </row>
    <row r="42" spans="1:28" x14ac:dyDescent="0.25">
      <c r="A42" s="47">
        <f>_xlfn.XLOOKUP(_Shipments[[#This Row],[Shipment]],[1]Report!$G:$G,[1]Report!$B:$B,"-")</f>
        <v>46267.375</v>
      </c>
      <c r="B42" s="26">
        <v>7241135</v>
      </c>
      <c r="C42" s="26">
        <v>5541983173</v>
      </c>
      <c r="D42" s="26">
        <v>1</v>
      </c>
      <c r="E42" s="26" t="s">
        <v>16</v>
      </c>
      <c r="F42" s="85">
        <v>12</v>
      </c>
      <c r="G42" s="26" t="s">
        <v>283</v>
      </c>
      <c r="H42" s="26" t="s">
        <v>64</v>
      </c>
      <c r="I42" s="26" t="s">
        <v>65</v>
      </c>
      <c r="J42" s="26">
        <v>12</v>
      </c>
      <c r="K42" s="26">
        <v>7518137</v>
      </c>
      <c r="L42" s="26" t="s">
        <v>75</v>
      </c>
      <c r="M42" s="26" t="s">
        <v>46</v>
      </c>
      <c r="N42" s="48">
        <f>IF(_Shipments[[#This Row],[Embalagem]]="Big Bag",_Shipments[[#This Row],[Qtd.]]*_Shipments[[#This Row],[Qtde. sacos/palete]],_Shipments[[#This Row],[Qtd.]])</f>
        <v>480</v>
      </c>
      <c r="O42" s="49">
        <f>_xlfn.XLOOKUP(_Shipments[[#This Row],[CLN]],[2]Dados!$D:$D,[2]Dados!$R:$R,"-")</f>
        <v>40</v>
      </c>
      <c r="P42" s="49" t="str" cm="1">
        <f t="array" ref="P42">_xlfn.LET(_xlpm.t,_xlfn.XLOOKUP(_Shipments[[#This Row],[CLN]],[2]Dados!$D:$D,[2]Dados!$Q:$Q,"-"),_xlfn.IFS(LEFT(_xlpm.t,3)="PAS","Saco",LEFT(_xlpm.t,3)="PBT","Big Bag",TRUE,"-"))</f>
        <v>Big Bag</v>
      </c>
      <c r="Q42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647.20000000000005</v>
      </c>
      <c r="R42" s="89">
        <f>IF(_Shipments[[#This Row],[Embalagem]]="Big Bag",_Shipments[[#This Row],[Qtd.]],ROUNDUP(_Shipments[[#This Row],[Qtd.]]/_Shipments[[#This Row],[Qtde. sacos/palete]],0))</f>
        <v>12</v>
      </c>
      <c r="S42" s="26" t="s">
        <v>180</v>
      </c>
      <c r="T42" s="51">
        <v>34997330803</v>
      </c>
      <c r="U42" s="26" t="s">
        <v>181</v>
      </c>
      <c r="V42" s="26" t="s">
        <v>182</v>
      </c>
      <c r="W42" s="26" t="s">
        <v>126</v>
      </c>
      <c r="Y42" s="88">
        <v>7241997</v>
      </c>
      <c r="AB42" s="26"/>
    </row>
    <row r="43" spans="1:28" x14ac:dyDescent="0.25">
      <c r="A43" s="47">
        <f>_xlfn.XLOOKUP(_Shipments[[#This Row],[Shipment]],[1]Report!$G:$G,[1]Report!$B:$B,"-")</f>
        <v>46267.375</v>
      </c>
      <c r="B43" s="26">
        <v>7241135</v>
      </c>
      <c r="C43" s="26">
        <v>5541983173</v>
      </c>
      <c r="D43" s="26">
        <v>2</v>
      </c>
      <c r="E43" s="26" t="s">
        <v>56</v>
      </c>
      <c r="F43" s="85">
        <v>9</v>
      </c>
      <c r="G43" s="26" t="s">
        <v>283</v>
      </c>
      <c r="H43" s="26" t="s">
        <v>64</v>
      </c>
      <c r="I43" s="26" t="s">
        <v>65</v>
      </c>
      <c r="J43" s="26">
        <v>9</v>
      </c>
      <c r="K43" s="26">
        <v>7518186</v>
      </c>
      <c r="L43" s="26" t="s">
        <v>76</v>
      </c>
      <c r="M43" s="26" t="s">
        <v>32</v>
      </c>
      <c r="N43" s="48">
        <f>IF(_Shipments[[#This Row],[Embalagem]]="Big Bag",_Shipments[[#This Row],[Qtd.]]*_Shipments[[#This Row],[Qtde. sacos/palete]],_Shipments[[#This Row],[Qtd.]])</f>
        <v>360</v>
      </c>
      <c r="O43" s="49">
        <f>_xlfn.XLOOKUP(_Shipments[[#This Row],[CLN]],[2]Dados!$D:$D,[2]Dados!$R:$R,"-")</f>
        <v>40</v>
      </c>
      <c r="P43" s="49" t="str" cm="1">
        <f t="array" ref="P43">_xlfn.LET(_xlpm.t,_xlfn.XLOOKUP(_Shipments[[#This Row],[CLN]],[2]Dados!$D:$D,[2]Dados!$Q:$Q,"-"),_xlfn.IFS(LEFT(_xlpm.t,3)="PAS","Saco",LEFT(_xlpm.t,3)="PBT","Big Bag",TRUE,"-"))</f>
        <v>Big Bag</v>
      </c>
      <c r="Q43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550.79999999999995</v>
      </c>
      <c r="R43" s="89">
        <f>IF(_Shipments[[#This Row],[Embalagem]]="Big Bag",_Shipments[[#This Row],[Qtd.]],ROUNDUP(_Shipments[[#This Row],[Qtd.]]/_Shipments[[#This Row],[Qtde. sacos/palete]],0))</f>
        <v>9</v>
      </c>
      <c r="S43" s="26" t="s">
        <v>180</v>
      </c>
      <c r="T43" s="51">
        <v>34997330803</v>
      </c>
      <c r="U43" s="26" t="s">
        <v>181</v>
      </c>
      <c r="V43" s="26" t="s">
        <v>182</v>
      </c>
      <c r="W43" s="26" t="s">
        <v>126</v>
      </c>
      <c r="Y43" s="88">
        <v>7242699</v>
      </c>
      <c r="AB43" s="26"/>
    </row>
    <row r="44" spans="1:28" x14ac:dyDescent="0.25">
      <c r="A44" s="47">
        <f>_xlfn.XLOOKUP(_Shipments[[#This Row],[Shipment]],[1]Report!$G:$G,[1]Report!$B:$B,"-")</f>
        <v>46268.333333333336</v>
      </c>
      <c r="B44" s="26">
        <v>7241136</v>
      </c>
      <c r="C44" s="26">
        <v>5541983175</v>
      </c>
      <c r="D44" s="26">
        <v>1</v>
      </c>
      <c r="E44" s="26" t="s">
        <v>56</v>
      </c>
      <c r="F44" s="85">
        <v>15</v>
      </c>
      <c r="G44" s="26" t="s">
        <v>283</v>
      </c>
      <c r="H44" s="26" t="s">
        <v>64</v>
      </c>
      <c r="I44" s="26" t="s">
        <v>65</v>
      </c>
      <c r="J44" s="26">
        <v>15</v>
      </c>
      <c r="K44" s="26">
        <v>7518186</v>
      </c>
      <c r="L44" s="26" t="s">
        <v>76</v>
      </c>
      <c r="M44" s="26" t="s">
        <v>32</v>
      </c>
      <c r="N44" s="48">
        <f>IF(_Shipments[[#This Row],[Embalagem]]="Big Bag",_Shipments[[#This Row],[Qtd.]]*_Shipments[[#This Row],[Qtde. sacos/palete]],_Shipments[[#This Row],[Qtd.]])</f>
        <v>600</v>
      </c>
      <c r="O44" s="49">
        <f>_xlfn.XLOOKUP(_Shipments[[#This Row],[CLN]],[2]Dados!$D:$D,[2]Dados!$R:$R,"-")</f>
        <v>40</v>
      </c>
      <c r="P44" s="49" t="str" cm="1">
        <f t="array" ref="P44">_xlfn.LET(_xlpm.t,_xlfn.XLOOKUP(_Shipments[[#This Row],[CLN]],[2]Dados!$D:$D,[2]Dados!$Q:$Q,"-"),_xlfn.IFS(LEFT(_xlpm.t,3)="PAS","Saco",LEFT(_xlpm.t,3)="PBT","Big Bag",TRUE,"-"))</f>
        <v>Big Bag</v>
      </c>
      <c r="Q44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550.79999999999995</v>
      </c>
      <c r="R44" s="89">
        <f>IF(_Shipments[[#This Row],[Embalagem]]="Big Bag",_Shipments[[#This Row],[Qtd.]],ROUNDUP(_Shipments[[#This Row],[Qtd.]]/_Shipments[[#This Row],[Qtde. sacos/palete]],0))</f>
        <v>15</v>
      </c>
      <c r="S44" s="26" t="s">
        <v>158</v>
      </c>
      <c r="T44" s="51">
        <v>34992119997</v>
      </c>
      <c r="U44" s="26" t="s">
        <v>134</v>
      </c>
      <c r="V44" s="26" t="s">
        <v>135</v>
      </c>
      <c r="W44" s="26" t="s">
        <v>126</v>
      </c>
      <c r="Y44" s="88">
        <v>7242700</v>
      </c>
      <c r="AB44" s="26"/>
    </row>
    <row r="45" spans="1:28" x14ac:dyDescent="0.25">
      <c r="A45" s="47">
        <f>_xlfn.XLOOKUP(_Shipments[[#This Row],[Shipment]],[1]Report!$G:$G,[1]Report!$B:$B,"-")</f>
        <v>46268.333333333336</v>
      </c>
      <c r="B45" s="26">
        <v>7241136</v>
      </c>
      <c r="C45" s="26">
        <v>5541983175</v>
      </c>
      <c r="D45" s="26">
        <v>2</v>
      </c>
      <c r="E45" s="26" t="s">
        <v>16</v>
      </c>
      <c r="F45" s="85">
        <v>6</v>
      </c>
      <c r="G45" s="26" t="s">
        <v>283</v>
      </c>
      <c r="H45" s="26" t="s">
        <v>64</v>
      </c>
      <c r="I45" s="26" t="s">
        <v>65</v>
      </c>
      <c r="J45" s="26">
        <v>6</v>
      </c>
      <c r="K45" s="26">
        <v>7518118</v>
      </c>
      <c r="L45" s="26" t="s">
        <v>174</v>
      </c>
      <c r="M45" s="26" t="s">
        <v>38</v>
      </c>
      <c r="N45" s="48">
        <f>IF(_Shipments[[#This Row],[Embalagem]]="Big Bag",_Shipments[[#This Row],[Qtd.]]*_Shipments[[#This Row],[Qtde. sacos/palete]],_Shipments[[#This Row],[Qtd.]])</f>
        <v>240</v>
      </c>
      <c r="O45" s="49">
        <f>_xlfn.XLOOKUP(_Shipments[[#This Row],[CLN]],[2]Dados!$D:$D,[2]Dados!$R:$R,"-")</f>
        <v>40</v>
      </c>
      <c r="P45" s="49" t="str" cm="1">
        <f t="array" ref="P45">_xlfn.LET(_xlpm.t,_xlfn.XLOOKUP(_Shipments[[#This Row],[CLN]],[2]Dados!$D:$D,[2]Dados!$Q:$Q,"-"),_xlfn.IFS(LEFT(_xlpm.t,3)="PAS","Saco",LEFT(_xlpm.t,3)="PBT","Big Bag",TRUE,"-"))</f>
        <v>Big Bag</v>
      </c>
      <c r="Q45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565.20000000000005</v>
      </c>
      <c r="R45" s="89">
        <f>IF(_Shipments[[#This Row],[Embalagem]]="Big Bag",_Shipments[[#This Row],[Qtd.]],ROUNDUP(_Shipments[[#This Row],[Qtd.]]/_Shipments[[#This Row],[Qtde. sacos/palete]],0))</f>
        <v>6</v>
      </c>
      <c r="S45" s="26" t="s">
        <v>158</v>
      </c>
      <c r="T45" s="51">
        <v>34992119997</v>
      </c>
      <c r="U45" s="26" t="s">
        <v>134</v>
      </c>
      <c r="V45" s="26" t="s">
        <v>135</v>
      </c>
      <c r="W45" s="26" t="s">
        <v>126</v>
      </c>
      <c r="Y45" s="88">
        <v>7242701</v>
      </c>
      <c r="AB45" s="26"/>
    </row>
    <row r="46" spans="1:28" x14ac:dyDescent="0.25">
      <c r="A46" s="47">
        <f>_xlfn.XLOOKUP(_Shipments[[#This Row],[Shipment]],[1]Report!$G:$G,[1]Report!$B:$B,"-")</f>
        <v>46268.375</v>
      </c>
      <c r="B46" s="26">
        <v>7241137</v>
      </c>
      <c r="C46" s="26">
        <v>5541983176</v>
      </c>
      <c r="D46" s="26">
        <v>1</v>
      </c>
      <c r="E46" s="26" t="s">
        <v>16</v>
      </c>
      <c r="F46" s="85">
        <v>21</v>
      </c>
      <c r="G46" s="26" t="s">
        <v>283</v>
      </c>
      <c r="H46" s="26" t="s">
        <v>64</v>
      </c>
      <c r="I46" s="26" t="s">
        <v>65</v>
      </c>
      <c r="J46" s="26">
        <v>21</v>
      </c>
      <c r="K46" s="26">
        <v>7518118</v>
      </c>
      <c r="L46" s="26" t="s">
        <v>174</v>
      </c>
      <c r="M46" s="26" t="s">
        <v>38</v>
      </c>
      <c r="N46" s="48">
        <f>IF(_Shipments[[#This Row],[Embalagem]]="Big Bag",_Shipments[[#This Row],[Qtd.]]*_Shipments[[#This Row],[Qtde. sacos/palete]],_Shipments[[#This Row],[Qtd.]])</f>
        <v>840</v>
      </c>
      <c r="O46" s="49">
        <f>_xlfn.XLOOKUP(_Shipments[[#This Row],[CLN]],[2]Dados!$D:$D,[2]Dados!$R:$R,"-")</f>
        <v>40</v>
      </c>
      <c r="P46" s="49" t="str" cm="1">
        <f t="array" ref="P46">_xlfn.LET(_xlpm.t,_xlfn.XLOOKUP(_Shipments[[#This Row],[CLN]],[2]Dados!$D:$D,[2]Dados!$Q:$Q,"-"),_xlfn.IFS(LEFT(_xlpm.t,3)="PAS","Saco",LEFT(_xlpm.t,3)="PBT","Big Bag",TRUE,"-"))</f>
        <v>Big Bag</v>
      </c>
      <c r="Q46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565.20000000000005</v>
      </c>
      <c r="R46" s="89">
        <f>IF(_Shipments[[#This Row],[Embalagem]]="Big Bag",_Shipments[[#This Row],[Qtd.]],ROUNDUP(_Shipments[[#This Row],[Qtd.]]/_Shipments[[#This Row],[Qtde. sacos/palete]],0))</f>
        <v>21</v>
      </c>
      <c r="S46" s="26" t="s">
        <v>163</v>
      </c>
      <c r="T46" s="51">
        <v>34999233031</v>
      </c>
      <c r="U46" s="26" t="s">
        <v>152</v>
      </c>
      <c r="V46" s="26" t="s">
        <v>153</v>
      </c>
      <c r="W46" s="26" t="s">
        <v>126</v>
      </c>
      <c r="Y46" s="88">
        <v>7242702</v>
      </c>
      <c r="AB46" s="26"/>
    </row>
    <row r="47" spans="1:28" x14ac:dyDescent="0.25">
      <c r="A47" s="47">
        <f>_xlfn.XLOOKUP(_Shipments[[#This Row],[Shipment]],[1]Report!$G:$G,[1]Report!$B:$B,"-")</f>
        <v>46268.375</v>
      </c>
      <c r="B47" s="26">
        <v>7241139</v>
      </c>
      <c r="C47" s="26">
        <v>5541983180</v>
      </c>
      <c r="D47" s="26">
        <v>1</v>
      </c>
      <c r="E47" s="26" t="s">
        <v>16</v>
      </c>
      <c r="F47" s="85">
        <v>21</v>
      </c>
      <c r="G47" s="26" t="s">
        <v>283</v>
      </c>
      <c r="H47" s="26" t="s">
        <v>64</v>
      </c>
      <c r="I47" s="26" t="s">
        <v>65</v>
      </c>
      <c r="J47" s="26">
        <v>21</v>
      </c>
      <c r="K47" s="26">
        <v>7518118</v>
      </c>
      <c r="L47" s="26" t="s">
        <v>174</v>
      </c>
      <c r="M47" s="26" t="s">
        <v>38</v>
      </c>
      <c r="N47" s="48">
        <f>IF(_Shipments[[#This Row],[Embalagem]]="Big Bag",_Shipments[[#This Row],[Qtd.]]*_Shipments[[#This Row],[Qtde. sacos/palete]],_Shipments[[#This Row],[Qtd.]])</f>
        <v>840</v>
      </c>
      <c r="O47" s="49">
        <f>_xlfn.XLOOKUP(_Shipments[[#This Row],[CLN]],[2]Dados!$D:$D,[2]Dados!$R:$R,"-")</f>
        <v>40</v>
      </c>
      <c r="P47" s="49" t="str" cm="1">
        <f t="array" ref="P47">_xlfn.LET(_xlpm.t,_xlfn.XLOOKUP(_Shipments[[#This Row],[CLN]],[2]Dados!$D:$D,[2]Dados!$Q:$Q,"-"),_xlfn.IFS(LEFT(_xlpm.t,3)="PAS","Saco",LEFT(_xlpm.t,3)="PBT","Big Bag",TRUE,"-"))</f>
        <v>Big Bag</v>
      </c>
      <c r="Q47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565.20000000000005</v>
      </c>
      <c r="R47" s="89">
        <f>IF(_Shipments[[#This Row],[Embalagem]]="Big Bag",_Shipments[[#This Row],[Qtd.]],ROUNDUP(_Shipments[[#This Row],[Qtd.]]/_Shipments[[#This Row],[Qtde. sacos/palete]],0))</f>
        <v>21</v>
      </c>
      <c r="S47" s="26" t="s">
        <v>128</v>
      </c>
      <c r="T47" s="51">
        <v>34997330803</v>
      </c>
      <c r="U47" s="26" t="s">
        <v>129</v>
      </c>
      <c r="V47" s="26" t="s">
        <v>130</v>
      </c>
      <c r="W47" s="26" t="s">
        <v>126</v>
      </c>
      <c r="Y47" s="88">
        <v>7242703</v>
      </c>
      <c r="AB47" s="26"/>
    </row>
    <row r="48" spans="1:28" x14ac:dyDescent="0.25">
      <c r="A48" s="47">
        <f>_xlfn.XLOOKUP(_Shipments[[#This Row],[Shipment]],[1]Report!$G:$G,[1]Report!$B:$B,"-")</f>
        <v>46273.333333333336</v>
      </c>
      <c r="B48" s="26">
        <v>7241141</v>
      </c>
      <c r="C48" s="26">
        <v>5541983182</v>
      </c>
      <c r="D48" s="26">
        <v>1</v>
      </c>
      <c r="E48" s="26" t="s">
        <v>16</v>
      </c>
      <c r="F48" s="85">
        <v>3</v>
      </c>
      <c r="G48" s="26" t="s">
        <v>283</v>
      </c>
      <c r="H48" s="26" t="s">
        <v>64</v>
      </c>
      <c r="I48" s="26" t="s">
        <v>65</v>
      </c>
      <c r="J48" s="26">
        <v>3</v>
      </c>
      <c r="K48" s="26">
        <v>7518118</v>
      </c>
      <c r="L48" s="26" t="s">
        <v>174</v>
      </c>
      <c r="M48" s="26" t="s">
        <v>38</v>
      </c>
      <c r="N48" s="48">
        <f>IF(_Shipments[[#This Row],[Embalagem]]="Big Bag",_Shipments[[#This Row],[Qtd.]]*_Shipments[[#This Row],[Qtde. sacos/palete]],_Shipments[[#This Row],[Qtd.]])</f>
        <v>120</v>
      </c>
      <c r="O48" s="49">
        <f>_xlfn.XLOOKUP(_Shipments[[#This Row],[CLN]],[2]Dados!$D:$D,[2]Dados!$R:$R,"-")</f>
        <v>40</v>
      </c>
      <c r="P48" s="49" t="str" cm="1">
        <f t="array" ref="P48">_xlfn.LET(_xlpm.t,_xlfn.XLOOKUP(_Shipments[[#This Row],[CLN]],[2]Dados!$D:$D,[2]Dados!$Q:$Q,"-"),_xlfn.IFS(LEFT(_xlpm.t,3)="PAS","Saco",LEFT(_xlpm.t,3)="PBT","Big Bag",TRUE,"-"))</f>
        <v>Big Bag</v>
      </c>
      <c r="Q48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565.20000000000005</v>
      </c>
      <c r="R48" s="89">
        <f>IF(_Shipments[[#This Row],[Embalagem]]="Big Bag",_Shipments[[#This Row],[Qtd.]],ROUNDUP(_Shipments[[#This Row],[Qtd.]]/_Shipments[[#This Row],[Qtde. sacos/palete]],0))</f>
        <v>3</v>
      </c>
      <c r="S48" s="26" t="s">
        <v>136</v>
      </c>
      <c r="T48" s="51">
        <v>34991030020</v>
      </c>
      <c r="U48" s="26" t="s">
        <v>137</v>
      </c>
      <c r="V48" s="26" t="s">
        <v>220</v>
      </c>
      <c r="W48" s="26" t="s">
        <v>126</v>
      </c>
      <c r="Y48" s="88">
        <v>7242704</v>
      </c>
      <c r="AB48" s="26"/>
    </row>
    <row r="49" spans="1:28" x14ac:dyDescent="0.25">
      <c r="A49" s="47">
        <f>_xlfn.XLOOKUP(_Shipments[[#This Row],[Shipment]],[1]Report!$G:$G,[1]Report!$B:$B,"-")</f>
        <v>46273.333333333336</v>
      </c>
      <c r="B49" s="26">
        <v>7241141</v>
      </c>
      <c r="C49" s="26">
        <v>5541983182</v>
      </c>
      <c r="D49" s="26">
        <v>2</v>
      </c>
      <c r="E49" s="26" t="s">
        <v>16</v>
      </c>
      <c r="F49" s="85">
        <v>18</v>
      </c>
      <c r="G49" s="26" t="s">
        <v>283</v>
      </c>
      <c r="H49" s="26" t="s">
        <v>64</v>
      </c>
      <c r="I49" s="26" t="s">
        <v>65</v>
      </c>
      <c r="J49" s="26">
        <v>18</v>
      </c>
      <c r="K49" s="26">
        <v>7518121</v>
      </c>
      <c r="L49" s="26" t="s">
        <v>175</v>
      </c>
      <c r="M49" s="26" t="s">
        <v>38</v>
      </c>
      <c r="N49" s="48">
        <f>IF(_Shipments[[#This Row],[Embalagem]]="Big Bag",_Shipments[[#This Row],[Qtd.]]*_Shipments[[#This Row],[Qtde. sacos/palete]],_Shipments[[#This Row],[Qtd.]])</f>
        <v>720</v>
      </c>
      <c r="O49" s="49">
        <f>_xlfn.XLOOKUP(_Shipments[[#This Row],[CLN]],[2]Dados!$D:$D,[2]Dados!$R:$R,"-")</f>
        <v>40</v>
      </c>
      <c r="P49" s="49" t="str" cm="1">
        <f t="array" ref="P49">_xlfn.LET(_xlpm.t,_xlfn.XLOOKUP(_Shipments[[#This Row],[CLN]],[2]Dados!$D:$D,[2]Dados!$Q:$Q,"-"),_xlfn.IFS(LEFT(_xlpm.t,3)="PAS","Saco",LEFT(_xlpm.t,3)="PBT","Big Bag",TRUE,"-"))</f>
        <v>Big Bag</v>
      </c>
      <c r="Q49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582.4</v>
      </c>
      <c r="R49" s="89">
        <f>IF(_Shipments[[#This Row],[Embalagem]]="Big Bag",_Shipments[[#This Row],[Qtd.]],ROUNDUP(_Shipments[[#This Row],[Qtd.]]/_Shipments[[#This Row],[Qtde. sacos/palete]],0))</f>
        <v>18</v>
      </c>
      <c r="S49" s="26" t="s">
        <v>136</v>
      </c>
      <c r="T49" s="51">
        <v>34991030020</v>
      </c>
      <c r="U49" s="26" t="s">
        <v>137</v>
      </c>
      <c r="V49" s="26" t="s">
        <v>220</v>
      </c>
      <c r="W49" s="26" t="s">
        <v>126</v>
      </c>
      <c r="Y49" s="88">
        <v>7242802</v>
      </c>
      <c r="AB49" s="26"/>
    </row>
    <row r="50" spans="1:28" x14ac:dyDescent="0.25">
      <c r="A50" s="47">
        <f>_xlfn.XLOOKUP(_Shipments[[#This Row],[Shipment]],[1]Report!$G:$G,[1]Report!$B:$B,"-")</f>
        <v>46273.333333333336</v>
      </c>
      <c r="B50" s="26">
        <v>7241939</v>
      </c>
      <c r="C50" s="26">
        <v>5541984124</v>
      </c>
      <c r="D50" s="26">
        <v>1</v>
      </c>
      <c r="E50" s="26" t="s">
        <v>16</v>
      </c>
      <c r="F50" s="85">
        <v>7</v>
      </c>
      <c r="G50" s="26" t="s">
        <v>283</v>
      </c>
      <c r="H50" s="26" t="s">
        <v>64</v>
      </c>
      <c r="I50" s="26" t="s">
        <v>65</v>
      </c>
      <c r="J50" s="26">
        <v>7</v>
      </c>
      <c r="K50" s="26">
        <v>7518121</v>
      </c>
      <c r="L50" s="26" t="s">
        <v>175</v>
      </c>
      <c r="M50" s="26" t="s">
        <v>38</v>
      </c>
      <c r="N50" s="48">
        <f>IF(_Shipments[[#This Row],[Embalagem]]="Big Bag",_Shipments[[#This Row],[Qtd.]]*_Shipments[[#This Row],[Qtde. sacos/palete]],_Shipments[[#This Row],[Qtd.]])</f>
        <v>280</v>
      </c>
      <c r="O50" s="49">
        <f>_xlfn.XLOOKUP(_Shipments[[#This Row],[CLN]],[2]Dados!$D:$D,[2]Dados!$R:$R,"-")</f>
        <v>40</v>
      </c>
      <c r="P50" s="49" t="str" cm="1">
        <f t="array" ref="P50">_xlfn.LET(_xlpm.t,_xlfn.XLOOKUP(_Shipments[[#This Row],[CLN]],[2]Dados!$D:$D,[2]Dados!$Q:$Q,"-"),_xlfn.IFS(LEFT(_xlpm.t,3)="PAS","Saco",LEFT(_xlpm.t,3)="PBT","Big Bag",TRUE,"-"))</f>
        <v>Big Bag</v>
      </c>
      <c r="Q50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582.4</v>
      </c>
      <c r="R50" s="89">
        <f>IF(_Shipments[[#This Row],[Embalagem]]="Big Bag",_Shipments[[#This Row],[Qtd.]],ROUNDUP(_Shipments[[#This Row],[Qtd.]]/_Shipments[[#This Row],[Qtde. sacos/palete]],0))</f>
        <v>7</v>
      </c>
      <c r="S50" s="26" t="s">
        <v>131</v>
      </c>
      <c r="T50" s="51">
        <v>34999248710</v>
      </c>
      <c r="U50" s="26" t="s">
        <v>132</v>
      </c>
      <c r="V50" s="26" t="s">
        <v>133</v>
      </c>
      <c r="W50" s="26" t="s">
        <v>126</v>
      </c>
      <c r="Y50" s="88">
        <v>7242804</v>
      </c>
      <c r="AB50" s="26"/>
    </row>
    <row r="51" spans="1:28" x14ac:dyDescent="0.25">
      <c r="A51" s="47">
        <f>_xlfn.XLOOKUP(_Shipments[[#This Row],[Shipment]],[1]Report!$G:$G,[1]Report!$B:$B,"-")</f>
        <v>46273.333333333336</v>
      </c>
      <c r="B51" s="26">
        <v>7241939</v>
      </c>
      <c r="C51" s="26">
        <v>5541984124</v>
      </c>
      <c r="D51" s="26">
        <v>2</v>
      </c>
      <c r="E51" s="26" t="s">
        <v>16</v>
      </c>
      <c r="F51" s="85">
        <v>14</v>
      </c>
      <c r="G51" s="26" t="s">
        <v>283</v>
      </c>
      <c r="H51" s="26" t="s">
        <v>64</v>
      </c>
      <c r="I51" s="26" t="s">
        <v>65</v>
      </c>
      <c r="J51" s="26">
        <v>14</v>
      </c>
      <c r="K51" s="26">
        <v>7518128</v>
      </c>
      <c r="L51" s="26" t="s">
        <v>176</v>
      </c>
      <c r="M51" s="26" t="s">
        <v>38</v>
      </c>
      <c r="N51" s="48">
        <f>IF(_Shipments[[#This Row],[Embalagem]]="Big Bag",_Shipments[[#This Row],[Qtd.]]*_Shipments[[#This Row],[Qtde. sacos/palete]],_Shipments[[#This Row],[Qtd.]])</f>
        <v>560</v>
      </c>
      <c r="O51" s="49">
        <f>_xlfn.XLOOKUP(_Shipments[[#This Row],[CLN]],[2]Dados!$D:$D,[2]Dados!$R:$R,"-")</f>
        <v>40</v>
      </c>
      <c r="P51" s="49" t="str" cm="1">
        <f t="array" ref="P51">_xlfn.LET(_xlpm.t,_xlfn.XLOOKUP(_Shipments[[#This Row],[CLN]],[2]Dados!$D:$D,[2]Dados!$Q:$Q,"-"),_xlfn.IFS(LEFT(_xlpm.t,3)="PAS","Saco",LEFT(_xlpm.t,3)="PBT","Big Bag",TRUE,"-"))</f>
        <v>Big Bag</v>
      </c>
      <c r="Q51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603.6</v>
      </c>
      <c r="R51" s="89">
        <f>IF(_Shipments[[#This Row],[Embalagem]]="Big Bag",_Shipments[[#This Row],[Qtd.]],ROUNDUP(_Shipments[[#This Row],[Qtd.]]/_Shipments[[#This Row],[Qtde. sacos/palete]],0))</f>
        <v>14</v>
      </c>
      <c r="S51" s="26" t="s">
        <v>131</v>
      </c>
      <c r="T51" s="51">
        <v>34999248710</v>
      </c>
      <c r="U51" s="26" t="s">
        <v>132</v>
      </c>
      <c r="V51" s="26" t="s">
        <v>133</v>
      </c>
      <c r="W51" s="26" t="s">
        <v>126</v>
      </c>
      <c r="Y51" s="88">
        <v>7242805</v>
      </c>
      <c r="AB51" s="26"/>
    </row>
    <row r="52" spans="1:28" x14ac:dyDescent="0.25">
      <c r="A52" s="47">
        <f>_xlfn.XLOOKUP(_Shipments[[#This Row],[Shipment]],[1]Report!$G:$G,[1]Report!$B:$B,"-")</f>
        <v>46273.375</v>
      </c>
      <c r="B52" s="26">
        <v>7241940</v>
      </c>
      <c r="C52" s="26">
        <v>5541984125</v>
      </c>
      <c r="D52" s="26">
        <v>1</v>
      </c>
      <c r="E52" s="26" t="s">
        <v>16</v>
      </c>
      <c r="F52" s="85">
        <v>19</v>
      </c>
      <c r="G52" s="26" t="s">
        <v>283</v>
      </c>
      <c r="H52" s="26" t="s">
        <v>64</v>
      </c>
      <c r="I52" s="26" t="s">
        <v>65</v>
      </c>
      <c r="J52" s="26">
        <v>19</v>
      </c>
      <c r="K52" s="26">
        <v>7518128</v>
      </c>
      <c r="L52" s="26" t="s">
        <v>176</v>
      </c>
      <c r="M52" s="26" t="s">
        <v>38</v>
      </c>
      <c r="N52" s="48">
        <f>IF(_Shipments[[#This Row],[Embalagem]]="Big Bag",_Shipments[[#This Row],[Qtd.]]*_Shipments[[#This Row],[Qtde. sacos/palete]],_Shipments[[#This Row],[Qtd.]])</f>
        <v>760</v>
      </c>
      <c r="O52" s="49">
        <f>_xlfn.XLOOKUP(_Shipments[[#This Row],[CLN]],[2]Dados!$D:$D,[2]Dados!$R:$R,"-")</f>
        <v>40</v>
      </c>
      <c r="P52" s="49" t="str" cm="1">
        <f t="array" ref="P52">_xlfn.LET(_xlpm.t,_xlfn.XLOOKUP(_Shipments[[#This Row],[CLN]],[2]Dados!$D:$D,[2]Dados!$Q:$Q,"-"),_xlfn.IFS(LEFT(_xlpm.t,3)="PAS","Saco",LEFT(_xlpm.t,3)="PBT","Big Bag",TRUE,"-"))</f>
        <v>Big Bag</v>
      </c>
      <c r="Q52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603.6</v>
      </c>
      <c r="R52" s="89">
        <f>IF(_Shipments[[#This Row],[Embalagem]]="Big Bag",_Shipments[[#This Row],[Qtd.]],ROUNDUP(_Shipments[[#This Row],[Qtd.]]/_Shipments[[#This Row],[Qtde. sacos/palete]],0))</f>
        <v>19</v>
      </c>
      <c r="S52" s="26" t="s">
        <v>225</v>
      </c>
      <c r="T52" s="51">
        <v>34991337791</v>
      </c>
      <c r="U52" s="26" t="s">
        <v>120</v>
      </c>
      <c r="V52" s="26" t="s">
        <v>121</v>
      </c>
      <c r="W52" s="26" t="s">
        <v>126</v>
      </c>
      <c r="Y52" s="88">
        <v>7242807</v>
      </c>
      <c r="AB52" s="26"/>
    </row>
    <row r="53" spans="1:28" x14ac:dyDescent="0.25">
      <c r="A53" s="47">
        <f>_xlfn.XLOOKUP(_Shipments[[#This Row],[Shipment]],[1]Report!$G:$G,[1]Report!$B:$B,"-")</f>
        <v>46273.375</v>
      </c>
      <c r="B53" s="26">
        <v>7241940</v>
      </c>
      <c r="C53" s="26">
        <v>5541984125</v>
      </c>
      <c r="D53" s="26">
        <v>2</v>
      </c>
      <c r="E53" s="26" t="s">
        <v>16</v>
      </c>
      <c r="F53" s="85">
        <v>2</v>
      </c>
      <c r="G53" s="26" t="s">
        <v>283</v>
      </c>
      <c r="H53" s="26" t="s">
        <v>64</v>
      </c>
      <c r="I53" s="26" t="s">
        <v>65</v>
      </c>
      <c r="J53" s="26">
        <v>2</v>
      </c>
      <c r="K53" s="26">
        <v>7518135</v>
      </c>
      <c r="L53" s="26" t="s">
        <v>177</v>
      </c>
      <c r="M53" s="26" t="s">
        <v>46</v>
      </c>
      <c r="N53" s="48">
        <f>IF(_Shipments[[#This Row],[Embalagem]]="Big Bag",_Shipments[[#This Row],[Qtd.]]*_Shipments[[#This Row],[Qtde. sacos/palete]],_Shipments[[#This Row],[Qtd.]])</f>
        <v>80</v>
      </c>
      <c r="O53" s="49">
        <f>_xlfn.XLOOKUP(_Shipments[[#This Row],[CLN]],[2]Dados!$D:$D,[2]Dados!$R:$R,"-")</f>
        <v>40</v>
      </c>
      <c r="P53" s="49" t="str" cm="1">
        <f t="array" ref="P53">_xlfn.LET(_xlpm.t,_xlfn.XLOOKUP(_Shipments[[#This Row],[CLN]],[2]Dados!$D:$D,[2]Dados!$Q:$Q,"-"),_xlfn.IFS(LEFT(_xlpm.t,3)="PAS","Saco",LEFT(_xlpm.t,3)="PBT","Big Bag",TRUE,"-"))</f>
        <v>Big Bag</v>
      </c>
      <c r="Q53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676.4</v>
      </c>
      <c r="R53" s="89">
        <f>IF(_Shipments[[#This Row],[Embalagem]]="Big Bag",_Shipments[[#This Row],[Qtd.]],ROUNDUP(_Shipments[[#This Row],[Qtd.]]/_Shipments[[#This Row],[Qtde. sacos/palete]],0))</f>
        <v>2</v>
      </c>
      <c r="S53" s="26" t="s">
        <v>225</v>
      </c>
      <c r="T53" s="51">
        <v>34991337791</v>
      </c>
      <c r="U53" s="26" t="s">
        <v>120</v>
      </c>
      <c r="V53" s="26" t="s">
        <v>121</v>
      </c>
      <c r="W53" s="26" t="s">
        <v>126</v>
      </c>
      <c r="Y53" s="88">
        <v>7242808</v>
      </c>
      <c r="AB53" s="26"/>
    </row>
    <row r="54" spans="1:28" x14ac:dyDescent="0.25">
      <c r="A54" s="47">
        <f>_xlfn.XLOOKUP(_Shipments[[#This Row],[Shipment]],[1]Report!$G:$G,[1]Report!$B:$B,"-")</f>
        <v>46273.375</v>
      </c>
      <c r="B54" s="26">
        <v>7241941</v>
      </c>
      <c r="C54" s="26">
        <v>5541984126</v>
      </c>
      <c r="D54" s="26">
        <v>1</v>
      </c>
      <c r="E54" s="26" t="s">
        <v>16</v>
      </c>
      <c r="F54" s="85">
        <v>21</v>
      </c>
      <c r="G54" s="26" t="s">
        <v>283</v>
      </c>
      <c r="H54" s="26" t="s">
        <v>64</v>
      </c>
      <c r="I54" s="26" t="s">
        <v>65</v>
      </c>
      <c r="J54" s="26">
        <v>21</v>
      </c>
      <c r="K54" s="26">
        <v>7518135</v>
      </c>
      <c r="L54" s="26" t="s">
        <v>177</v>
      </c>
      <c r="M54" s="26" t="s">
        <v>46</v>
      </c>
      <c r="N54" s="48">
        <f>IF(_Shipments[[#This Row],[Embalagem]]="Big Bag",_Shipments[[#This Row],[Qtd.]]*_Shipments[[#This Row],[Qtde. sacos/palete]],_Shipments[[#This Row],[Qtd.]])</f>
        <v>840</v>
      </c>
      <c r="O54" s="49">
        <f>_xlfn.XLOOKUP(_Shipments[[#This Row],[CLN]],[2]Dados!$D:$D,[2]Dados!$R:$R,"-")</f>
        <v>40</v>
      </c>
      <c r="P54" s="49" t="str" cm="1">
        <f t="array" ref="P54">_xlfn.LET(_xlpm.t,_xlfn.XLOOKUP(_Shipments[[#This Row],[CLN]],[2]Dados!$D:$D,[2]Dados!$Q:$Q,"-"),_xlfn.IFS(LEFT(_xlpm.t,3)="PAS","Saco",LEFT(_xlpm.t,3)="PBT","Big Bag",TRUE,"-"))</f>
        <v>Big Bag</v>
      </c>
      <c r="Q54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676.4</v>
      </c>
      <c r="R54" s="89">
        <f>IF(_Shipments[[#This Row],[Embalagem]]="Big Bag",_Shipments[[#This Row],[Qtd.]],ROUNDUP(_Shipments[[#This Row],[Qtd.]]/_Shipments[[#This Row],[Qtde. sacos/palete]],0))</f>
        <v>21</v>
      </c>
      <c r="S54" s="26" t="s">
        <v>161</v>
      </c>
      <c r="T54" s="51">
        <v>34999994801</v>
      </c>
      <c r="U54" s="26" t="s">
        <v>148</v>
      </c>
      <c r="V54" s="26" t="s">
        <v>149</v>
      </c>
      <c r="W54" s="26" t="s">
        <v>126</v>
      </c>
      <c r="Y54" s="88">
        <v>7242811</v>
      </c>
      <c r="AB54" s="26"/>
    </row>
    <row r="55" spans="1:28" x14ac:dyDescent="0.25">
      <c r="A55" s="47">
        <f>_xlfn.XLOOKUP(_Shipments[[#This Row],[Shipment]],[1]Report!$G:$G,[1]Report!$B:$B,"-")</f>
        <v>46274.333333333336</v>
      </c>
      <c r="B55" s="26">
        <v>7241943</v>
      </c>
      <c r="C55" s="26">
        <v>5541984127</v>
      </c>
      <c r="D55" s="26">
        <v>1</v>
      </c>
      <c r="E55" s="26" t="s">
        <v>16</v>
      </c>
      <c r="F55" s="85">
        <v>14</v>
      </c>
      <c r="G55" s="26" t="s">
        <v>283</v>
      </c>
      <c r="H55" s="26" t="s">
        <v>64</v>
      </c>
      <c r="I55" s="26" t="s">
        <v>65</v>
      </c>
      <c r="J55" s="26">
        <v>14</v>
      </c>
      <c r="K55" s="26">
        <v>7518135</v>
      </c>
      <c r="L55" s="26" t="s">
        <v>177</v>
      </c>
      <c r="M55" s="26" t="s">
        <v>46</v>
      </c>
      <c r="N55" s="48">
        <f>IF(_Shipments[[#This Row],[Embalagem]]="Big Bag",_Shipments[[#This Row],[Qtd.]]*_Shipments[[#This Row],[Qtde. sacos/palete]],_Shipments[[#This Row],[Qtd.]])</f>
        <v>560</v>
      </c>
      <c r="O55" s="49">
        <f>_xlfn.XLOOKUP(_Shipments[[#This Row],[CLN]],[2]Dados!$D:$D,[2]Dados!$R:$R,"-")</f>
        <v>40</v>
      </c>
      <c r="P55" s="49" t="str" cm="1">
        <f t="array" ref="P55">_xlfn.LET(_xlpm.t,_xlfn.XLOOKUP(_Shipments[[#This Row],[CLN]],[2]Dados!$D:$D,[2]Dados!$Q:$Q,"-"),_xlfn.IFS(LEFT(_xlpm.t,3)="PAS","Saco",LEFT(_xlpm.t,3)="PBT","Big Bag",TRUE,"-"))</f>
        <v>Big Bag</v>
      </c>
      <c r="Q55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676.4</v>
      </c>
      <c r="R55" s="89">
        <f>IF(_Shipments[[#This Row],[Embalagem]]="Big Bag",_Shipments[[#This Row],[Qtd.]],ROUNDUP(_Shipments[[#This Row],[Qtd.]]/_Shipments[[#This Row],[Qtde. sacos/palete]],0))</f>
        <v>14</v>
      </c>
      <c r="S55" s="26" t="s">
        <v>138</v>
      </c>
      <c r="T55" s="51">
        <v>34991718554</v>
      </c>
      <c r="U55" s="26" t="s">
        <v>139</v>
      </c>
      <c r="V55" s="26" t="s">
        <v>140</v>
      </c>
      <c r="W55" s="26" t="s">
        <v>126</v>
      </c>
      <c r="Y55" s="88">
        <v>7242816</v>
      </c>
      <c r="AB55" s="26"/>
    </row>
    <row r="56" spans="1:28" x14ac:dyDescent="0.25">
      <c r="A56" s="47">
        <f>_xlfn.XLOOKUP(_Shipments[[#This Row],[Shipment]],[1]Report!$G:$G,[1]Report!$B:$B,"-")</f>
        <v>46274.333333333336</v>
      </c>
      <c r="B56" s="26">
        <v>7241943</v>
      </c>
      <c r="C56" s="26">
        <v>5541984127</v>
      </c>
      <c r="D56" s="26">
        <v>2</v>
      </c>
      <c r="E56" s="26" t="s">
        <v>13</v>
      </c>
      <c r="F56" s="85">
        <v>7</v>
      </c>
      <c r="G56" s="26" t="s">
        <v>283</v>
      </c>
      <c r="H56" s="26" t="s">
        <v>64</v>
      </c>
      <c r="I56" s="26" t="s">
        <v>65</v>
      </c>
      <c r="J56" s="26">
        <v>7</v>
      </c>
      <c r="K56" s="26">
        <v>7518212</v>
      </c>
      <c r="L56" s="26" t="s">
        <v>193</v>
      </c>
      <c r="M56" s="26" t="s">
        <v>35</v>
      </c>
      <c r="N56" s="48">
        <f>IF(_Shipments[[#This Row],[Embalagem]]="Big Bag",_Shipments[[#This Row],[Qtd.]]*_Shipments[[#This Row],[Qtde. sacos/palete]],_Shipments[[#This Row],[Qtd.]])</f>
        <v>280</v>
      </c>
      <c r="O56" s="49">
        <f>_xlfn.XLOOKUP(_Shipments[[#This Row],[CLN]],[2]Dados!$D:$D,[2]Dados!$R:$R,"-")</f>
        <v>40</v>
      </c>
      <c r="P56" s="49" t="str" cm="1">
        <f t="array" ref="P56">_xlfn.LET(_xlpm.t,_xlfn.XLOOKUP(_Shipments[[#This Row],[CLN]],[2]Dados!$D:$D,[2]Dados!$Q:$Q,"-"),_xlfn.IFS(LEFT(_xlpm.t,3)="PAS","Saco",LEFT(_xlpm.t,3)="PBT","Big Bag",TRUE,"-"))</f>
        <v>Big Bag</v>
      </c>
      <c r="Q56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683.6</v>
      </c>
      <c r="R56" s="89">
        <f>IF(_Shipments[[#This Row],[Embalagem]]="Big Bag",_Shipments[[#This Row],[Qtd.]],ROUNDUP(_Shipments[[#This Row],[Qtd.]]/_Shipments[[#This Row],[Qtde. sacos/palete]],0))</f>
        <v>7</v>
      </c>
      <c r="S56" s="26" t="s">
        <v>138</v>
      </c>
      <c r="T56" s="51">
        <v>34991718554</v>
      </c>
      <c r="U56" s="26" t="s">
        <v>139</v>
      </c>
      <c r="V56" s="26" t="s">
        <v>140</v>
      </c>
      <c r="W56" s="26" t="s">
        <v>126</v>
      </c>
      <c r="Y56" s="88">
        <v>7242819</v>
      </c>
      <c r="AB56" s="26"/>
    </row>
    <row r="57" spans="1:28" x14ac:dyDescent="0.25">
      <c r="A57" s="47">
        <f>_xlfn.XLOOKUP(_Shipments[[#This Row],[Shipment]],[1]Report!$G:$G,[1]Report!$B:$B,"-")</f>
        <v>46274.333333333336</v>
      </c>
      <c r="B57" s="26">
        <v>7241944</v>
      </c>
      <c r="C57" s="26">
        <v>5541984128</v>
      </c>
      <c r="D57" s="26">
        <v>1</v>
      </c>
      <c r="E57" s="26" t="s">
        <v>13</v>
      </c>
      <c r="F57" s="85">
        <v>21</v>
      </c>
      <c r="G57" s="26" t="s">
        <v>283</v>
      </c>
      <c r="H57" s="26" t="s">
        <v>64</v>
      </c>
      <c r="I57" s="26" t="s">
        <v>65</v>
      </c>
      <c r="J57" s="26">
        <v>21</v>
      </c>
      <c r="K57" s="26">
        <v>7518212</v>
      </c>
      <c r="L57" s="26" t="s">
        <v>193</v>
      </c>
      <c r="M57" s="26" t="s">
        <v>35</v>
      </c>
      <c r="N57" s="48">
        <f>IF(_Shipments[[#This Row],[Embalagem]]="Big Bag",_Shipments[[#This Row],[Qtd.]]*_Shipments[[#This Row],[Qtde. sacos/palete]],_Shipments[[#This Row],[Qtd.]])</f>
        <v>840</v>
      </c>
      <c r="O57" s="49">
        <f>_xlfn.XLOOKUP(_Shipments[[#This Row],[CLN]],[2]Dados!$D:$D,[2]Dados!$R:$R,"-")</f>
        <v>40</v>
      </c>
      <c r="P57" s="49" t="str" cm="1">
        <f t="array" ref="P57">_xlfn.LET(_xlpm.t,_xlfn.XLOOKUP(_Shipments[[#This Row],[CLN]],[2]Dados!$D:$D,[2]Dados!$Q:$Q,"-"),_xlfn.IFS(LEFT(_xlpm.t,3)="PAS","Saco",LEFT(_xlpm.t,3)="PBT","Big Bag",TRUE,"-"))</f>
        <v>Big Bag</v>
      </c>
      <c r="Q57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683.6</v>
      </c>
      <c r="R57" s="89">
        <f>IF(_Shipments[[#This Row],[Embalagem]]="Big Bag",_Shipments[[#This Row],[Qtd.]],ROUNDUP(_Shipments[[#This Row],[Qtd.]]/_Shipments[[#This Row],[Qtde. sacos/palete]],0))</f>
        <v>21</v>
      </c>
      <c r="S57" s="26" t="s">
        <v>222</v>
      </c>
      <c r="T57" s="51">
        <v>34999252985</v>
      </c>
      <c r="U57" s="26" t="s">
        <v>223</v>
      </c>
      <c r="V57" s="26" t="s">
        <v>224</v>
      </c>
      <c r="W57" s="26" t="s">
        <v>126</v>
      </c>
      <c r="Y57" s="88">
        <v>7242822</v>
      </c>
    </row>
    <row r="58" spans="1:28" x14ac:dyDescent="0.25">
      <c r="A58" s="47">
        <f>_xlfn.XLOOKUP(_Shipments[[#This Row],[Shipment]],[1]Report!$G:$G,[1]Report!$B:$B,"-")</f>
        <v>46274.375</v>
      </c>
      <c r="B58" s="26">
        <v>7241945</v>
      </c>
      <c r="C58" s="26">
        <v>5541984129</v>
      </c>
      <c r="D58" s="26">
        <v>1</v>
      </c>
      <c r="E58" s="26" t="s">
        <v>16</v>
      </c>
      <c r="F58" s="85">
        <v>21</v>
      </c>
      <c r="G58" s="26" t="s">
        <v>283</v>
      </c>
      <c r="H58" s="26" t="s">
        <v>64</v>
      </c>
      <c r="I58" s="26" t="s">
        <v>65</v>
      </c>
      <c r="J58" s="26">
        <v>21</v>
      </c>
      <c r="K58" s="26">
        <v>7518141</v>
      </c>
      <c r="L58" s="26" t="s">
        <v>194</v>
      </c>
      <c r="M58" s="26" t="s">
        <v>46</v>
      </c>
      <c r="N58" s="48">
        <f>IF(_Shipments[[#This Row],[Embalagem]]="Big Bag",_Shipments[[#This Row],[Qtd.]]*_Shipments[[#This Row],[Qtde. sacos/palete]],_Shipments[[#This Row],[Qtd.]])</f>
        <v>840</v>
      </c>
      <c r="O58" s="49">
        <f>_xlfn.XLOOKUP(_Shipments[[#This Row],[CLN]],[2]Dados!$D:$D,[2]Dados!$R:$R,"-")</f>
        <v>40</v>
      </c>
      <c r="P58" s="49" t="str" cm="1">
        <f t="array" ref="P58">_xlfn.LET(_xlpm.t,_xlfn.XLOOKUP(_Shipments[[#This Row],[CLN]],[2]Dados!$D:$D,[2]Dados!$Q:$Q,"-"),_xlfn.IFS(LEFT(_xlpm.t,3)="PAS","Saco",LEFT(_xlpm.t,3)="PBT","Big Bag",TRUE,"-"))</f>
        <v>Big Bag</v>
      </c>
      <c r="Q58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698.40000000000009</v>
      </c>
      <c r="R58" s="89">
        <f>IF(_Shipments[[#This Row],[Embalagem]]="Big Bag",_Shipments[[#This Row],[Qtd.]],ROUNDUP(_Shipments[[#This Row],[Qtd.]]/_Shipments[[#This Row],[Qtde. sacos/palete]],0))</f>
        <v>21</v>
      </c>
      <c r="S58" s="26" t="s">
        <v>221</v>
      </c>
      <c r="T58" s="51">
        <v>34997243006</v>
      </c>
      <c r="U58" s="26" t="s">
        <v>181</v>
      </c>
      <c r="V58" s="26" t="s">
        <v>182</v>
      </c>
      <c r="W58" s="26" t="s">
        <v>126</v>
      </c>
      <c r="Y58" s="88">
        <v>7242827</v>
      </c>
    </row>
    <row r="59" spans="1:28" x14ac:dyDescent="0.25">
      <c r="A59" s="47">
        <f>_xlfn.XLOOKUP(_Shipments[[#This Row],[Shipment]],[1]Report!$G:$G,[1]Report!$B:$B,"-")</f>
        <v>46274.375</v>
      </c>
      <c r="B59" s="26">
        <v>7241946</v>
      </c>
      <c r="C59" s="26">
        <v>5541984130</v>
      </c>
      <c r="D59" s="26">
        <v>1</v>
      </c>
      <c r="E59" s="26" t="s">
        <v>16</v>
      </c>
      <c r="F59" s="85">
        <v>17</v>
      </c>
      <c r="G59" s="26" t="s">
        <v>283</v>
      </c>
      <c r="H59" s="26" t="s">
        <v>64</v>
      </c>
      <c r="I59" s="26" t="s">
        <v>65</v>
      </c>
      <c r="J59" s="26">
        <v>17</v>
      </c>
      <c r="K59" s="26">
        <v>7518141</v>
      </c>
      <c r="L59" s="26" t="s">
        <v>194</v>
      </c>
      <c r="M59" s="26" t="s">
        <v>46</v>
      </c>
      <c r="N59" s="48">
        <f>IF(_Shipments[[#This Row],[Embalagem]]="Big Bag",_Shipments[[#This Row],[Qtd.]]*_Shipments[[#This Row],[Qtde. sacos/palete]],_Shipments[[#This Row],[Qtd.]])</f>
        <v>680</v>
      </c>
      <c r="O59" s="49">
        <f>_xlfn.XLOOKUP(_Shipments[[#This Row],[CLN]],[2]Dados!$D:$D,[2]Dados!$R:$R,"-")</f>
        <v>40</v>
      </c>
      <c r="P59" s="49" t="str" cm="1">
        <f t="array" ref="P59">_xlfn.LET(_xlpm.t,_xlfn.XLOOKUP(_Shipments[[#This Row],[CLN]],[2]Dados!$D:$D,[2]Dados!$Q:$Q,"-"),_xlfn.IFS(LEFT(_xlpm.t,3)="PAS","Saco",LEFT(_xlpm.t,3)="PBT","Big Bag",TRUE,"-"))</f>
        <v>Big Bag</v>
      </c>
      <c r="Q59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698.40000000000009</v>
      </c>
      <c r="R59" s="89">
        <f>IF(_Shipments[[#This Row],[Embalagem]]="Big Bag",_Shipments[[#This Row],[Qtd.]],ROUNDUP(_Shipments[[#This Row],[Qtd.]]/_Shipments[[#This Row],[Qtde. sacos/palete]],0))</f>
        <v>17</v>
      </c>
      <c r="S59" s="26" t="s">
        <v>128</v>
      </c>
      <c r="T59" s="51">
        <v>34997330803</v>
      </c>
      <c r="U59" s="26" t="s">
        <v>129</v>
      </c>
      <c r="V59" s="26" t="s">
        <v>130</v>
      </c>
      <c r="W59" s="26" t="s">
        <v>126</v>
      </c>
      <c r="Y59" s="88">
        <v>7242830</v>
      </c>
    </row>
    <row r="60" spans="1:28" x14ac:dyDescent="0.25">
      <c r="A60" s="47">
        <f>_xlfn.XLOOKUP(_Shipments[[#This Row],[Shipment]],[1]Report!$G:$G,[1]Report!$B:$B,"-")</f>
        <v>46274.375</v>
      </c>
      <c r="B60" s="26">
        <v>7241946</v>
      </c>
      <c r="C60" s="26">
        <v>5541984130</v>
      </c>
      <c r="D60" s="26">
        <v>2</v>
      </c>
      <c r="E60" s="26" t="s">
        <v>16</v>
      </c>
      <c r="F60" s="85">
        <v>3</v>
      </c>
      <c r="G60" s="26" t="s">
        <v>283</v>
      </c>
      <c r="H60" s="26" t="s">
        <v>64</v>
      </c>
      <c r="I60" s="26" t="s">
        <v>65</v>
      </c>
      <c r="J60" s="26">
        <v>3</v>
      </c>
      <c r="K60" s="26">
        <v>7518145</v>
      </c>
      <c r="L60" s="26" t="s">
        <v>195</v>
      </c>
      <c r="M60" s="26" t="s">
        <v>46</v>
      </c>
      <c r="N60" s="48">
        <f>IF(_Shipments[[#This Row],[Embalagem]]="Big Bag",_Shipments[[#This Row],[Qtd.]]*_Shipments[[#This Row],[Qtde. sacos/palete]],_Shipments[[#This Row],[Qtd.]])</f>
        <v>120</v>
      </c>
      <c r="O60" s="49">
        <f>_xlfn.XLOOKUP(_Shipments[[#This Row],[CLN]],[2]Dados!$D:$D,[2]Dados!$R:$R,"-")</f>
        <v>40</v>
      </c>
      <c r="P60" s="49" t="str" cm="1">
        <f t="array" ref="P60">_xlfn.LET(_xlpm.t,_xlfn.XLOOKUP(_Shipments[[#This Row],[CLN]],[2]Dados!$D:$D,[2]Dados!$Q:$Q,"-"),_xlfn.IFS(LEFT(_xlpm.t,3)="PAS","Saco",LEFT(_xlpm.t,3)="PBT","Big Bag",TRUE,"-"))</f>
        <v>Big Bag</v>
      </c>
      <c r="Q60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678.40000000000009</v>
      </c>
      <c r="R60" s="89">
        <f>IF(_Shipments[[#This Row],[Embalagem]]="Big Bag",_Shipments[[#This Row],[Qtd.]],ROUNDUP(_Shipments[[#This Row],[Qtd.]]/_Shipments[[#This Row],[Qtde. sacos/palete]],0))</f>
        <v>3</v>
      </c>
      <c r="S60" s="26" t="s">
        <v>128</v>
      </c>
      <c r="T60" s="51">
        <v>34997330803</v>
      </c>
      <c r="U60" s="26" t="s">
        <v>129</v>
      </c>
      <c r="V60" s="26" t="s">
        <v>130</v>
      </c>
      <c r="W60" s="26" t="s">
        <v>126</v>
      </c>
      <c r="Y60" s="88">
        <v>7242833</v>
      </c>
    </row>
    <row r="61" spans="1:28" x14ac:dyDescent="0.25">
      <c r="A61" s="47">
        <f>_xlfn.XLOOKUP(_Shipments[[#This Row],[Shipment]],[1]Report!$G:$G,[1]Report!$B:$B,"-")</f>
        <v>46275.333333333336</v>
      </c>
      <c r="B61" s="26">
        <v>7241954</v>
      </c>
      <c r="C61" s="26">
        <v>5541984145</v>
      </c>
      <c r="D61" s="26">
        <v>1</v>
      </c>
      <c r="E61" s="26" t="s">
        <v>36</v>
      </c>
      <c r="F61" s="85">
        <v>31</v>
      </c>
      <c r="G61" s="26" t="s">
        <v>283</v>
      </c>
      <c r="H61" s="26" t="s">
        <v>64</v>
      </c>
      <c r="I61" s="26" t="s">
        <v>65</v>
      </c>
      <c r="J61" s="26">
        <v>31</v>
      </c>
      <c r="K61" s="26">
        <v>7550845</v>
      </c>
      <c r="L61" s="26" t="s">
        <v>196</v>
      </c>
      <c r="M61" s="26" t="s">
        <v>38</v>
      </c>
      <c r="N61" s="48">
        <f>IF(_Shipments[[#This Row],[Embalagem]]="Big Bag",_Shipments[[#This Row],[Qtd.]]*_Shipments[[#This Row],[Qtde. sacos/palete]],_Shipments[[#This Row],[Qtd.]])</f>
        <v>31</v>
      </c>
      <c r="O61" s="49">
        <f>_xlfn.XLOOKUP(_Shipments[[#This Row],[CLN]],[2]Dados!$D:$D,[2]Dados!$R:$R,"-")</f>
        <v>60</v>
      </c>
      <c r="P61" s="49" t="str" cm="1">
        <f t="array" ref="P61">_xlfn.LET(_xlpm.t,_xlfn.XLOOKUP(_Shipments[[#This Row],[CLN]],[2]Dados!$D:$D,[2]Dados!$Q:$Q,"-"),_xlfn.IFS(LEFT(_xlpm.t,3)="PAS","Saco",LEFT(_xlpm.t,3)="PBT","Big Bag",TRUE,"-"))</f>
        <v>Saco</v>
      </c>
      <c r="Q61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14.94</v>
      </c>
      <c r="R61" s="89">
        <f>IF(_Shipments[[#This Row],[Embalagem]]="Big Bag",_Shipments[[#This Row],[Qtd.]],ROUNDUP(_Shipments[[#This Row],[Qtd.]]/_Shipments[[#This Row],[Qtde. sacos/palete]],0))</f>
        <v>1</v>
      </c>
      <c r="S61" s="26" t="s">
        <v>131</v>
      </c>
      <c r="T61" s="51">
        <v>34999248710</v>
      </c>
      <c r="U61" s="26" t="s">
        <v>132</v>
      </c>
      <c r="V61" s="26" t="s">
        <v>133</v>
      </c>
      <c r="W61" s="26" t="s">
        <v>126</v>
      </c>
      <c r="Y61" s="88">
        <v>7242836</v>
      </c>
    </row>
    <row r="62" spans="1:28" x14ac:dyDescent="0.25">
      <c r="A62" s="47">
        <f>_xlfn.XLOOKUP(_Shipments[[#This Row],[Shipment]],[1]Report!$G:$G,[1]Report!$B:$B,"-")</f>
        <v>46275.333333333336</v>
      </c>
      <c r="B62" s="26">
        <v>7241954</v>
      </c>
      <c r="C62" s="26">
        <v>5541984145</v>
      </c>
      <c r="D62" s="26">
        <v>2</v>
      </c>
      <c r="E62" s="26" t="s">
        <v>36</v>
      </c>
      <c r="F62" s="85">
        <v>19</v>
      </c>
      <c r="G62" s="26" t="s">
        <v>283</v>
      </c>
      <c r="H62" s="26" t="s">
        <v>64</v>
      </c>
      <c r="I62" s="26" t="s">
        <v>65</v>
      </c>
      <c r="J62" s="26">
        <v>19</v>
      </c>
      <c r="K62" s="26">
        <v>7550846</v>
      </c>
      <c r="L62" s="26" t="s">
        <v>197</v>
      </c>
      <c r="M62" s="26" t="s">
        <v>38</v>
      </c>
      <c r="N62" s="48">
        <f>IF(_Shipments[[#This Row],[Embalagem]]="Big Bag",_Shipments[[#This Row],[Qtd.]]*_Shipments[[#This Row],[Qtde. sacos/palete]],_Shipments[[#This Row],[Qtd.]])</f>
        <v>19</v>
      </c>
      <c r="O62" s="49">
        <f>_xlfn.XLOOKUP(_Shipments[[#This Row],[CLN]],[2]Dados!$D:$D,[2]Dados!$R:$R,"-")</f>
        <v>60</v>
      </c>
      <c r="P62" s="49" t="str" cm="1">
        <f t="array" ref="P62">_xlfn.LET(_xlpm.t,_xlfn.XLOOKUP(_Shipments[[#This Row],[CLN]],[2]Dados!$D:$D,[2]Dados!$Q:$Q,"-"),_xlfn.IFS(LEFT(_xlpm.t,3)="PAS","Saco",LEFT(_xlpm.t,3)="PBT","Big Bag",TRUE,"-"))</f>
        <v>Saco</v>
      </c>
      <c r="Q62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15.04</v>
      </c>
      <c r="R62" s="89">
        <f>IF(_Shipments[[#This Row],[Embalagem]]="Big Bag",_Shipments[[#This Row],[Qtd.]],ROUNDUP(_Shipments[[#This Row],[Qtd.]]/_Shipments[[#This Row],[Qtde. sacos/palete]],0))</f>
        <v>1</v>
      </c>
      <c r="S62" s="26" t="s">
        <v>131</v>
      </c>
      <c r="T62" s="51">
        <v>34999248710</v>
      </c>
      <c r="U62" s="26" t="s">
        <v>132</v>
      </c>
      <c r="V62" s="26" t="s">
        <v>133</v>
      </c>
      <c r="W62" s="26" t="s">
        <v>126</v>
      </c>
      <c r="Y62" s="88">
        <v>7242839</v>
      </c>
    </row>
    <row r="63" spans="1:28" x14ac:dyDescent="0.25">
      <c r="A63" s="47">
        <f>_xlfn.XLOOKUP(_Shipments[[#This Row],[Shipment]],[1]Report!$G:$G,[1]Report!$B:$B,"-")</f>
        <v>46275.333333333336</v>
      </c>
      <c r="B63" s="26">
        <v>7241954</v>
      </c>
      <c r="C63" s="26">
        <v>5541984145</v>
      </c>
      <c r="D63" s="26">
        <v>3</v>
      </c>
      <c r="E63" s="26" t="s">
        <v>30</v>
      </c>
      <c r="F63" s="85">
        <v>38</v>
      </c>
      <c r="G63" s="26" t="s">
        <v>283</v>
      </c>
      <c r="H63" s="26" t="s">
        <v>64</v>
      </c>
      <c r="I63" s="26" t="s">
        <v>65</v>
      </c>
      <c r="J63" s="26">
        <v>38</v>
      </c>
      <c r="K63" s="26">
        <v>7520949</v>
      </c>
      <c r="L63" s="26" t="s">
        <v>198</v>
      </c>
      <c r="M63" s="26" t="s">
        <v>32</v>
      </c>
      <c r="N63" s="48">
        <f>IF(_Shipments[[#This Row],[Embalagem]]="Big Bag",_Shipments[[#This Row],[Qtd.]]*_Shipments[[#This Row],[Qtde. sacos/palete]],_Shipments[[#This Row],[Qtd.]])</f>
        <v>38</v>
      </c>
      <c r="O63" s="49">
        <f>_xlfn.XLOOKUP(_Shipments[[#This Row],[CLN]],[2]Dados!$D:$D,[2]Dados!$R:$R,"-")</f>
        <v>60</v>
      </c>
      <c r="P63" s="49" t="str" cm="1">
        <f t="array" ref="P63">_xlfn.LET(_xlpm.t,_xlfn.XLOOKUP(_Shipments[[#This Row],[CLN]],[2]Dados!$D:$D,[2]Dados!$Q:$Q,"-"),_xlfn.IFS(LEFT(_xlpm.t,3)="PAS","Saco",LEFT(_xlpm.t,3)="PBT","Big Bag",TRUE,"-"))</f>
        <v>Saco</v>
      </c>
      <c r="Q63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14.71</v>
      </c>
      <c r="R63" s="89">
        <f>IF(_Shipments[[#This Row],[Embalagem]]="Big Bag",_Shipments[[#This Row],[Qtd.]],ROUNDUP(_Shipments[[#This Row],[Qtd.]]/_Shipments[[#This Row],[Qtde. sacos/palete]],0))</f>
        <v>1</v>
      </c>
      <c r="S63" s="26" t="s">
        <v>131</v>
      </c>
      <c r="T63" s="51">
        <v>34999248710</v>
      </c>
      <c r="U63" s="26" t="s">
        <v>132</v>
      </c>
      <c r="V63" s="26" t="s">
        <v>133</v>
      </c>
      <c r="W63" s="26" t="s">
        <v>126</v>
      </c>
      <c r="Y63" s="88">
        <v>7242843</v>
      </c>
    </row>
    <row r="64" spans="1:28" x14ac:dyDescent="0.25">
      <c r="A64" s="47">
        <f>_xlfn.XLOOKUP(_Shipments[[#This Row],[Shipment]],[1]Report!$G:$G,[1]Report!$B:$B,"-")</f>
        <v>46275.333333333336</v>
      </c>
      <c r="B64" s="26">
        <v>7241954</v>
      </c>
      <c r="C64" s="26">
        <v>5541984145</v>
      </c>
      <c r="D64" s="26">
        <v>4</v>
      </c>
      <c r="E64" s="26" t="s">
        <v>33</v>
      </c>
      <c r="F64" s="85">
        <v>14</v>
      </c>
      <c r="G64" s="26" t="s">
        <v>283</v>
      </c>
      <c r="H64" s="26" t="s">
        <v>64</v>
      </c>
      <c r="I64" s="26" t="s">
        <v>65</v>
      </c>
      <c r="J64" s="26">
        <v>14</v>
      </c>
      <c r="K64" s="26">
        <v>7520956</v>
      </c>
      <c r="L64" s="26" t="s">
        <v>199</v>
      </c>
      <c r="M64" s="26" t="s">
        <v>35</v>
      </c>
      <c r="N64" s="48">
        <f>IF(_Shipments[[#This Row],[Embalagem]]="Big Bag",_Shipments[[#This Row],[Qtd.]]*_Shipments[[#This Row],[Qtde. sacos/palete]],_Shipments[[#This Row],[Qtd.]])</f>
        <v>14</v>
      </c>
      <c r="O64" s="49">
        <f>_xlfn.XLOOKUP(_Shipments[[#This Row],[CLN]],[2]Dados!$D:$D,[2]Dados!$R:$R,"-")</f>
        <v>60</v>
      </c>
      <c r="P64" s="49" t="str" cm="1">
        <f t="array" ref="P64">_xlfn.LET(_xlpm.t,_xlfn.XLOOKUP(_Shipments[[#This Row],[CLN]],[2]Dados!$D:$D,[2]Dados!$Q:$Q,"-"),_xlfn.IFS(LEFT(_xlpm.t,3)="PAS","Saco",LEFT(_xlpm.t,3)="PBT","Big Bag",TRUE,"-"))</f>
        <v>Saco</v>
      </c>
      <c r="Q64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17.16</v>
      </c>
      <c r="R64" s="89">
        <f>IF(_Shipments[[#This Row],[Embalagem]]="Big Bag",_Shipments[[#This Row],[Qtd.]],ROUNDUP(_Shipments[[#This Row],[Qtd.]]/_Shipments[[#This Row],[Qtde. sacos/palete]],0))</f>
        <v>1</v>
      </c>
      <c r="S64" s="26" t="s">
        <v>131</v>
      </c>
      <c r="T64" s="51">
        <v>34999248710</v>
      </c>
      <c r="U64" s="26" t="s">
        <v>132</v>
      </c>
      <c r="V64" s="26" t="s">
        <v>133</v>
      </c>
      <c r="W64" s="26" t="s">
        <v>126</v>
      </c>
      <c r="Y64" s="88">
        <v>7242844</v>
      </c>
    </row>
    <row r="65" spans="1:25" x14ac:dyDescent="0.25">
      <c r="A65" s="47">
        <f>_xlfn.XLOOKUP(_Shipments[[#This Row],[Shipment]],[1]Report!$G:$G,[1]Report!$B:$B,"-")</f>
        <v>46275.333333333336</v>
      </c>
      <c r="B65" s="26">
        <v>7241954</v>
      </c>
      <c r="C65" s="26">
        <v>5541984145</v>
      </c>
      <c r="D65" s="26">
        <v>5</v>
      </c>
      <c r="E65" s="26" t="s">
        <v>33</v>
      </c>
      <c r="F65" s="85">
        <v>13</v>
      </c>
      <c r="G65" s="26" t="s">
        <v>283</v>
      </c>
      <c r="H65" s="26" t="s">
        <v>64</v>
      </c>
      <c r="I65" s="26" t="s">
        <v>65</v>
      </c>
      <c r="J65" s="26">
        <v>13</v>
      </c>
      <c r="K65" s="26">
        <v>7520960</v>
      </c>
      <c r="L65" s="26" t="s">
        <v>200</v>
      </c>
      <c r="M65" s="26" t="s">
        <v>61</v>
      </c>
      <c r="N65" s="48">
        <f>IF(_Shipments[[#This Row],[Embalagem]]="Big Bag",_Shipments[[#This Row],[Qtd.]]*_Shipments[[#This Row],[Qtde. sacos/palete]],_Shipments[[#This Row],[Qtd.]])</f>
        <v>13</v>
      </c>
      <c r="O65" s="49">
        <f>_xlfn.XLOOKUP(_Shipments[[#This Row],[CLN]],[2]Dados!$D:$D,[2]Dados!$R:$R,"-")</f>
        <v>45</v>
      </c>
      <c r="P65" s="49" t="str" cm="1">
        <f t="array" ref="P65">_xlfn.LET(_xlpm.t,_xlfn.XLOOKUP(_Shipments[[#This Row],[CLN]],[2]Dados!$D:$D,[2]Dados!$Q:$Q,"-"),_xlfn.IFS(LEFT(_xlpm.t,3)="PAS","Saco",LEFT(_xlpm.t,3)="PBT","Big Bag",TRUE,"-"))</f>
        <v>Saco</v>
      </c>
      <c r="Q65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20.99</v>
      </c>
      <c r="R65" s="89">
        <f>IF(_Shipments[[#This Row],[Embalagem]]="Big Bag",_Shipments[[#This Row],[Qtd.]],ROUNDUP(_Shipments[[#This Row],[Qtd.]]/_Shipments[[#This Row],[Qtde. sacos/palete]],0))</f>
        <v>1</v>
      </c>
      <c r="S65" s="26" t="s">
        <v>131</v>
      </c>
      <c r="T65" s="51">
        <v>34999248710</v>
      </c>
      <c r="U65" s="26" t="s">
        <v>132</v>
      </c>
      <c r="V65" s="26" t="s">
        <v>133</v>
      </c>
      <c r="W65" s="26" t="s">
        <v>126</v>
      </c>
      <c r="Y65" s="88">
        <v>7242847</v>
      </c>
    </row>
    <row r="66" spans="1:25" x14ac:dyDescent="0.25">
      <c r="A66" s="47">
        <f>_xlfn.XLOOKUP(_Shipments[[#This Row],[Shipment]],[1]Report!$G:$G,[1]Report!$B:$B,"-")</f>
        <v>46275.333333333336</v>
      </c>
      <c r="B66" s="26">
        <v>7241954</v>
      </c>
      <c r="C66" s="26">
        <v>5541984145</v>
      </c>
      <c r="D66" s="26">
        <v>6</v>
      </c>
      <c r="E66" s="26" t="s">
        <v>36</v>
      </c>
      <c r="F66" s="85">
        <v>5</v>
      </c>
      <c r="G66" s="26" t="s">
        <v>283</v>
      </c>
      <c r="H66" s="26" t="s">
        <v>64</v>
      </c>
      <c r="I66" s="26" t="s">
        <v>65</v>
      </c>
      <c r="J66" s="26">
        <v>5</v>
      </c>
      <c r="K66" s="26">
        <v>7550834</v>
      </c>
      <c r="L66" s="26" t="s">
        <v>201</v>
      </c>
      <c r="M66" s="26" t="s">
        <v>46</v>
      </c>
      <c r="N66" s="48">
        <f>IF(_Shipments[[#This Row],[Embalagem]]="Big Bag",_Shipments[[#This Row],[Qtd.]]*_Shipments[[#This Row],[Qtde. sacos/palete]],_Shipments[[#This Row],[Qtd.]])</f>
        <v>5</v>
      </c>
      <c r="O66" s="49">
        <f>_xlfn.XLOOKUP(_Shipments[[#This Row],[CLN]],[2]Dados!$D:$D,[2]Dados!$R:$R,"-")</f>
        <v>60</v>
      </c>
      <c r="P66" s="49" t="str" cm="1">
        <f t="array" ref="P66">_xlfn.LET(_xlpm.t,_xlfn.XLOOKUP(_Shipments[[#This Row],[CLN]],[2]Dados!$D:$D,[2]Dados!$Q:$Q,"-"),_xlfn.IFS(LEFT(_xlpm.t,3)="PAS","Saco",LEFT(_xlpm.t,3)="PBT","Big Bag",TRUE,"-"))</f>
        <v>Saco</v>
      </c>
      <c r="Q66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16.96</v>
      </c>
      <c r="R66" s="89">
        <f>IF(_Shipments[[#This Row],[Embalagem]]="Big Bag",_Shipments[[#This Row],[Qtd.]],ROUNDUP(_Shipments[[#This Row],[Qtd.]]/_Shipments[[#This Row],[Qtde. sacos/palete]],0))</f>
        <v>1</v>
      </c>
      <c r="S66" s="26" t="s">
        <v>131</v>
      </c>
      <c r="T66" s="51">
        <v>34999248710</v>
      </c>
      <c r="U66" s="26" t="s">
        <v>132</v>
      </c>
      <c r="V66" s="26" t="s">
        <v>133</v>
      </c>
      <c r="W66" s="26" t="s">
        <v>126</v>
      </c>
      <c r="Y66" s="88">
        <v>7242848</v>
      </c>
    </row>
    <row r="67" spans="1:25" x14ac:dyDescent="0.25">
      <c r="A67" s="47">
        <f>_xlfn.XLOOKUP(_Shipments[[#This Row],[Shipment]],[1]Report!$G:$G,[1]Report!$B:$B,"-")</f>
        <v>46275.333333333336</v>
      </c>
      <c r="B67" s="26">
        <v>7241954</v>
      </c>
      <c r="C67" s="26">
        <v>5541984145</v>
      </c>
      <c r="D67" s="26">
        <v>7</v>
      </c>
      <c r="E67" s="26" t="s">
        <v>36</v>
      </c>
      <c r="F67" s="85">
        <v>39</v>
      </c>
      <c r="G67" s="26" t="s">
        <v>283</v>
      </c>
      <c r="H67" s="26" t="s">
        <v>64</v>
      </c>
      <c r="I67" s="26" t="s">
        <v>65</v>
      </c>
      <c r="J67" s="26">
        <v>39</v>
      </c>
      <c r="K67" s="26">
        <v>7559896</v>
      </c>
      <c r="L67" s="26" t="s">
        <v>202</v>
      </c>
      <c r="M67" s="26" t="s">
        <v>46</v>
      </c>
      <c r="N67" s="48">
        <f>IF(_Shipments[[#This Row],[Embalagem]]="Big Bag",_Shipments[[#This Row],[Qtd.]]*_Shipments[[#This Row],[Qtde. sacos/palete]],_Shipments[[#This Row],[Qtd.]])</f>
        <v>39</v>
      </c>
      <c r="O67" s="49">
        <f>_xlfn.XLOOKUP(_Shipments[[#This Row],[CLN]],[2]Dados!$D:$D,[2]Dados!$R:$R,"-")</f>
        <v>60</v>
      </c>
      <c r="P67" s="49" t="str" cm="1">
        <f t="array" ref="P67">_xlfn.LET(_xlpm.t,_xlfn.XLOOKUP(_Shipments[[#This Row],[CLN]],[2]Dados!$D:$D,[2]Dados!$Q:$Q,"-"),_xlfn.IFS(LEFT(_xlpm.t,3)="PAS","Saco",LEFT(_xlpm.t,3)="PBT","Big Bag",TRUE,"-"))</f>
        <v>Saco</v>
      </c>
      <c r="Q67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17.32</v>
      </c>
      <c r="R67" s="89">
        <f>IF(_Shipments[[#This Row],[Embalagem]]="Big Bag",_Shipments[[#This Row],[Qtd.]],ROUNDUP(_Shipments[[#This Row],[Qtd.]]/_Shipments[[#This Row],[Qtde. sacos/palete]],0))</f>
        <v>1</v>
      </c>
      <c r="S67" s="26" t="s">
        <v>131</v>
      </c>
      <c r="T67" s="51">
        <v>34999248710</v>
      </c>
      <c r="U67" s="26" t="s">
        <v>132</v>
      </c>
      <c r="V67" s="26" t="s">
        <v>133</v>
      </c>
      <c r="W67" s="26" t="s">
        <v>126</v>
      </c>
      <c r="Y67" s="88">
        <v>7242850</v>
      </c>
    </row>
    <row r="68" spans="1:25" x14ac:dyDescent="0.25">
      <c r="A68" s="47">
        <f>_xlfn.XLOOKUP(_Shipments[[#This Row],[Shipment]],[1]Report!$G:$G,[1]Report!$B:$B,"-")</f>
        <v>46275.333333333336</v>
      </c>
      <c r="B68" s="26">
        <v>7241954</v>
      </c>
      <c r="C68" s="26">
        <v>5541984145</v>
      </c>
      <c r="D68" s="26">
        <v>8</v>
      </c>
      <c r="E68" s="26" t="s">
        <v>30</v>
      </c>
      <c r="F68" s="85">
        <v>34</v>
      </c>
      <c r="G68" s="26" t="s">
        <v>283</v>
      </c>
      <c r="H68" s="26" t="s">
        <v>64</v>
      </c>
      <c r="I68" s="26" t="s">
        <v>65</v>
      </c>
      <c r="J68" s="26">
        <v>34</v>
      </c>
      <c r="K68" s="26">
        <v>7559900</v>
      </c>
      <c r="L68" s="26" t="s">
        <v>203</v>
      </c>
      <c r="M68" s="26" t="s">
        <v>32</v>
      </c>
      <c r="N68" s="48">
        <f>IF(_Shipments[[#This Row],[Embalagem]]="Big Bag",_Shipments[[#This Row],[Qtd.]]*_Shipments[[#This Row],[Qtde. sacos/palete]],_Shipments[[#This Row],[Qtd.]])</f>
        <v>34</v>
      </c>
      <c r="O68" s="49">
        <f>_xlfn.XLOOKUP(_Shipments[[#This Row],[CLN]],[2]Dados!$D:$D,[2]Dados!$R:$R,"-")</f>
        <v>70</v>
      </c>
      <c r="P68" s="49" t="str" cm="1">
        <f t="array" ref="P68">_xlfn.LET(_xlpm.t,_xlfn.XLOOKUP(_Shipments[[#This Row],[CLN]],[2]Dados!$D:$D,[2]Dados!$Q:$Q,"-"),_xlfn.IFS(LEFT(_xlpm.t,3)="PAS","Saco",LEFT(_xlpm.t,3)="PBT","Big Bag",TRUE,"-"))</f>
        <v>Saco</v>
      </c>
      <c r="Q68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14.3</v>
      </c>
      <c r="R68" s="89">
        <f>IF(_Shipments[[#This Row],[Embalagem]]="Big Bag",_Shipments[[#This Row],[Qtd.]],ROUNDUP(_Shipments[[#This Row],[Qtd.]]/_Shipments[[#This Row],[Qtde. sacos/palete]],0))</f>
        <v>1</v>
      </c>
      <c r="S68" s="26" t="s">
        <v>131</v>
      </c>
      <c r="T68" s="51">
        <v>34999248710</v>
      </c>
      <c r="U68" s="26" t="s">
        <v>132</v>
      </c>
      <c r="V68" s="26" t="s">
        <v>133</v>
      </c>
      <c r="W68" s="26" t="s">
        <v>126</v>
      </c>
      <c r="Y68" s="88">
        <v>7242853</v>
      </c>
    </row>
    <row r="69" spans="1:25" x14ac:dyDescent="0.25">
      <c r="A69" s="47">
        <f>_xlfn.XLOOKUP(_Shipments[[#This Row],[Shipment]],[1]Report!$G:$G,[1]Report!$B:$B,"-")</f>
        <v>46275.333333333336</v>
      </c>
      <c r="B69" s="26">
        <v>7241954</v>
      </c>
      <c r="C69" s="26">
        <v>5541984145</v>
      </c>
      <c r="D69" s="26">
        <v>9</v>
      </c>
      <c r="E69" s="26" t="s">
        <v>30</v>
      </c>
      <c r="F69" s="85">
        <v>20</v>
      </c>
      <c r="G69" s="26" t="s">
        <v>283</v>
      </c>
      <c r="H69" s="26" t="s">
        <v>64</v>
      </c>
      <c r="I69" s="26" t="s">
        <v>65</v>
      </c>
      <c r="J69" s="26">
        <v>20</v>
      </c>
      <c r="K69" s="26">
        <v>7559901</v>
      </c>
      <c r="L69" s="26" t="s">
        <v>204</v>
      </c>
      <c r="M69" s="26" t="s">
        <v>32</v>
      </c>
      <c r="N69" s="48">
        <f>IF(_Shipments[[#This Row],[Embalagem]]="Big Bag",_Shipments[[#This Row],[Qtd.]]*_Shipments[[#This Row],[Qtde. sacos/palete]],_Shipments[[#This Row],[Qtd.]])</f>
        <v>20</v>
      </c>
      <c r="O69" s="49">
        <f>_xlfn.XLOOKUP(_Shipments[[#This Row],[CLN]],[2]Dados!$D:$D,[2]Dados!$R:$R,"-")</f>
        <v>60</v>
      </c>
      <c r="P69" s="49" t="str" cm="1">
        <f t="array" ref="P69">_xlfn.LET(_xlpm.t,_xlfn.XLOOKUP(_Shipments[[#This Row],[CLN]],[2]Dados!$D:$D,[2]Dados!$Q:$Q,"-"),_xlfn.IFS(LEFT(_xlpm.t,3)="PAS","Saco",LEFT(_xlpm.t,3)="PBT","Big Bag",TRUE,"-"))</f>
        <v>Saco</v>
      </c>
      <c r="Q69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14.92</v>
      </c>
      <c r="R69" s="89">
        <f>IF(_Shipments[[#This Row],[Embalagem]]="Big Bag",_Shipments[[#This Row],[Qtd.]],ROUNDUP(_Shipments[[#This Row],[Qtd.]]/_Shipments[[#This Row],[Qtde. sacos/palete]],0))</f>
        <v>1</v>
      </c>
      <c r="S69" s="26" t="s">
        <v>131</v>
      </c>
      <c r="T69" s="51">
        <v>34999248710</v>
      </c>
      <c r="U69" s="26" t="s">
        <v>132</v>
      </c>
      <c r="V69" s="26" t="s">
        <v>133</v>
      </c>
      <c r="W69" s="26" t="s">
        <v>126</v>
      </c>
      <c r="Y69" s="88">
        <v>7244328</v>
      </c>
    </row>
    <row r="70" spans="1:25" x14ac:dyDescent="0.25">
      <c r="A70" s="47">
        <f>_xlfn.XLOOKUP(_Shipments[[#This Row],[Shipment]],[1]Report!$G:$G,[1]Report!$B:$B,"-")</f>
        <v>46275.333333333336</v>
      </c>
      <c r="B70" s="26">
        <v>7241954</v>
      </c>
      <c r="C70" s="26">
        <v>5541984145</v>
      </c>
      <c r="D70" s="26">
        <v>10</v>
      </c>
      <c r="E70" s="26" t="s">
        <v>30</v>
      </c>
      <c r="F70" s="85">
        <v>40</v>
      </c>
      <c r="G70" s="26" t="s">
        <v>283</v>
      </c>
      <c r="H70" s="26" t="s">
        <v>64</v>
      </c>
      <c r="I70" s="26" t="s">
        <v>65</v>
      </c>
      <c r="J70" s="26">
        <v>40</v>
      </c>
      <c r="K70" s="26">
        <v>7559902</v>
      </c>
      <c r="L70" s="26" t="s">
        <v>205</v>
      </c>
      <c r="M70" s="26" t="s">
        <v>32</v>
      </c>
      <c r="N70" s="48">
        <f>IF(_Shipments[[#This Row],[Embalagem]]="Big Bag",_Shipments[[#This Row],[Qtd.]]*_Shipments[[#This Row],[Qtde. sacos/palete]],_Shipments[[#This Row],[Qtd.]])</f>
        <v>40</v>
      </c>
      <c r="O70" s="49">
        <f>_xlfn.XLOOKUP(_Shipments[[#This Row],[CLN]],[2]Dados!$D:$D,[2]Dados!$R:$R,"-")</f>
        <v>60</v>
      </c>
      <c r="P70" s="49" t="str" cm="1">
        <f t="array" ref="P70">_xlfn.LET(_xlpm.t,_xlfn.XLOOKUP(_Shipments[[#This Row],[CLN]],[2]Dados!$D:$D,[2]Dados!$Q:$Q,"-"),_xlfn.IFS(LEFT(_xlpm.t,3)="PAS","Saco",LEFT(_xlpm.t,3)="PBT","Big Bag",TRUE,"-"))</f>
        <v>Saco</v>
      </c>
      <c r="Q70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16.53</v>
      </c>
      <c r="R70" s="89">
        <f>IF(_Shipments[[#This Row],[Embalagem]]="Big Bag",_Shipments[[#This Row],[Qtd.]],ROUNDUP(_Shipments[[#This Row],[Qtd.]]/_Shipments[[#This Row],[Qtde. sacos/palete]],0))</f>
        <v>1</v>
      </c>
      <c r="S70" s="26" t="s">
        <v>131</v>
      </c>
      <c r="T70" s="51">
        <v>34999248710</v>
      </c>
      <c r="U70" s="26" t="s">
        <v>132</v>
      </c>
      <c r="V70" s="26" t="s">
        <v>133</v>
      </c>
      <c r="W70" s="26" t="s">
        <v>126</v>
      </c>
      <c r="Y70" s="88">
        <v>7244330</v>
      </c>
    </row>
    <row r="71" spans="1:25" x14ac:dyDescent="0.25">
      <c r="A71" s="47">
        <f>_xlfn.XLOOKUP(_Shipments[[#This Row],[Shipment]],[1]Report!$G:$G,[1]Report!$B:$B,"-")</f>
        <v>46275.333333333336</v>
      </c>
      <c r="B71" s="26">
        <v>7241954</v>
      </c>
      <c r="C71" s="26">
        <v>5541984145</v>
      </c>
      <c r="D71" s="26">
        <v>11</v>
      </c>
      <c r="E71" s="26" t="s">
        <v>36</v>
      </c>
      <c r="F71" s="85">
        <v>42</v>
      </c>
      <c r="G71" s="26" t="s">
        <v>283</v>
      </c>
      <c r="H71" s="26" t="s">
        <v>64</v>
      </c>
      <c r="I71" s="26" t="s">
        <v>65</v>
      </c>
      <c r="J71" s="26">
        <v>42</v>
      </c>
      <c r="K71" s="26">
        <v>7559903</v>
      </c>
      <c r="L71" s="26" t="s">
        <v>206</v>
      </c>
      <c r="M71" s="26" t="s">
        <v>46</v>
      </c>
      <c r="N71" s="48">
        <f>IF(_Shipments[[#This Row],[Embalagem]]="Big Bag",_Shipments[[#This Row],[Qtd.]]*_Shipments[[#This Row],[Qtde. sacos/palete]],_Shipments[[#This Row],[Qtd.]])</f>
        <v>42</v>
      </c>
      <c r="O71" s="49">
        <f>_xlfn.XLOOKUP(_Shipments[[#This Row],[CLN]],[2]Dados!$D:$D,[2]Dados!$R:$R,"-")</f>
        <v>50</v>
      </c>
      <c r="P71" s="49" t="str" cm="1">
        <f t="array" ref="P71">_xlfn.LET(_xlpm.t,_xlfn.XLOOKUP(_Shipments[[#This Row],[CLN]],[2]Dados!$D:$D,[2]Dados!$Q:$Q,"-"),_xlfn.IFS(LEFT(_xlpm.t,3)="PAS","Saco",LEFT(_xlpm.t,3)="PBT","Big Bag",TRUE,"-"))</f>
        <v>Saco</v>
      </c>
      <c r="Q71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19.690000000000001</v>
      </c>
      <c r="R71" s="89">
        <f>IF(_Shipments[[#This Row],[Embalagem]]="Big Bag",_Shipments[[#This Row],[Qtd.]],ROUNDUP(_Shipments[[#This Row],[Qtd.]]/_Shipments[[#This Row],[Qtde. sacos/palete]],0))</f>
        <v>1</v>
      </c>
      <c r="S71" s="26" t="s">
        <v>131</v>
      </c>
      <c r="T71" s="51">
        <v>34999248710</v>
      </c>
      <c r="U71" s="26" t="s">
        <v>132</v>
      </c>
      <c r="V71" s="26" t="s">
        <v>133</v>
      </c>
      <c r="W71" s="26" t="s">
        <v>126</v>
      </c>
      <c r="Y71" s="88">
        <v>7244331</v>
      </c>
    </row>
    <row r="72" spans="1:25" x14ac:dyDescent="0.25">
      <c r="A72" s="47">
        <f>_xlfn.XLOOKUP(_Shipments[[#This Row],[Shipment]],[1]Report!$G:$G,[1]Report!$B:$B,"-")</f>
        <v>46275.333333333336</v>
      </c>
      <c r="B72" s="26">
        <v>7241954</v>
      </c>
      <c r="C72" s="26">
        <v>5541984145</v>
      </c>
      <c r="D72" s="26">
        <v>12</v>
      </c>
      <c r="E72" s="26" t="s">
        <v>36</v>
      </c>
      <c r="F72" s="85">
        <v>37</v>
      </c>
      <c r="G72" s="26" t="s">
        <v>283</v>
      </c>
      <c r="H72" s="26" t="s">
        <v>64</v>
      </c>
      <c r="I72" s="26" t="s">
        <v>65</v>
      </c>
      <c r="J72" s="26">
        <v>37</v>
      </c>
      <c r="K72" s="26">
        <v>7559905</v>
      </c>
      <c r="L72" s="26" t="s">
        <v>207</v>
      </c>
      <c r="M72" s="26" t="s">
        <v>38</v>
      </c>
      <c r="N72" s="48">
        <f>IF(_Shipments[[#This Row],[Embalagem]]="Big Bag",_Shipments[[#This Row],[Qtd.]]*_Shipments[[#This Row],[Qtde. sacos/palete]],_Shipments[[#This Row],[Qtd.]])</f>
        <v>37</v>
      </c>
      <c r="O72" s="49">
        <f>_xlfn.XLOOKUP(_Shipments[[#This Row],[CLN]],[2]Dados!$D:$D,[2]Dados!$R:$R,"-")</f>
        <v>60</v>
      </c>
      <c r="P72" s="49" t="str" cm="1">
        <f t="array" ref="P72">_xlfn.LET(_xlpm.t,_xlfn.XLOOKUP(_Shipments[[#This Row],[CLN]],[2]Dados!$D:$D,[2]Dados!$Q:$Q,"-"),_xlfn.IFS(LEFT(_xlpm.t,3)="PAS","Saco",LEFT(_xlpm.t,3)="PBT","Big Bag",TRUE,"-"))</f>
        <v>Saco</v>
      </c>
      <c r="Q72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14.79</v>
      </c>
      <c r="R72" s="89">
        <f>IF(_Shipments[[#This Row],[Embalagem]]="Big Bag",_Shipments[[#This Row],[Qtd.]],ROUNDUP(_Shipments[[#This Row],[Qtd.]]/_Shipments[[#This Row],[Qtde. sacos/palete]],0))</f>
        <v>1</v>
      </c>
      <c r="S72" s="26" t="s">
        <v>131</v>
      </c>
      <c r="T72" s="51">
        <v>34999248710</v>
      </c>
      <c r="U72" s="26" t="s">
        <v>132</v>
      </c>
      <c r="V72" s="26" t="s">
        <v>133</v>
      </c>
      <c r="W72" s="26" t="s">
        <v>126</v>
      </c>
      <c r="Y72" s="88">
        <v>7244332</v>
      </c>
    </row>
    <row r="73" spans="1:25" x14ac:dyDescent="0.25">
      <c r="A73" s="47">
        <f>_xlfn.XLOOKUP(_Shipments[[#This Row],[Shipment]],[1]Report!$G:$G,[1]Report!$B:$B,"-")</f>
        <v>46275.333333333336</v>
      </c>
      <c r="B73" s="26">
        <v>7241954</v>
      </c>
      <c r="C73" s="26">
        <v>5541984145</v>
      </c>
      <c r="D73" s="26">
        <v>13</v>
      </c>
      <c r="E73" s="26" t="s">
        <v>36</v>
      </c>
      <c r="F73" s="85">
        <v>33</v>
      </c>
      <c r="G73" s="26" t="s">
        <v>283</v>
      </c>
      <c r="H73" s="26" t="s">
        <v>64</v>
      </c>
      <c r="I73" s="26" t="s">
        <v>65</v>
      </c>
      <c r="J73" s="26">
        <v>33</v>
      </c>
      <c r="K73" s="26">
        <v>7559908</v>
      </c>
      <c r="L73" s="26" t="s">
        <v>208</v>
      </c>
      <c r="M73" s="26" t="s">
        <v>38</v>
      </c>
      <c r="N73" s="48">
        <f>IF(_Shipments[[#This Row],[Embalagem]]="Big Bag",_Shipments[[#This Row],[Qtd.]]*_Shipments[[#This Row],[Qtde. sacos/palete]],_Shipments[[#This Row],[Qtd.]])</f>
        <v>33</v>
      </c>
      <c r="O73" s="49">
        <f>_xlfn.XLOOKUP(_Shipments[[#This Row],[CLN]],[2]Dados!$D:$D,[2]Dados!$R:$R,"-")</f>
        <v>60</v>
      </c>
      <c r="P73" s="49" t="str" cm="1">
        <f t="array" ref="P73">_xlfn.LET(_xlpm.t,_xlfn.XLOOKUP(_Shipments[[#This Row],[CLN]],[2]Dados!$D:$D,[2]Dados!$Q:$Q,"-"),_xlfn.IFS(LEFT(_xlpm.t,3)="PAS","Saco",LEFT(_xlpm.t,3)="PBT","Big Bag",TRUE,"-"))</f>
        <v>Saco</v>
      </c>
      <c r="Q73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14.97</v>
      </c>
      <c r="R73" s="89">
        <f>IF(_Shipments[[#This Row],[Embalagem]]="Big Bag",_Shipments[[#This Row],[Qtd.]],ROUNDUP(_Shipments[[#This Row],[Qtd.]]/_Shipments[[#This Row],[Qtde. sacos/palete]],0))</f>
        <v>1</v>
      </c>
      <c r="S73" s="26" t="s">
        <v>131</v>
      </c>
      <c r="T73" s="51">
        <v>34999248710</v>
      </c>
      <c r="U73" s="26" t="s">
        <v>132</v>
      </c>
      <c r="V73" s="26" t="s">
        <v>133</v>
      </c>
      <c r="W73" s="26" t="s">
        <v>126</v>
      </c>
      <c r="Y73" s="88">
        <v>7244334</v>
      </c>
    </row>
    <row r="74" spans="1:25" x14ac:dyDescent="0.25">
      <c r="A74" s="47">
        <f>_xlfn.XLOOKUP(_Shipments[[#This Row],[Shipment]],[1]Report!$G:$G,[1]Report!$B:$B,"-")</f>
        <v>46275.333333333336</v>
      </c>
      <c r="B74" s="26">
        <v>7241954</v>
      </c>
      <c r="C74" s="26">
        <v>5541984145</v>
      </c>
      <c r="D74" s="26">
        <v>14</v>
      </c>
      <c r="E74" s="26" t="s">
        <v>36</v>
      </c>
      <c r="F74" s="85">
        <v>30</v>
      </c>
      <c r="G74" s="26" t="s">
        <v>283</v>
      </c>
      <c r="H74" s="26" t="s">
        <v>64</v>
      </c>
      <c r="I74" s="26" t="s">
        <v>65</v>
      </c>
      <c r="J74" s="26">
        <v>30</v>
      </c>
      <c r="K74" s="26">
        <v>7559910</v>
      </c>
      <c r="L74" s="26" t="s">
        <v>209</v>
      </c>
      <c r="M74" s="26" t="s">
        <v>38</v>
      </c>
      <c r="N74" s="48">
        <f>IF(_Shipments[[#This Row],[Embalagem]]="Big Bag",_Shipments[[#This Row],[Qtd.]]*_Shipments[[#This Row],[Qtde. sacos/palete]],_Shipments[[#This Row],[Qtd.]])</f>
        <v>30</v>
      </c>
      <c r="O74" s="49">
        <f>_xlfn.XLOOKUP(_Shipments[[#This Row],[CLN]],[2]Dados!$D:$D,[2]Dados!$R:$R,"-")</f>
        <v>60</v>
      </c>
      <c r="P74" s="49" t="str" cm="1">
        <f t="array" ref="P74">_xlfn.LET(_xlpm.t,_xlfn.XLOOKUP(_Shipments[[#This Row],[CLN]],[2]Dados!$D:$D,[2]Dados!$Q:$Q,"-"),_xlfn.IFS(LEFT(_xlpm.t,3)="PAS","Saco",LEFT(_xlpm.t,3)="PBT","Big Bag",TRUE,"-"))</f>
        <v>Saco</v>
      </c>
      <c r="Q74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15</v>
      </c>
      <c r="R74" s="89">
        <f>IF(_Shipments[[#This Row],[Embalagem]]="Big Bag",_Shipments[[#This Row],[Qtd.]],ROUNDUP(_Shipments[[#This Row],[Qtd.]]/_Shipments[[#This Row],[Qtde. sacos/palete]],0))</f>
        <v>1</v>
      </c>
      <c r="S74" s="26" t="s">
        <v>131</v>
      </c>
      <c r="T74" s="51">
        <v>34999248710</v>
      </c>
      <c r="U74" s="26" t="s">
        <v>132</v>
      </c>
      <c r="V74" s="26" t="s">
        <v>133</v>
      </c>
      <c r="W74" s="26" t="s">
        <v>126</v>
      </c>
      <c r="Y74" s="88">
        <v>7244335</v>
      </c>
    </row>
    <row r="75" spans="1:25" x14ac:dyDescent="0.25">
      <c r="A75" s="47">
        <f>_xlfn.XLOOKUP(_Shipments[[#This Row],[Shipment]],[1]Report!$G:$G,[1]Report!$B:$B,"-")</f>
        <v>46275.333333333336</v>
      </c>
      <c r="B75" s="26">
        <v>7241954</v>
      </c>
      <c r="C75" s="26">
        <v>5541984145</v>
      </c>
      <c r="D75" s="26">
        <v>15</v>
      </c>
      <c r="E75" s="26" t="s">
        <v>33</v>
      </c>
      <c r="F75" s="85">
        <v>40</v>
      </c>
      <c r="G75" s="26" t="s">
        <v>283</v>
      </c>
      <c r="H75" s="26" t="s">
        <v>64</v>
      </c>
      <c r="I75" s="26" t="s">
        <v>65</v>
      </c>
      <c r="J75" s="26">
        <v>40</v>
      </c>
      <c r="K75" s="26">
        <v>7566290</v>
      </c>
      <c r="L75" s="26" t="s">
        <v>210</v>
      </c>
      <c r="M75" s="26" t="s">
        <v>35</v>
      </c>
      <c r="N75" s="48">
        <f>IF(_Shipments[[#This Row],[Embalagem]]="Big Bag",_Shipments[[#This Row],[Qtd.]]*_Shipments[[#This Row],[Qtde. sacos/palete]],_Shipments[[#This Row],[Qtd.]])</f>
        <v>40</v>
      </c>
      <c r="O75" s="49">
        <f>_xlfn.XLOOKUP(_Shipments[[#This Row],[CLN]],[2]Dados!$D:$D,[2]Dados!$R:$R,"-")</f>
        <v>50</v>
      </c>
      <c r="P75" s="49" t="str" cm="1">
        <f t="array" ref="P75">_xlfn.LET(_xlpm.t,_xlfn.XLOOKUP(_Shipments[[#This Row],[CLN]],[2]Dados!$D:$D,[2]Dados!$Q:$Q,"-"),_xlfn.IFS(LEFT(_xlpm.t,3)="PAS","Saco",LEFT(_xlpm.t,3)="PBT","Big Bag",TRUE,"-"))</f>
        <v>Saco</v>
      </c>
      <c r="Q75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19.2</v>
      </c>
      <c r="R75" s="89">
        <f>IF(_Shipments[[#This Row],[Embalagem]]="Big Bag",_Shipments[[#This Row],[Qtd.]],ROUNDUP(_Shipments[[#This Row],[Qtd.]]/_Shipments[[#This Row],[Qtde. sacos/palete]],0))</f>
        <v>1</v>
      </c>
      <c r="S75" s="26" t="s">
        <v>131</v>
      </c>
      <c r="T75" s="51">
        <v>34999248710</v>
      </c>
      <c r="U75" s="26" t="s">
        <v>132</v>
      </c>
      <c r="V75" s="26" t="s">
        <v>133</v>
      </c>
      <c r="W75" s="26" t="s">
        <v>126</v>
      </c>
      <c r="Y75" s="88">
        <v>7244336</v>
      </c>
    </row>
    <row r="76" spans="1:25" x14ac:dyDescent="0.25">
      <c r="A76" s="47">
        <f>_xlfn.XLOOKUP(_Shipments[[#This Row],[Shipment]],[1]Report!$G:$G,[1]Report!$B:$B,"-")</f>
        <v>46275.333333333336</v>
      </c>
      <c r="B76" s="26">
        <v>7241954</v>
      </c>
      <c r="C76" s="26">
        <v>5541984145</v>
      </c>
      <c r="D76" s="26">
        <v>16</v>
      </c>
      <c r="E76" s="26" t="s">
        <v>30</v>
      </c>
      <c r="F76" s="85">
        <v>13</v>
      </c>
      <c r="G76" s="26" t="s">
        <v>283</v>
      </c>
      <c r="H76" s="26" t="s">
        <v>64</v>
      </c>
      <c r="I76" s="26" t="s">
        <v>65</v>
      </c>
      <c r="J76" s="26">
        <v>13</v>
      </c>
      <c r="K76" s="26">
        <v>7566291</v>
      </c>
      <c r="L76" s="26" t="s">
        <v>211</v>
      </c>
      <c r="M76" s="26" t="s">
        <v>32</v>
      </c>
      <c r="N76" s="48">
        <f>IF(_Shipments[[#This Row],[Embalagem]]="Big Bag",_Shipments[[#This Row],[Qtd.]]*_Shipments[[#This Row],[Qtde. sacos/palete]],_Shipments[[#This Row],[Qtd.]])</f>
        <v>13</v>
      </c>
      <c r="O76" s="49">
        <f>_xlfn.XLOOKUP(_Shipments[[#This Row],[CLN]],[2]Dados!$D:$D,[2]Dados!$R:$R,"-")</f>
        <v>60</v>
      </c>
      <c r="P76" s="49" t="str" cm="1">
        <f t="array" ref="P76">_xlfn.LET(_xlpm.t,_xlfn.XLOOKUP(_Shipments[[#This Row],[CLN]],[2]Dados!$D:$D,[2]Dados!$Q:$Q,"-"),_xlfn.IFS(LEFT(_xlpm.t,3)="PAS","Saco",LEFT(_xlpm.t,3)="PBT","Big Bag",TRUE,"-"))</f>
        <v>Saco</v>
      </c>
      <c r="Q76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16.670000000000002</v>
      </c>
      <c r="R76" s="89">
        <f>IF(_Shipments[[#This Row],[Embalagem]]="Big Bag",_Shipments[[#This Row],[Qtd.]],ROUNDUP(_Shipments[[#This Row],[Qtd.]]/_Shipments[[#This Row],[Qtde. sacos/palete]],0))</f>
        <v>1</v>
      </c>
      <c r="S76" s="26" t="s">
        <v>131</v>
      </c>
      <c r="T76" s="51">
        <v>34999248710</v>
      </c>
      <c r="U76" s="26" t="s">
        <v>132</v>
      </c>
      <c r="V76" s="26" t="s">
        <v>133</v>
      </c>
      <c r="W76" s="26" t="s">
        <v>126</v>
      </c>
      <c r="Y76" s="88">
        <v>7244337</v>
      </c>
    </row>
    <row r="77" spans="1:25" x14ac:dyDescent="0.25">
      <c r="A77" s="47">
        <f>_xlfn.XLOOKUP(_Shipments[[#This Row],[Shipment]],[1]Report!$G:$G,[1]Report!$B:$B,"-")</f>
        <v>46275.333333333336</v>
      </c>
      <c r="B77" s="26">
        <v>7241954</v>
      </c>
      <c r="C77" s="26">
        <v>5541984145</v>
      </c>
      <c r="D77" s="26">
        <v>17</v>
      </c>
      <c r="E77" s="26" t="s">
        <v>36</v>
      </c>
      <c r="F77" s="85">
        <v>22</v>
      </c>
      <c r="G77" s="26" t="s">
        <v>283</v>
      </c>
      <c r="H77" s="26" t="s">
        <v>64</v>
      </c>
      <c r="I77" s="26" t="s">
        <v>65</v>
      </c>
      <c r="J77" s="26">
        <v>22</v>
      </c>
      <c r="K77" s="26">
        <v>7566301</v>
      </c>
      <c r="L77" s="26" t="s">
        <v>212</v>
      </c>
      <c r="M77" s="26" t="s">
        <v>38</v>
      </c>
      <c r="N77" s="48">
        <f>IF(_Shipments[[#This Row],[Embalagem]]="Big Bag",_Shipments[[#This Row],[Qtd.]]*_Shipments[[#This Row],[Qtde. sacos/palete]],_Shipments[[#This Row],[Qtd.]])</f>
        <v>22</v>
      </c>
      <c r="O77" s="49">
        <f>_xlfn.XLOOKUP(_Shipments[[#This Row],[CLN]],[2]Dados!$D:$D,[2]Dados!$R:$R,"-")</f>
        <v>60</v>
      </c>
      <c r="P77" s="49" t="str" cm="1">
        <f t="array" ref="P77">_xlfn.LET(_xlpm.t,_xlfn.XLOOKUP(_Shipments[[#This Row],[CLN]],[2]Dados!$D:$D,[2]Dados!$Q:$Q,"-"),_xlfn.IFS(LEFT(_xlpm.t,3)="PAS","Saco",LEFT(_xlpm.t,3)="PBT","Big Bag",TRUE,"-"))</f>
        <v>Saco</v>
      </c>
      <c r="Q77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17.47</v>
      </c>
      <c r="R77" s="89">
        <f>IF(_Shipments[[#This Row],[Embalagem]]="Big Bag",_Shipments[[#This Row],[Qtd.]],ROUNDUP(_Shipments[[#This Row],[Qtd.]]/_Shipments[[#This Row],[Qtde. sacos/palete]],0))</f>
        <v>1</v>
      </c>
      <c r="S77" s="26" t="s">
        <v>131</v>
      </c>
      <c r="T77" s="51">
        <v>34999248710</v>
      </c>
      <c r="U77" s="26" t="s">
        <v>132</v>
      </c>
      <c r="V77" s="26" t="s">
        <v>133</v>
      </c>
      <c r="W77" s="26" t="s">
        <v>126</v>
      </c>
      <c r="Y77" s="88">
        <v>7244338</v>
      </c>
    </row>
    <row r="78" spans="1:25" x14ac:dyDescent="0.25">
      <c r="A78" s="47">
        <f>_xlfn.XLOOKUP(_Shipments[[#This Row],[Shipment]],[1]Report!$G:$G,[1]Report!$B:$B,"-")</f>
        <v>46275.333333333336</v>
      </c>
      <c r="B78" s="26">
        <v>7241954</v>
      </c>
      <c r="C78" s="26">
        <v>5541984145</v>
      </c>
      <c r="D78" s="26">
        <v>18</v>
      </c>
      <c r="E78" s="26" t="s">
        <v>36</v>
      </c>
      <c r="F78" s="85">
        <v>24</v>
      </c>
      <c r="G78" s="26" t="s">
        <v>283</v>
      </c>
      <c r="H78" s="26" t="s">
        <v>64</v>
      </c>
      <c r="I78" s="26" t="s">
        <v>65</v>
      </c>
      <c r="J78" s="26">
        <v>24</v>
      </c>
      <c r="K78" s="26">
        <v>7566302</v>
      </c>
      <c r="L78" s="26" t="s">
        <v>213</v>
      </c>
      <c r="M78" s="26" t="s">
        <v>38</v>
      </c>
      <c r="N78" s="48">
        <f>IF(_Shipments[[#This Row],[Embalagem]]="Big Bag",_Shipments[[#This Row],[Qtd.]]*_Shipments[[#This Row],[Qtde. sacos/palete]],_Shipments[[#This Row],[Qtd.]])</f>
        <v>24</v>
      </c>
      <c r="O78" s="49">
        <f>_xlfn.XLOOKUP(_Shipments[[#This Row],[CLN]],[2]Dados!$D:$D,[2]Dados!$R:$R,"-")</f>
        <v>50</v>
      </c>
      <c r="P78" s="49" t="str" cm="1">
        <f t="array" ref="P78">_xlfn.LET(_xlpm.t,_xlfn.XLOOKUP(_Shipments[[#This Row],[CLN]],[2]Dados!$D:$D,[2]Dados!$Q:$Q,"-"),_xlfn.IFS(LEFT(_xlpm.t,3)="PAS","Saco",LEFT(_xlpm.t,3)="PBT","Big Bag",TRUE,"-"))</f>
        <v>Saco</v>
      </c>
      <c r="Q78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17.600000000000001</v>
      </c>
      <c r="R78" s="89">
        <f>IF(_Shipments[[#This Row],[Embalagem]]="Big Bag",_Shipments[[#This Row],[Qtd.]],ROUNDUP(_Shipments[[#This Row],[Qtd.]]/_Shipments[[#This Row],[Qtde. sacos/palete]],0))</f>
        <v>1</v>
      </c>
      <c r="S78" s="26" t="s">
        <v>131</v>
      </c>
      <c r="T78" s="51">
        <v>34999248710</v>
      </c>
      <c r="U78" s="26" t="s">
        <v>132</v>
      </c>
      <c r="V78" s="26" t="s">
        <v>133</v>
      </c>
      <c r="W78" s="26" t="s">
        <v>126</v>
      </c>
      <c r="Y78" s="88">
        <v>7244339</v>
      </c>
    </row>
    <row r="79" spans="1:25" x14ac:dyDescent="0.25">
      <c r="A79" s="47">
        <f>_xlfn.XLOOKUP(_Shipments[[#This Row],[Shipment]],[1]Report!$G:$G,[1]Report!$B:$B,"-")</f>
        <v>46275.333333333336</v>
      </c>
      <c r="B79" s="26">
        <v>7241954</v>
      </c>
      <c r="C79" s="26">
        <v>5541984145</v>
      </c>
      <c r="D79" s="26">
        <v>19</v>
      </c>
      <c r="E79" s="26" t="s">
        <v>36</v>
      </c>
      <c r="F79" s="85">
        <v>28</v>
      </c>
      <c r="G79" s="26" t="s">
        <v>283</v>
      </c>
      <c r="H79" s="26" t="s">
        <v>64</v>
      </c>
      <c r="I79" s="26" t="s">
        <v>65</v>
      </c>
      <c r="J79" s="26">
        <v>28</v>
      </c>
      <c r="K79" s="26">
        <v>7520935</v>
      </c>
      <c r="L79" s="26" t="s">
        <v>214</v>
      </c>
      <c r="M79" s="26" t="s">
        <v>46</v>
      </c>
      <c r="N79" s="48">
        <f>IF(_Shipments[[#This Row],[Embalagem]]="Big Bag",_Shipments[[#This Row],[Qtd.]]*_Shipments[[#This Row],[Qtde. sacos/palete]],_Shipments[[#This Row],[Qtd.]])</f>
        <v>28</v>
      </c>
      <c r="O79" s="49">
        <f>_xlfn.XLOOKUP(_Shipments[[#This Row],[CLN]],[2]Dados!$D:$D,[2]Dados!$R:$R,"-")</f>
        <v>60</v>
      </c>
      <c r="P79" s="49" t="str" cm="1">
        <f t="array" ref="P79">_xlfn.LET(_xlpm.t,_xlfn.XLOOKUP(_Shipments[[#This Row],[CLN]],[2]Dados!$D:$D,[2]Dados!$Q:$Q,"-"),_xlfn.IFS(LEFT(_xlpm.t,3)="PAS","Saco",LEFT(_xlpm.t,3)="PBT","Big Bag",TRUE,"-"))</f>
        <v>Saco</v>
      </c>
      <c r="Q79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16.91</v>
      </c>
      <c r="R79" s="89">
        <f>IF(_Shipments[[#This Row],[Embalagem]]="Big Bag",_Shipments[[#This Row],[Qtd.]],ROUNDUP(_Shipments[[#This Row],[Qtd.]]/_Shipments[[#This Row],[Qtde. sacos/palete]],0))</f>
        <v>1</v>
      </c>
      <c r="S79" s="26" t="s">
        <v>131</v>
      </c>
      <c r="T79" s="51">
        <v>34999248710</v>
      </c>
      <c r="U79" s="26" t="s">
        <v>132</v>
      </c>
      <c r="V79" s="26" t="s">
        <v>133</v>
      </c>
      <c r="W79" s="26" t="s">
        <v>126</v>
      </c>
      <c r="Y79" s="88">
        <v>7244340</v>
      </c>
    </row>
    <row r="80" spans="1:25" x14ac:dyDescent="0.25">
      <c r="A80" s="47">
        <f>_xlfn.XLOOKUP(_Shipments[[#This Row],[Shipment]],[1]Report!$G:$G,[1]Report!$B:$B,"-")</f>
        <v>46275.333333333336</v>
      </c>
      <c r="B80" s="26">
        <v>7241954</v>
      </c>
      <c r="C80" s="26">
        <v>5541984145</v>
      </c>
      <c r="D80" s="26">
        <v>20</v>
      </c>
      <c r="E80" s="26" t="s">
        <v>36</v>
      </c>
      <c r="F80" s="85">
        <v>33</v>
      </c>
      <c r="G80" s="26" t="s">
        <v>283</v>
      </c>
      <c r="H80" s="26" t="s">
        <v>64</v>
      </c>
      <c r="I80" s="26" t="s">
        <v>65</v>
      </c>
      <c r="J80" s="26">
        <v>33</v>
      </c>
      <c r="K80" s="26">
        <v>7550836</v>
      </c>
      <c r="L80" s="26" t="s">
        <v>215</v>
      </c>
      <c r="M80" s="26" t="s">
        <v>38</v>
      </c>
      <c r="N80" s="48">
        <f>IF(_Shipments[[#This Row],[Embalagem]]="Big Bag",_Shipments[[#This Row],[Qtd.]]*_Shipments[[#This Row],[Qtde. sacos/palete]],_Shipments[[#This Row],[Qtd.]])</f>
        <v>33</v>
      </c>
      <c r="O80" s="49">
        <f>_xlfn.XLOOKUP(_Shipments[[#This Row],[CLN]],[2]Dados!$D:$D,[2]Dados!$R:$R,"-")</f>
        <v>60</v>
      </c>
      <c r="P80" s="49" t="str" cm="1">
        <f t="array" ref="P80">_xlfn.LET(_xlpm.t,_xlfn.XLOOKUP(_Shipments[[#This Row],[CLN]],[2]Dados!$D:$D,[2]Dados!$Q:$Q,"-"),_xlfn.IFS(LEFT(_xlpm.t,3)="PAS","Saco",LEFT(_xlpm.t,3)="PBT","Big Bag",TRUE,"-"))</f>
        <v>Saco</v>
      </c>
      <c r="Q80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14.89</v>
      </c>
      <c r="R80" s="89">
        <f>IF(_Shipments[[#This Row],[Embalagem]]="Big Bag",_Shipments[[#This Row],[Qtd.]],ROUNDUP(_Shipments[[#This Row],[Qtd.]]/_Shipments[[#This Row],[Qtde. sacos/palete]],0))</f>
        <v>1</v>
      </c>
      <c r="S80" s="26" t="s">
        <v>131</v>
      </c>
      <c r="T80" s="51">
        <v>34999248710</v>
      </c>
      <c r="U80" s="26" t="s">
        <v>132</v>
      </c>
      <c r="V80" s="26" t="s">
        <v>133</v>
      </c>
      <c r="W80" s="26" t="s">
        <v>126</v>
      </c>
      <c r="Y80" s="88">
        <v>7244341</v>
      </c>
    </row>
    <row r="81" spans="1:25" x14ac:dyDescent="0.25">
      <c r="A81" s="47">
        <f>_xlfn.XLOOKUP(_Shipments[[#This Row],[Shipment]],[1]Report!$G:$G,[1]Report!$B:$B,"-")</f>
        <v>46275.333333333336</v>
      </c>
      <c r="B81" s="26">
        <v>7241954</v>
      </c>
      <c r="C81" s="26">
        <v>5541984145</v>
      </c>
      <c r="D81" s="26">
        <v>21</v>
      </c>
      <c r="E81" s="26" t="s">
        <v>33</v>
      </c>
      <c r="F81" s="85">
        <v>22</v>
      </c>
      <c r="G81" s="26" t="s">
        <v>283</v>
      </c>
      <c r="H81" s="26" t="s">
        <v>64</v>
      </c>
      <c r="I81" s="26" t="s">
        <v>65</v>
      </c>
      <c r="J81" s="26">
        <v>22</v>
      </c>
      <c r="K81" s="26">
        <v>7520962</v>
      </c>
      <c r="L81" s="26" t="s">
        <v>216</v>
      </c>
      <c r="M81" s="26" t="s">
        <v>61</v>
      </c>
      <c r="N81" s="48">
        <f>IF(_Shipments[[#This Row],[Embalagem]]="Big Bag",_Shipments[[#This Row],[Qtd.]]*_Shipments[[#This Row],[Qtde. sacos/palete]],_Shipments[[#This Row],[Qtd.]])</f>
        <v>22</v>
      </c>
      <c r="O81" s="49">
        <f>_xlfn.XLOOKUP(_Shipments[[#This Row],[CLN]],[2]Dados!$D:$D,[2]Dados!$R:$R,"-")</f>
        <v>45</v>
      </c>
      <c r="P81" s="49" t="str" cm="1">
        <f t="array" ref="P81">_xlfn.LET(_xlpm.t,_xlfn.XLOOKUP(_Shipments[[#This Row],[CLN]],[2]Dados!$D:$D,[2]Dados!$Q:$Q,"-"),_xlfn.IFS(LEFT(_xlpm.t,3)="PAS","Saco",LEFT(_xlpm.t,3)="PBT","Big Bag",TRUE,"-"))</f>
        <v>Saco</v>
      </c>
      <c r="Q81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22.38</v>
      </c>
      <c r="R81" s="89">
        <f>IF(_Shipments[[#This Row],[Embalagem]]="Big Bag",_Shipments[[#This Row],[Qtd.]],ROUNDUP(_Shipments[[#This Row],[Qtd.]]/_Shipments[[#This Row],[Qtde. sacos/palete]],0))</f>
        <v>1</v>
      </c>
      <c r="S81" s="26" t="s">
        <v>131</v>
      </c>
      <c r="T81" s="51">
        <v>34999248710</v>
      </c>
      <c r="U81" s="26" t="s">
        <v>132</v>
      </c>
      <c r="V81" s="26" t="s">
        <v>133</v>
      </c>
      <c r="W81" s="26" t="s">
        <v>126</v>
      </c>
      <c r="Y81" s="88">
        <v>7244342</v>
      </c>
    </row>
    <row r="82" spans="1:25" x14ac:dyDescent="0.25">
      <c r="A82" s="47">
        <f>_xlfn.XLOOKUP(_Shipments[[#This Row],[Shipment]],[1]Report!$G:$G,[1]Report!$B:$B,"-")</f>
        <v>46268.333333333336</v>
      </c>
      <c r="B82" s="26">
        <v>7241962</v>
      </c>
      <c r="C82" s="26">
        <v>5541984151</v>
      </c>
      <c r="D82" s="26">
        <v>1</v>
      </c>
      <c r="E82" s="26" t="s">
        <v>13</v>
      </c>
      <c r="F82" s="85">
        <v>18</v>
      </c>
      <c r="G82" s="26" t="s">
        <v>283</v>
      </c>
      <c r="H82" s="26" t="s">
        <v>26</v>
      </c>
      <c r="I82" s="26" t="s">
        <v>27</v>
      </c>
      <c r="J82" s="26">
        <v>18</v>
      </c>
      <c r="K82" s="26">
        <v>7518210</v>
      </c>
      <c r="L82" s="26" t="s">
        <v>178</v>
      </c>
      <c r="M82" s="26" t="s">
        <v>35</v>
      </c>
      <c r="N82" s="48">
        <f>IF(_Shipments[[#This Row],[Embalagem]]="Big Bag",_Shipments[[#This Row],[Qtd.]]*_Shipments[[#This Row],[Qtde. sacos/palete]],_Shipments[[#This Row],[Qtd.]])</f>
        <v>720</v>
      </c>
      <c r="O82" s="49">
        <f>_xlfn.XLOOKUP(_Shipments[[#This Row],[CLN]],[2]Dados!$D:$D,[2]Dados!$R:$R,"-")</f>
        <v>40</v>
      </c>
      <c r="P82" s="49" t="str" cm="1">
        <f t="array" ref="P82">_xlfn.LET(_xlpm.t,_xlfn.XLOOKUP(_Shipments[[#This Row],[CLN]],[2]Dados!$D:$D,[2]Dados!$Q:$Q,"-"),_xlfn.IFS(LEFT(_xlpm.t,3)="PAS","Saco",LEFT(_xlpm.t,3)="PBT","Big Bag",TRUE,"-"))</f>
        <v>Big Bag</v>
      </c>
      <c r="Q82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667.6</v>
      </c>
      <c r="R82" s="89">
        <f>IF(_Shipments[[#This Row],[Embalagem]]="Big Bag",_Shipments[[#This Row],[Qtd.]],ROUNDUP(_Shipments[[#This Row],[Qtd.]]/_Shipments[[#This Row],[Qtde. sacos/palete]],0))</f>
        <v>18</v>
      </c>
      <c r="S82" s="26" t="s">
        <v>183</v>
      </c>
      <c r="T82" s="51">
        <v>34999031784</v>
      </c>
      <c r="U82" s="26" t="s">
        <v>184</v>
      </c>
      <c r="V82" s="26" t="s">
        <v>185</v>
      </c>
      <c r="W82" s="26" t="s">
        <v>126</v>
      </c>
      <c r="Y82" s="88">
        <v>7244343</v>
      </c>
    </row>
    <row r="83" spans="1:25" x14ac:dyDescent="0.25">
      <c r="A83" s="47">
        <f>_xlfn.XLOOKUP(_Shipments[[#This Row],[Shipment]],[1]Report!$G:$G,[1]Report!$B:$B,"-")</f>
        <v>46268.333333333336</v>
      </c>
      <c r="B83" s="26">
        <v>7241962</v>
      </c>
      <c r="C83" s="26">
        <v>5541984151</v>
      </c>
      <c r="D83" s="26">
        <v>2</v>
      </c>
      <c r="E83" s="26" t="s">
        <v>16</v>
      </c>
      <c r="F83" s="85">
        <v>3</v>
      </c>
      <c r="G83" s="26" t="s">
        <v>283</v>
      </c>
      <c r="H83" s="26" t="s">
        <v>26</v>
      </c>
      <c r="I83" s="26" t="s">
        <v>27</v>
      </c>
      <c r="J83" s="26">
        <v>3</v>
      </c>
      <c r="K83" s="26">
        <v>7518134</v>
      </c>
      <c r="L83" s="26" t="s">
        <v>63</v>
      </c>
      <c r="M83" s="26" t="s">
        <v>38</v>
      </c>
      <c r="N83" s="48">
        <f>IF(_Shipments[[#This Row],[Embalagem]]="Big Bag",_Shipments[[#This Row],[Qtd.]]*_Shipments[[#This Row],[Qtde. sacos/palete]],_Shipments[[#This Row],[Qtd.]])</f>
        <v>120</v>
      </c>
      <c r="O83" s="49">
        <f>_xlfn.XLOOKUP(_Shipments[[#This Row],[CLN]],[2]Dados!$D:$D,[2]Dados!$R:$R,"-")</f>
        <v>40</v>
      </c>
      <c r="P83" s="49" t="str" cm="1">
        <f t="array" ref="P83">_xlfn.LET(_xlpm.t,_xlfn.XLOOKUP(_Shipments[[#This Row],[CLN]],[2]Dados!$D:$D,[2]Dados!$Q:$Q,"-"),_xlfn.IFS(LEFT(_xlpm.t,3)="PAS","Saco",LEFT(_xlpm.t,3)="PBT","Big Bag",TRUE,"-"))</f>
        <v>Big Bag</v>
      </c>
      <c r="Q83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591.59999999999991</v>
      </c>
      <c r="R83" s="89">
        <f>IF(_Shipments[[#This Row],[Embalagem]]="Big Bag",_Shipments[[#This Row],[Qtd.]],ROUNDUP(_Shipments[[#This Row],[Qtd.]]/_Shipments[[#This Row],[Qtde. sacos/palete]],0))</f>
        <v>3</v>
      </c>
      <c r="S83" s="26" t="s">
        <v>183</v>
      </c>
      <c r="T83" s="51">
        <v>34999031784</v>
      </c>
      <c r="U83" s="26" t="s">
        <v>184</v>
      </c>
      <c r="V83" s="26" t="s">
        <v>185</v>
      </c>
      <c r="W83" s="26" t="s">
        <v>126</v>
      </c>
      <c r="Y83" s="88">
        <v>7246790</v>
      </c>
    </row>
    <row r="84" spans="1:25" x14ac:dyDescent="0.25">
      <c r="A84" s="47">
        <f>_xlfn.XLOOKUP(_Shipments[[#This Row],[Shipment]],[1]Report!$G:$G,[1]Report!$B:$B,"-")</f>
        <v>46275.333333333336</v>
      </c>
      <c r="B84" s="26">
        <v>7241989</v>
      </c>
      <c r="C84" s="26">
        <v>5541984189</v>
      </c>
      <c r="D84" s="26">
        <v>1</v>
      </c>
      <c r="E84" s="26" t="s">
        <v>16</v>
      </c>
      <c r="F84" s="85">
        <v>21</v>
      </c>
      <c r="G84" s="26" t="s">
        <v>283</v>
      </c>
      <c r="H84" s="26" t="s">
        <v>64</v>
      </c>
      <c r="I84" s="26" t="s">
        <v>65</v>
      </c>
      <c r="J84" s="26">
        <v>21</v>
      </c>
      <c r="K84" s="26">
        <v>7518145</v>
      </c>
      <c r="L84" s="26" t="s">
        <v>195</v>
      </c>
      <c r="M84" s="26" t="s">
        <v>46</v>
      </c>
      <c r="N84" s="48">
        <f>IF(_Shipments[[#This Row],[Embalagem]]="Big Bag",_Shipments[[#This Row],[Qtd.]]*_Shipments[[#This Row],[Qtde. sacos/palete]],_Shipments[[#This Row],[Qtd.]])</f>
        <v>840</v>
      </c>
      <c r="O84" s="49">
        <f>_xlfn.XLOOKUP(_Shipments[[#This Row],[CLN]],[2]Dados!$D:$D,[2]Dados!$R:$R,"-")</f>
        <v>40</v>
      </c>
      <c r="P84" s="49" t="str" cm="1">
        <f t="array" ref="P84">_xlfn.LET(_xlpm.t,_xlfn.XLOOKUP(_Shipments[[#This Row],[CLN]],[2]Dados!$D:$D,[2]Dados!$Q:$Q,"-"),_xlfn.IFS(LEFT(_xlpm.t,3)="PAS","Saco",LEFT(_xlpm.t,3)="PBT","Big Bag",TRUE,"-"))</f>
        <v>Big Bag</v>
      </c>
      <c r="Q84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678.40000000000009</v>
      </c>
      <c r="R84" s="89">
        <f>IF(_Shipments[[#This Row],[Embalagem]]="Big Bag",_Shipments[[#This Row],[Qtd.]],ROUNDUP(_Shipments[[#This Row],[Qtd.]]/_Shipments[[#This Row],[Qtde. sacos/palete]],0))</f>
        <v>21</v>
      </c>
      <c r="S84" s="26" t="s">
        <v>136</v>
      </c>
      <c r="T84" s="51">
        <v>34991030020</v>
      </c>
      <c r="U84" s="26" t="s">
        <v>137</v>
      </c>
      <c r="V84" s="26" t="s">
        <v>220</v>
      </c>
      <c r="W84" s="26" t="s">
        <v>126</v>
      </c>
      <c r="Y84" s="88">
        <v>7246858</v>
      </c>
    </row>
    <row r="85" spans="1:25" x14ac:dyDescent="0.25">
      <c r="A85" s="47">
        <f>_xlfn.XLOOKUP(_Shipments[[#This Row],[Shipment]],[1]Report!$G:$G,[1]Report!$B:$B,"-")</f>
        <v>46275.375</v>
      </c>
      <c r="B85" s="26">
        <v>7241990</v>
      </c>
      <c r="C85" s="26">
        <v>5541984190</v>
      </c>
      <c r="D85" s="26">
        <v>1</v>
      </c>
      <c r="E85" s="26" t="s">
        <v>13</v>
      </c>
      <c r="F85" s="85">
        <v>21</v>
      </c>
      <c r="G85" s="26" t="s">
        <v>283</v>
      </c>
      <c r="H85" s="26" t="s">
        <v>64</v>
      </c>
      <c r="I85" s="26" t="s">
        <v>65</v>
      </c>
      <c r="J85" s="26">
        <v>21</v>
      </c>
      <c r="K85" s="26">
        <v>7518218</v>
      </c>
      <c r="L85" s="26" t="s">
        <v>217</v>
      </c>
      <c r="M85" s="26" t="s">
        <v>35</v>
      </c>
      <c r="N85" s="48">
        <f>IF(_Shipments[[#This Row],[Embalagem]]="Big Bag",_Shipments[[#This Row],[Qtd.]]*_Shipments[[#This Row],[Qtde. sacos/palete]],_Shipments[[#This Row],[Qtd.]])</f>
        <v>840</v>
      </c>
      <c r="O85" s="49">
        <f>_xlfn.XLOOKUP(_Shipments[[#This Row],[CLN]],[2]Dados!$D:$D,[2]Dados!$R:$R,"-")</f>
        <v>40</v>
      </c>
      <c r="P85" s="49" t="str" cm="1">
        <f t="array" ref="P85">_xlfn.LET(_xlpm.t,_xlfn.XLOOKUP(_Shipments[[#This Row],[CLN]],[2]Dados!$D:$D,[2]Dados!$Q:$Q,"-"),_xlfn.IFS(LEFT(_xlpm.t,3)="PAS","Saco",LEFT(_xlpm.t,3)="PBT","Big Bag",TRUE,"-"))</f>
        <v>Big Bag</v>
      </c>
      <c r="Q85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756.80000000000007</v>
      </c>
      <c r="R85" s="89">
        <f>IF(_Shipments[[#This Row],[Embalagem]]="Big Bag",_Shipments[[#This Row],[Qtd.]],ROUNDUP(_Shipments[[#This Row],[Qtd.]]/_Shipments[[#This Row],[Qtde. sacos/palete]],0))</f>
        <v>21</v>
      </c>
      <c r="S85" s="26" t="s">
        <v>141</v>
      </c>
      <c r="T85" s="51">
        <v>34999810409</v>
      </c>
      <c r="U85" s="26" t="s">
        <v>142</v>
      </c>
      <c r="V85" s="26" t="s">
        <v>143</v>
      </c>
      <c r="W85" s="26" t="s">
        <v>126</v>
      </c>
      <c r="Y85" s="88">
        <v>7246859</v>
      </c>
    </row>
    <row r="86" spans="1:25" x14ac:dyDescent="0.25">
      <c r="A86" s="47">
        <f>_xlfn.XLOOKUP(_Shipments[[#This Row],[Shipment]],[1]Report!$G:$G,[1]Report!$B:$B,"-")</f>
        <v>46275.375</v>
      </c>
      <c r="B86" s="26">
        <v>7241991</v>
      </c>
      <c r="C86" s="26">
        <v>5541984191</v>
      </c>
      <c r="D86" s="26">
        <v>1</v>
      </c>
      <c r="E86" s="26" t="s">
        <v>56</v>
      </c>
      <c r="F86" s="85">
        <v>19</v>
      </c>
      <c r="G86" s="26" t="s">
        <v>283</v>
      </c>
      <c r="H86" s="26" t="s">
        <v>64</v>
      </c>
      <c r="I86" s="26" t="s">
        <v>65</v>
      </c>
      <c r="J86" s="26">
        <v>19</v>
      </c>
      <c r="K86" s="26">
        <v>7518200</v>
      </c>
      <c r="L86" s="26" t="s">
        <v>218</v>
      </c>
      <c r="M86" s="26" t="s">
        <v>32</v>
      </c>
      <c r="N86" s="48">
        <f>IF(_Shipments[[#This Row],[Embalagem]]="Big Bag",_Shipments[[#This Row],[Qtd.]]*_Shipments[[#This Row],[Qtde. sacos/palete]],_Shipments[[#This Row],[Qtd.]])</f>
        <v>760</v>
      </c>
      <c r="O86" s="49">
        <f>_xlfn.XLOOKUP(_Shipments[[#This Row],[CLN]],[2]Dados!$D:$D,[2]Dados!$R:$R,"-")</f>
        <v>40</v>
      </c>
      <c r="P86" s="49" t="str" cm="1">
        <f t="array" ref="P86">_xlfn.LET(_xlpm.t,_xlfn.XLOOKUP(_Shipments[[#This Row],[CLN]],[2]Dados!$D:$D,[2]Dados!$Q:$Q,"-"),_xlfn.IFS(LEFT(_xlpm.t,3)="PAS","Saco",LEFT(_xlpm.t,3)="PBT","Big Bag",TRUE,"-"))</f>
        <v>Big Bag</v>
      </c>
      <c r="Q86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666.80000000000007</v>
      </c>
      <c r="R86" s="89">
        <f>IF(_Shipments[[#This Row],[Embalagem]]="Big Bag",_Shipments[[#This Row],[Qtd.]],ROUNDUP(_Shipments[[#This Row],[Qtd.]]/_Shipments[[#This Row],[Qtde. sacos/palete]],0))</f>
        <v>19</v>
      </c>
      <c r="S86" s="26" t="s">
        <v>225</v>
      </c>
      <c r="T86" s="51">
        <v>34991337791</v>
      </c>
      <c r="U86" s="26" t="s">
        <v>120</v>
      </c>
      <c r="V86" s="26" t="s">
        <v>121</v>
      </c>
      <c r="W86" s="26" t="s">
        <v>126</v>
      </c>
      <c r="Y86" s="88">
        <v>7246860</v>
      </c>
    </row>
    <row r="87" spans="1:25" x14ac:dyDescent="0.25">
      <c r="A87" s="47">
        <f>_xlfn.XLOOKUP(_Shipments[[#This Row],[Shipment]],[1]Report!$G:$G,[1]Report!$B:$B,"-")</f>
        <v>46275.375</v>
      </c>
      <c r="B87" s="26">
        <v>7241991</v>
      </c>
      <c r="C87" s="26">
        <v>5541984191</v>
      </c>
      <c r="D87" s="26">
        <v>2</v>
      </c>
      <c r="E87" s="26" t="s">
        <v>16</v>
      </c>
      <c r="F87" s="85">
        <v>2</v>
      </c>
      <c r="G87" s="26" t="s">
        <v>283</v>
      </c>
      <c r="H87" s="26" t="s">
        <v>64</v>
      </c>
      <c r="I87" s="26" t="s">
        <v>65</v>
      </c>
      <c r="J87" s="26">
        <v>2</v>
      </c>
      <c r="K87" s="26">
        <v>7566370</v>
      </c>
      <c r="L87" s="26" t="s">
        <v>186</v>
      </c>
      <c r="M87" s="26" t="s">
        <v>38</v>
      </c>
      <c r="N87" s="48">
        <f>IF(_Shipments[[#This Row],[Embalagem]]="Big Bag",_Shipments[[#This Row],[Qtd.]]*_Shipments[[#This Row],[Qtde. sacos/palete]],_Shipments[[#This Row],[Qtd.]])</f>
        <v>80</v>
      </c>
      <c r="O87" s="49">
        <f>_xlfn.XLOOKUP(_Shipments[[#This Row],[CLN]],[2]Dados!$D:$D,[2]Dados!$R:$R,"-")</f>
        <v>40</v>
      </c>
      <c r="P87" s="49" t="str" cm="1">
        <f t="array" ref="P87">_xlfn.LET(_xlpm.t,_xlfn.XLOOKUP(_Shipments[[#This Row],[CLN]],[2]Dados!$D:$D,[2]Dados!$Q:$Q,"-"),_xlfn.IFS(LEFT(_xlpm.t,3)="PAS","Saco",LEFT(_xlpm.t,3)="PBT","Big Bag",TRUE,"-"))</f>
        <v>Big Bag</v>
      </c>
      <c r="Q87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707.2</v>
      </c>
      <c r="R87" s="89">
        <f>IF(_Shipments[[#This Row],[Embalagem]]="Big Bag",_Shipments[[#This Row],[Qtd.]],ROUNDUP(_Shipments[[#This Row],[Qtd.]]/_Shipments[[#This Row],[Qtde. sacos/palete]],0))</f>
        <v>2</v>
      </c>
      <c r="S87" s="26" t="s">
        <v>225</v>
      </c>
      <c r="T87" s="51">
        <v>34991337791</v>
      </c>
      <c r="U87" s="26" t="s">
        <v>120</v>
      </c>
      <c r="V87" s="26" t="s">
        <v>121</v>
      </c>
      <c r="W87" s="26" t="s">
        <v>126</v>
      </c>
      <c r="Y87" s="88">
        <v>7246861</v>
      </c>
    </row>
    <row r="88" spans="1:25" x14ac:dyDescent="0.25">
      <c r="A88" s="47">
        <f>_xlfn.XLOOKUP(_Shipments[[#This Row],[Shipment]],[1]Report!$G:$G,[1]Report!$B:$B,"-")</f>
        <v>46276.333333333336</v>
      </c>
      <c r="B88" s="26">
        <v>7241993</v>
      </c>
      <c r="C88" s="26">
        <v>5541984192</v>
      </c>
      <c r="D88" s="26">
        <v>1</v>
      </c>
      <c r="E88" s="26" t="s">
        <v>16</v>
      </c>
      <c r="F88" s="85">
        <v>20</v>
      </c>
      <c r="G88" s="26" t="s">
        <v>283</v>
      </c>
      <c r="H88" s="26" t="s">
        <v>64</v>
      </c>
      <c r="I88" s="26" t="s">
        <v>65</v>
      </c>
      <c r="J88" s="26">
        <v>20</v>
      </c>
      <c r="K88" s="26">
        <v>7566370</v>
      </c>
      <c r="L88" s="26" t="s">
        <v>186</v>
      </c>
      <c r="M88" s="26" t="s">
        <v>38</v>
      </c>
      <c r="N88" s="48">
        <f>IF(_Shipments[[#This Row],[Embalagem]]="Big Bag",_Shipments[[#This Row],[Qtd.]]*_Shipments[[#This Row],[Qtde. sacos/palete]],_Shipments[[#This Row],[Qtd.]])</f>
        <v>800</v>
      </c>
      <c r="O88" s="49">
        <f>_xlfn.XLOOKUP(_Shipments[[#This Row],[CLN]],[2]Dados!$D:$D,[2]Dados!$R:$R,"-")</f>
        <v>40</v>
      </c>
      <c r="P88" s="49" t="str" cm="1">
        <f t="array" ref="P88">_xlfn.LET(_xlpm.t,_xlfn.XLOOKUP(_Shipments[[#This Row],[CLN]],[2]Dados!$D:$D,[2]Dados!$Q:$Q,"-"),_xlfn.IFS(LEFT(_xlpm.t,3)="PAS","Saco",LEFT(_xlpm.t,3)="PBT","Big Bag",TRUE,"-"))</f>
        <v>Big Bag</v>
      </c>
      <c r="Q88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707.2</v>
      </c>
      <c r="R88" s="89">
        <f>IF(_Shipments[[#This Row],[Embalagem]]="Big Bag",_Shipments[[#This Row],[Qtd.]],ROUNDUP(_Shipments[[#This Row],[Qtd.]]/_Shipments[[#This Row],[Qtde. sacos/palete]],0))</f>
        <v>20</v>
      </c>
      <c r="S88" s="26" t="s">
        <v>136</v>
      </c>
      <c r="T88" s="51">
        <v>34991030020</v>
      </c>
      <c r="U88" s="26" t="s">
        <v>137</v>
      </c>
      <c r="V88" s="26" t="s">
        <v>220</v>
      </c>
      <c r="W88" s="26" t="s">
        <v>126</v>
      </c>
      <c r="Y88" s="88">
        <v>7246862</v>
      </c>
    </row>
    <row r="89" spans="1:25" x14ac:dyDescent="0.25">
      <c r="A89" s="47">
        <f>_xlfn.XLOOKUP(_Shipments[[#This Row],[Shipment]],[1]Report!$G:$G,[1]Report!$B:$B,"-")</f>
        <v>46276.333333333336</v>
      </c>
      <c r="B89" s="26">
        <v>7241994</v>
      </c>
      <c r="C89" s="26">
        <v>5541984193</v>
      </c>
      <c r="D89" s="26">
        <v>1</v>
      </c>
      <c r="E89" s="26" t="s">
        <v>56</v>
      </c>
      <c r="F89" s="85">
        <v>21</v>
      </c>
      <c r="G89" s="26" t="s">
        <v>283</v>
      </c>
      <c r="H89" s="26" t="s">
        <v>64</v>
      </c>
      <c r="I89" s="26" t="s">
        <v>65</v>
      </c>
      <c r="J89" s="26">
        <v>21</v>
      </c>
      <c r="K89" s="26">
        <v>7518190</v>
      </c>
      <c r="L89" s="26" t="s">
        <v>187</v>
      </c>
      <c r="M89" s="26" t="s">
        <v>32</v>
      </c>
      <c r="N89" s="48">
        <f>IF(_Shipments[[#This Row],[Embalagem]]="Big Bag",_Shipments[[#This Row],[Qtd.]]*_Shipments[[#This Row],[Qtde. sacos/palete]],_Shipments[[#This Row],[Qtd.]])</f>
        <v>840</v>
      </c>
      <c r="O89" s="49">
        <f>_xlfn.XLOOKUP(_Shipments[[#This Row],[CLN]],[2]Dados!$D:$D,[2]Dados!$R:$R,"-")</f>
        <v>40</v>
      </c>
      <c r="P89" s="49" t="str" cm="1">
        <f t="array" ref="P89">_xlfn.LET(_xlpm.t,_xlfn.XLOOKUP(_Shipments[[#This Row],[CLN]],[2]Dados!$D:$D,[2]Dados!$Q:$Q,"-"),_xlfn.IFS(LEFT(_xlpm.t,3)="PAS","Saco",LEFT(_xlpm.t,3)="PBT","Big Bag",TRUE,"-"))</f>
        <v>Big Bag</v>
      </c>
      <c r="Q89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588.40000000000009</v>
      </c>
      <c r="R89" s="89">
        <f>IF(_Shipments[[#This Row],[Embalagem]]="Big Bag",_Shipments[[#This Row],[Qtd.]],ROUNDUP(_Shipments[[#This Row],[Qtd.]]/_Shipments[[#This Row],[Qtde. sacos/palete]],0))</f>
        <v>21</v>
      </c>
      <c r="S89" s="26" t="s">
        <v>128</v>
      </c>
      <c r="T89" s="51">
        <v>34997330803</v>
      </c>
      <c r="U89" s="26" t="s">
        <v>129</v>
      </c>
      <c r="V89" s="26" t="s">
        <v>130</v>
      </c>
      <c r="W89" s="26" t="s">
        <v>126</v>
      </c>
      <c r="Y89" s="88">
        <v>7246864</v>
      </c>
    </row>
    <row r="90" spans="1:25" x14ac:dyDescent="0.25">
      <c r="A90" s="47">
        <f>_xlfn.XLOOKUP(_Shipments[[#This Row],[Shipment]],[1]Report!$G:$G,[1]Report!$B:$B,"-")</f>
        <v>46276.375</v>
      </c>
      <c r="B90" s="26">
        <v>7241996</v>
      </c>
      <c r="C90" s="26">
        <v>5541984194</v>
      </c>
      <c r="D90" s="26">
        <v>1</v>
      </c>
      <c r="E90" s="26" t="s">
        <v>56</v>
      </c>
      <c r="F90" s="85">
        <v>3</v>
      </c>
      <c r="G90" s="26" t="s">
        <v>283</v>
      </c>
      <c r="H90" s="26" t="s">
        <v>64</v>
      </c>
      <c r="I90" s="26" t="s">
        <v>65</v>
      </c>
      <c r="J90" s="26">
        <v>3</v>
      </c>
      <c r="K90" s="26">
        <v>7518190</v>
      </c>
      <c r="L90" s="26" t="s">
        <v>187</v>
      </c>
      <c r="M90" s="26" t="s">
        <v>32</v>
      </c>
      <c r="N90" s="48">
        <f>IF(_Shipments[[#This Row],[Embalagem]]="Big Bag",_Shipments[[#This Row],[Qtd.]]*_Shipments[[#This Row],[Qtde. sacos/palete]],_Shipments[[#This Row],[Qtd.]])</f>
        <v>120</v>
      </c>
      <c r="O90" s="49">
        <f>_xlfn.XLOOKUP(_Shipments[[#This Row],[CLN]],[2]Dados!$D:$D,[2]Dados!$R:$R,"-")</f>
        <v>40</v>
      </c>
      <c r="P90" s="49" t="str" cm="1">
        <f t="array" ref="P90">_xlfn.LET(_xlpm.t,_xlfn.XLOOKUP(_Shipments[[#This Row],[CLN]],[2]Dados!$D:$D,[2]Dados!$Q:$Q,"-"),_xlfn.IFS(LEFT(_xlpm.t,3)="PAS","Saco",LEFT(_xlpm.t,3)="PBT","Big Bag",TRUE,"-"))</f>
        <v>Big Bag</v>
      </c>
      <c r="Q90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588.40000000000009</v>
      </c>
      <c r="R90" s="89">
        <f>IF(_Shipments[[#This Row],[Embalagem]]="Big Bag",_Shipments[[#This Row],[Qtd.]],ROUNDUP(_Shipments[[#This Row],[Qtd.]]/_Shipments[[#This Row],[Qtde. sacos/palete]],0))</f>
        <v>3</v>
      </c>
      <c r="S90" s="26" t="s">
        <v>141</v>
      </c>
      <c r="T90" s="51">
        <v>34999810409</v>
      </c>
      <c r="U90" s="26" t="s">
        <v>142</v>
      </c>
      <c r="V90" s="26" t="s">
        <v>143</v>
      </c>
      <c r="W90" s="26" t="s">
        <v>126</v>
      </c>
      <c r="Y90" s="88">
        <v>7246865</v>
      </c>
    </row>
    <row r="91" spans="1:25" x14ac:dyDescent="0.25">
      <c r="A91" s="47">
        <f>_xlfn.XLOOKUP(_Shipments[[#This Row],[Shipment]],[1]Report!$G:$G,[1]Report!$B:$B,"-")</f>
        <v>46276.375</v>
      </c>
      <c r="B91" s="26">
        <v>7241996</v>
      </c>
      <c r="C91" s="26">
        <v>5541984194</v>
      </c>
      <c r="D91" s="26">
        <v>2</v>
      </c>
      <c r="E91" s="26" t="s">
        <v>59</v>
      </c>
      <c r="F91" s="85">
        <v>17</v>
      </c>
      <c r="G91" s="26" t="s">
        <v>283</v>
      </c>
      <c r="H91" s="26" t="s">
        <v>64</v>
      </c>
      <c r="I91" s="26" t="s">
        <v>65</v>
      </c>
      <c r="J91" s="26">
        <v>17</v>
      </c>
      <c r="K91" s="26">
        <v>7518229</v>
      </c>
      <c r="L91" s="26" t="s">
        <v>188</v>
      </c>
      <c r="M91" s="26" t="s">
        <v>61</v>
      </c>
      <c r="N91" s="48">
        <f>IF(_Shipments[[#This Row],[Embalagem]]="Big Bag",_Shipments[[#This Row],[Qtd.]]*_Shipments[[#This Row],[Qtde. sacos/palete]],_Shipments[[#This Row],[Qtd.]])</f>
        <v>680</v>
      </c>
      <c r="O91" s="49">
        <f>_xlfn.XLOOKUP(_Shipments[[#This Row],[CLN]],[2]Dados!$D:$D,[2]Dados!$R:$R,"-")</f>
        <v>40</v>
      </c>
      <c r="P91" s="49" t="str" cm="1">
        <f t="array" ref="P91">_xlfn.LET(_xlpm.t,_xlfn.XLOOKUP(_Shipments[[#This Row],[CLN]],[2]Dados!$D:$D,[2]Dados!$Q:$Q,"-"),_xlfn.IFS(LEFT(_xlpm.t,3)="PAS","Saco",LEFT(_xlpm.t,3)="PBT","Big Bag",TRUE,"-"))</f>
        <v>Big Bag</v>
      </c>
      <c r="Q91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895.19999999999993</v>
      </c>
      <c r="R91" s="89">
        <f>IF(_Shipments[[#This Row],[Embalagem]]="Big Bag",_Shipments[[#This Row],[Qtd.]],ROUNDUP(_Shipments[[#This Row],[Qtd.]]/_Shipments[[#This Row],[Qtde. sacos/palete]],0))</f>
        <v>17</v>
      </c>
      <c r="S91" s="26" t="s">
        <v>141</v>
      </c>
      <c r="T91" s="51">
        <v>34999810409</v>
      </c>
      <c r="U91" s="26" t="s">
        <v>142</v>
      </c>
      <c r="V91" s="26" t="s">
        <v>143</v>
      </c>
      <c r="W91" s="26" t="s">
        <v>126</v>
      </c>
      <c r="Y91" s="88">
        <v>7248673</v>
      </c>
    </row>
    <row r="92" spans="1:25" x14ac:dyDescent="0.25">
      <c r="A92" s="47">
        <f>_xlfn.XLOOKUP(_Shipments[[#This Row],[Shipment]],[1]Report!$G:$G,[1]Report!$B:$B,"-")</f>
        <v>46276.375</v>
      </c>
      <c r="B92" s="26">
        <v>7241997</v>
      </c>
      <c r="C92" s="26">
        <v>5541984195</v>
      </c>
      <c r="D92" s="26">
        <v>1</v>
      </c>
      <c r="E92" s="26" t="s">
        <v>25</v>
      </c>
      <c r="F92" s="85">
        <v>1198</v>
      </c>
      <c r="G92" s="26" t="s">
        <v>283</v>
      </c>
      <c r="H92" s="26" t="s">
        <v>64</v>
      </c>
      <c r="I92" s="26" t="s">
        <v>65</v>
      </c>
      <c r="J92" s="26">
        <v>1198</v>
      </c>
      <c r="K92" s="26">
        <v>7559911</v>
      </c>
      <c r="L92" s="26" t="s">
        <v>189</v>
      </c>
      <c r="M92" s="26" t="s">
        <v>29</v>
      </c>
      <c r="N92" s="48">
        <f>IF(_Shipments[[#This Row],[Embalagem]]="Big Bag",_Shipments[[#This Row],[Qtd.]]*_Shipments[[#This Row],[Qtde. sacos/palete]],_Shipments[[#This Row],[Qtd.]])</f>
        <v>1198</v>
      </c>
      <c r="O92" s="49">
        <f>_xlfn.XLOOKUP(_Shipments[[#This Row],[CLN]],[2]Dados!$D:$D,[2]Dados!$R:$R,"-")</f>
        <v>70</v>
      </c>
      <c r="P92" s="49" t="str" cm="1">
        <f t="array" ref="P92">_xlfn.LET(_xlpm.t,_xlfn.XLOOKUP(_Shipments[[#This Row],[CLN]],[2]Dados!$D:$D,[2]Dados!$Q:$Q,"-"),_xlfn.IFS(LEFT(_xlpm.t,3)="PAS","Saco",LEFT(_xlpm.t,3)="PBT","Big Bag",TRUE,"-"))</f>
        <v>Saco</v>
      </c>
      <c r="Q92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12.57</v>
      </c>
      <c r="R92" s="89">
        <f>IF(_Shipments[[#This Row],[Embalagem]]="Big Bag",_Shipments[[#This Row],[Qtd.]],ROUNDUP(_Shipments[[#This Row],[Qtd.]]/_Shipments[[#This Row],[Qtde. sacos/palete]],0))</f>
        <v>18</v>
      </c>
      <c r="S92" s="26" t="s">
        <v>165</v>
      </c>
      <c r="T92" s="51">
        <v>34991057132</v>
      </c>
      <c r="U92" s="26" t="s">
        <v>156</v>
      </c>
      <c r="V92" s="26" t="s">
        <v>157</v>
      </c>
      <c r="W92" s="26" t="s">
        <v>126</v>
      </c>
      <c r="Y92" s="88">
        <v>7248679</v>
      </c>
    </row>
    <row r="93" spans="1:25" x14ac:dyDescent="0.25">
      <c r="A93" s="47">
        <f>_xlfn.XLOOKUP(_Shipments[[#This Row],[Shipment]],[1]Report!$G:$G,[1]Report!$B:$B,"-")</f>
        <v>46276.375</v>
      </c>
      <c r="B93" s="26">
        <v>7241997</v>
      </c>
      <c r="C93" s="26">
        <v>5541984195</v>
      </c>
      <c r="D93" s="26">
        <v>2</v>
      </c>
      <c r="E93" s="26" t="s">
        <v>36</v>
      </c>
      <c r="F93" s="85">
        <v>39</v>
      </c>
      <c r="G93" s="26" t="s">
        <v>283</v>
      </c>
      <c r="H93" s="26" t="s">
        <v>64</v>
      </c>
      <c r="I93" s="26" t="s">
        <v>65</v>
      </c>
      <c r="J93" s="26">
        <v>39</v>
      </c>
      <c r="K93" s="26">
        <v>7566354</v>
      </c>
      <c r="L93" s="26" t="s">
        <v>190</v>
      </c>
      <c r="M93" s="26" t="s">
        <v>38</v>
      </c>
      <c r="N93" s="48">
        <f>IF(_Shipments[[#This Row],[Embalagem]]="Big Bag",_Shipments[[#This Row],[Qtd.]]*_Shipments[[#This Row],[Qtde. sacos/palete]],_Shipments[[#This Row],[Qtd.]])</f>
        <v>39</v>
      </c>
      <c r="O93" s="49">
        <f>_xlfn.XLOOKUP(_Shipments[[#This Row],[CLN]],[2]Dados!$D:$D,[2]Dados!$R:$R,"-")</f>
        <v>60</v>
      </c>
      <c r="P93" s="49" t="str" cm="1">
        <f t="array" ref="P93">_xlfn.LET(_xlpm.t,_xlfn.XLOOKUP(_Shipments[[#This Row],[CLN]],[2]Dados!$D:$D,[2]Dados!$Q:$Q,"-"),_xlfn.IFS(LEFT(_xlpm.t,3)="PAS","Saco",LEFT(_xlpm.t,3)="PBT","Big Bag",TRUE,"-"))</f>
        <v>Saco</v>
      </c>
      <c r="Q93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17.27</v>
      </c>
      <c r="R93" s="89">
        <f>IF(_Shipments[[#This Row],[Embalagem]]="Big Bag",_Shipments[[#This Row],[Qtd.]],ROUNDUP(_Shipments[[#This Row],[Qtd.]]/_Shipments[[#This Row],[Qtde. sacos/palete]],0))</f>
        <v>1</v>
      </c>
      <c r="S93" s="26" t="s">
        <v>165</v>
      </c>
      <c r="T93" s="51">
        <v>34991057132</v>
      </c>
      <c r="U93" s="26" t="s">
        <v>156</v>
      </c>
      <c r="V93" s="26" t="s">
        <v>157</v>
      </c>
      <c r="W93" s="26" t="s">
        <v>126</v>
      </c>
      <c r="Y93" s="88">
        <v>7248680</v>
      </c>
    </row>
    <row r="94" spans="1:25" x14ac:dyDescent="0.25">
      <c r="A94" s="47">
        <f>_xlfn.XLOOKUP(_Shipments[[#This Row],[Shipment]],[1]Report!$G:$G,[1]Report!$B:$B,"-")</f>
        <v>46276.375</v>
      </c>
      <c r="B94" s="26">
        <v>7241997</v>
      </c>
      <c r="C94" s="26">
        <v>5541984195</v>
      </c>
      <c r="D94" s="26">
        <v>3</v>
      </c>
      <c r="E94" s="26" t="s">
        <v>36</v>
      </c>
      <c r="F94" s="85">
        <v>39</v>
      </c>
      <c r="G94" s="26" t="s">
        <v>283</v>
      </c>
      <c r="H94" s="26" t="s">
        <v>64</v>
      </c>
      <c r="I94" s="26" t="s">
        <v>65</v>
      </c>
      <c r="J94" s="26">
        <v>39</v>
      </c>
      <c r="K94" s="26">
        <v>7566355</v>
      </c>
      <c r="L94" s="26" t="s">
        <v>191</v>
      </c>
      <c r="M94" s="26" t="s">
        <v>38</v>
      </c>
      <c r="N94" s="48">
        <f>IF(_Shipments[[#This Row],[Embalagem]]="Big Bag",_Shipments[[#This Row],[Qtd.]]*_Shipments[[#This Row],[Qtde. sacos/palete]],_Shipments[[#This Row],[Qtd.]])</f>
        <v>39</v>
      </c>
      <c r="O94" s="49">
        <f>_xlfn.XLOOKUP(_Shipments[[#This Row],[CLN]],[2]Dados!$D:$D,[2]Dados!$R:$R,"-")</f>
        <v>50</v>
      </c>
      <c r="P94" s="49" t="str" cm="1">
        <f t="array" ref="P94">_xlfn.LET(_xlpm.t,_xlfn.XLOOKUP(_Shipments[[#This Row],[CLN]],[2]Dados!$D:$D,[2]Dados!$Q:$Q,"-"),_xlfn.IFS(LEFT(_xlpm.t,3)="PAS","Saco",LEFT(_xlpm.t,3)="PBT","Big Bag",TRUE,"-"))</f>
        <v>Saco</v>
      </c>
      <c r="Q94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17.510000000000002</v>
      </c>
      <c r="R94" s="89">
        <f>IF(_Shipments[[#This Row],[Embalagem]]="Big Bag",_Shipments[[#This Row],[Qtd.]],ROUNDUP(_Shipments[[#This Row],[Qtd.]]/_Shipments[[#This Row],[Qtde. sacos/palete]],0))</f>
        <v>1</v>
      </c>
      <c r="S94" s="26" t="s">
        <v>165</v>
      </c>
      <c r="T94" s="51">
        <v>34991057132</v>
      </c>
      <c r="U94" s="26" t="s">
        <v>156</v>
      </c>
      <c r="V94" s="26" t="s">
        <v>157</v>
      </c>
      <c r="W94" s="26" t="s">
        <v>126</v>
      </c>
      <c r="Y94" s="88">
        <v>7248682</v>
      </c>
    </row>
    <row r="95" spans="1:25" x14ac:dyDescent="0.25">
      <c r="A95" s="47">
        <f>_xlfn.XLOOKUP(_Shipments[[#This Row],[Shipment]],[1]Report!$G:$G,[1]Report!$B:$B,"-")</f>
        <v>46289.416666666664</v>
      </c>
      <c r="B95" s="26">
        <v>7242699</v>
      </c>
      <c r="C95" s="26">
        <v>5541984817</v>
      </c>
      <c r="D95" s="26">
        <v>1</v>
      </c>
      <c r="E95" s="26" t="s">
        <v>16</v>
      </c>
      <c r="F95" s="85">
        <v>4</v>
      </c>
      <c r="G95" s="26" t="s">
        <v>283</v>
      </c>
      <c r="H95" s="26" t="s">
        <v>64</v>
      </c>
      <c r="I95" s="26" t="s">
        <v>65</v>
      </c>
      <c r="J95" s="26">
        <v>4</v>
      </c>
      <c r="K95" s="26">
        <v>7518147</v>
      </c>
      <c r="L95" s="26" t="s">
        <v>226</v>
      </c>
      <c r="M95" s="26" t="s">
        <v>46</v>
      </c>
      <c r="N95" s="48">
        <f>IF(_Shipments[[#This Row],[Embalagem]]="Big Bag",_Shipments[[#This Row],[Qtd.]]*_Shipments[[#This Row],[Qtde. sacos/palete]],_Shipments[[#This Row],[Qtd.]])</f>
        <v>160</v>
      </c>
      <c r="O95" s="49">
        <f>_xlfn.XLOOKUP(_Shipments[[#This Row],[CLN]],[2]Dados!$D:$D,[2]Dados!$R:$R,"-")</f>
        <v>40</v>
      </c>
      <c r="P95" s="49" t="str" cm="1">
        <f t="array" ref="P95">_xlfn.LET(_xlpm.t,_xlfn.XLOOKUP(_Shipments[[#This Row],[CLN]],[2]Dados!$D:$D,[2]Dados!$Q:$Q,"-"),_xlfn.IFS(LEFT(_xlpm.t,3)="PAS","Saco",LEFT(_xlpm.t,3)="PBT","Big Bag",TRUE,"-"))</f>
        <v>Big Bag</v>
      </c>
      <c r="Q95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692.8</v>
      </c>
      <c r="R95" s="89">
        <f>IF(_Shipments[[#This Row],[Embalagem]]="Big Bag",_Shipments[[#This Row],[Qtd.]],ROUNDUP(_Shipments[[#This Row],[Qtd.]]/_Shipments[[#This Row],[Qtde. sacos/palete]],0))</f>
        <v>4</v>
      </c>
      <c r="S95" s="26" t="s">
        <v>249</v>
      </c>
      <c r="T95" s="51">
        <v>34996968579</v>
      </c>
      <c r="U95" s="26" t="s">
        <v>250</v>
      </c>
      <c r="V95" s="26" t="s">
        <v>251</v>
      </c>
      <c r="W95" s="26" t="s">
        <v>126</v>
      </c>
      <c r="Y95" s="88">
        <v>7248684</v>
      </c>
    </row>
    <row r="96" spans="1:25" x14ac:dyDescent="0.25">
      <c r="A96" s="47">
        <f>_xlfn.XLOOKUP(_Shipments[[#This Row],[Shipment]],[1]Report!$G:$G,[1]Report!$B:$B,"-")</f>
        <v>46289.416666666664</v>
      </c>
      <c r="B96" s="26">
        <v>7242699</v>
      </c>
      <c r="C96" s="26">
        <v>5541984817</v>
      </c>
      <c r="D96" s="26">
        <v>2</v>
      </c>
      <c r="E96" s="26" t="s">
        <v>36</v>
      </c>
      <c r="F96" s="85">
        <v>24</v>
      </c>
      <c r="G96" s="26" t="s">
        <v>283</v>
      </c>
      <c r="H96" s="26" t="s">
        <v>64</v>
      </c>
      <c r="I96" s="26" t="s">
        <v>65</v>
      </c>
      <c r="J96" s="26">
        <v>24</v>
      </c>
      <c r="K96" s="26">
        <v>7559904</v>
      </c>
      <c r="L96" s="26" t="s">
        <v>284</v>
      </c>
      <c r="M96" s="26" t="s">
        <v>46</v>
      </c>
      <c r="N96" s="48">
        <f>IF(_Shipments[[#This Row],[Embalagem]]="Big Bag",_Shipments[[#This Row],[Qtd.]]*_Shipments[[#This Row],[Qtde. sacos/palete]],_Shipments[[#This Row],[Qtd.]])</f>
        <v>24</v>
      </c>
      <c r="O96" s="49">
        <f>_xlfn.XLOOKUP(_Shipments[[#This Row],[CLN]],[2]Dados!$D:$D,[2]Dados!$R:$R,"-")</f>
        <v>45</v>
      </c>
      <c r="P96" s="49" t="str" cm="1">
        <f t="array" ref="P96">_xlfn.LET(_xlpm.t,_xlfn.XLOOKUP(_Shipments[[#This Row],[CLN]],[2]Dados!$D:$D,[2]Dados!$Q:$Q,"-"),_xlfn.IFS(LEFT(_xlpm.t,3)="PAS","Saco",LEFT(_xlpm.t,3)="PBT","Big Bag",TRUE,"-"))</f>
        <v>Saco</v>
      </c>
      <c r="Q96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19.91</v>
      </c>
      <c r="R96" s="89">
        <f>IF(_Shipments[[#This Row],[Embalagem]]="Big Bag",_Shipments[[#This Row],[Qtd.]],ROUNDUP(_Shipments[[#This Row],[Qtd.]]/_Shipments[[#This Row],[Qtde. sacos/palete]],0))</f>
        <v>1</v>
      </c>
      <c r="S96" s="26" t="s">
        <v>249</v>
      </c>
      <c r="T96" s="51">
        <v>34996968579</v>
      </c>
      <c r="U96" s="26" t="s">
        <v>250</v>
      </c>
      <c r="V96" s="26" t="s">
        <v>251</v>
      </c>
      <c r="W96" s="26" t="s">
        <v>126</v>
      </c>
      <c r="Y96" s="88">
        <v>7248685</v>
      </c>
    </row>
    <row r="97" spans="1:25" x14ac:dyDescent="0.25">
      <c r="A97" s="47">
        <f>_xlfn.XLOOKUP(_Shipments[[#This Row],[Shipment]],[1]Report!$G:$G,[1]Report!$B:$B,"-")</f>
        <v>46289.416666666664</v>
      </c>
      <c r="B97" s="26">
        <v>7242699</v>
      </c>
      <c r="C97" s="26">
        <v>5541984817</v>
      </c>
      <c r="D97" s="26">
        <v>3</v>
      </c>
      <c r="E97" s="26" t="s">
        <v>36</v>
      </c>
      <c r="F97" s="85">
        <v>14</v>
      </c>
      <c r="G97" s="26" t="s">
        <v>283</v>
      </c>
      <c r="H97" s="26" t="s">
        <v>64</v>
      </c>
      <c r="I97" s="26" t="s">
        <v>65</v>
      </c>
      <c r="J97" s="26">
        <v>14</v>
      </c>
      <c r="K97" s="26">
        <v>7566289</v>
      </c>
      <c r="L97" s="26" t="s">
        <v>285</v>
      </c>
      <c r="M97" s="26" t="s">
        <v>46</v>
      </c>
      <c r="N97" s="48">
        <f>IF(_Shipments[[#This Row],[Embalagem]]="Big Bag",_Shipments[[#This Row],[Qtd.]]*_Shipments[[#This Row],[Qtde. sacos/palete]],_Shipments[[#This Row],[Qtd.]])</f>
        <v>14</v>
      </c>
      <c r="O97" s="49">
        <f>_xlfn.XLOOKUP(_Shipments[[#This Row],[CLN]],[2]Dados!$D:$D,[2]Dados!$R:$R,"-")</f>
        <v>45</v>
      </c>
      <c r="P97" s="49" t="str" cm="1">
        <f t="array" ref="P97">_xlfn.LET(_xlpm.t,_xlfn.XLOOKUP(_Shipments[[#This Row],[CLN]],[2]Dados!$D:$D,[2]Dados!$Q:$Q,"-"),_xlfn.IFS(LEFT(_xlpm.t,3)="PAS","Saco",LEFT(_xlpm.t,3)="PBT","Big Bag",TRUE,"-"))</f>
        <v>Saco</v>
      </c>
      <c r="Q97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19.739999999999998</v>
      </c>
      <c r="R97" s="89">
        <f>IF(_Shipments[[#This Row],[Embalagem]]="Big Bag",_Shipments[[#This Row],[Qtd.]],ROUNDUP(_Shipments[[#This Row],[Qtd.]]/_Shipments[[#This Row],[Qtde. sacos/palete]],0))</f>
        <v>1</v>
      </c>
      <c r="S97" s="26" t="s">
        <v>249</v>
      </c>
      <c r="T97" s="51">
        <v>34996968579</v>
      </c>
      <c r="U97" s="26" t="s">
        <v>250</v>
      </c>
      <c r="V97" s="26" t="s">
        <v>251</v>
      </c>
      <c r="W97" s="26" t="s">
        <v>126</v>
      </c>
      <c r="Y97" s="88">
        <v>7248712</v>
      </c>
    </row>
    <row r="98" spans="1:25" x14ac:dyDescent="0.25">
      <c r="A98" s="47">
        <f>_xlfn.XLOOKUP(_Shipments[[#This Row],[Shipment]],[1]Report!$G:$G,[1]Report!$B:$B,"-")</f>
        <v>46289.416666666664</v>
      </c>
      <c r="B98" s="26">
        <v>7242699</v>
      </c>
      <c r="C98" s="26">
        <v>5541984817</v>
      </c>
      <c r="D98" s="26">
        <v>4</v>
      </c>
      <c r="E98" s="26" t="s">
        <v>36</v>
      </c>
      <c r="F98" s="85">
        <v>22</v>
      </c>
      <c r="G98" s="26" t="s">
        <v>283</v>
      </c>
      <c r="H98" s="26" t="s">
        <v>64</v>
      </c>
      <c r="I98" s="26" t="s">
        <v>65</v>
      </c>
      <c r="J98" s="26">
        <v>22</v>
      </c>
      <c r="K98" s="26">
        <v>7566293</v>
      </c>
      <c r="L98" s="26" t="s">
        <v>286</v>
      </c>
      <c r="M98" s="26" t="s">
        <v>46</v>
      </c>
      <c r="N98" s="48">
        <f>IF(_Shipments[[#This Row],[Embalagem]]="Big Bag",_Shipments[[#This Row],[Qtd.]]*_Shipments[[#This Row],[Qtde. sacos/palete]],_Shipments[[#This Row],[Qtd.]])</f>
        <v>22</v>
      </c>
      <c r="O98" s="49">
        <f>_xlfn.XLOOKUP(_Shipments[[#This Row],[CLN]],[2]Dados!$D:$D,[2]Dados!$R:$R,"-")</f>
        <v>50</v>
      </c>
      <c r="P98" s="49" t="str" cm="1">
        <f t="array" ref="P98">_xlfn.LET(_xlpm.t,_xlfn.XLOOKUP(_Shipments[[#This Row],[CLN]],[2]Dados!$D:$D,[2]Dados!$Q:$Q,"-"),_xlfn.IFS(LEFT(_xlpm.t,3)="PAS","Saco",LEFT(_xlpm.t,3)="PBT","Big Bag",TRUE,"-"))</f>
        <v>Saco</v>
      </c>
      <c r="Q98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19.7</v>
      </c>
      <c r="R98" s="89">
        <f>IF(_Shipments[[#This Row],[Embalagem]]="Big Bag",_Shipments[[#This Row],[Qtd.]],ROUNDUP(_Shipments[[#This Row],[Qtd.]]/_Shipments[[#This Row],[Qtde. sacos/palete]],0))</f>
        <v>1</v>
      </c>
      <c r="S98" s="26" t="s">
        <v>249</v>
      </c>
      <c r="T98" s="51">
        <v>34996968579</v>
      </c>
      <c r="U98" s="26" t="s">
        <v>250</v>
      </c>
      <c r="V98" s="26" t="s">
        <v>251</v>
      </c>
      <c r="W98" s="26" t="s">
        <v>126</v>
      </c>
      <c r="Y98" s="88">
        <v>7251557</v>
      </c>
    </row>
    <row r="99" spans="1:25" x14ac:dyDescent="0.25">
      <c r="A99" s="47">
        <f>_xlfn.XLOOKUP(_Shipments[[#This Row],[Shipment]],[1]Report!$G:$G,[1]Report!$B:$B,"-")</f>
        <v>46289.416666666664</v>
      </c>
      <c r="B99" s="26">
        <v>7242699</v>
      </c>
      <c r="C99" s="26">
        <v>5541984817</v>
      </c>
      <c r="D99" s="26">
        <v>5</v>
      </c>
      <c r="E99" s="26" t="s">
        <v>33</v>
      </c>
      <c r="F99" s="85">
        <v>34</v>
      </c>
      <c r="G99" s="26" t="s">
        <v>283</v>
      </c>
      <c r="H99" s="26" t="s">
        <v>64</v>
      </c>
      <c r="I99" s="26" t="s">
        <v>65</v>
      </c>
      <c r="J99" s="26">
        <v>34</v>
      </c>
      <c r="K99" s="26">
        <v>7566336</v>
      </c>
      <c r="L99" s="26" t="s">
        <v>287</v>
      </c>
      <c r="M99" s="26" t="s">
        <v>35</v>
      </c>
      <c r="N99" s="48">
        <f>IF(_Shipments[[#This Row],[Embalagem]]="Big Bag",_Shipments[[#This Row],[Qtd.]]*_Shipments[[#This Row],[Qtde. sacos/palete]],_Shipments[[#This Row],[Qtd.]])</f>
        <v>34</v>
      </c>
      <c r="O99" s="49">
        <f>_xlfn.XLOOKUP(_Shipments[[#This Row],[CLN]],[2]Dados!$D:$D,[2]Dados!$R:$R,"-")</f>
        <v>50</v>
      </c>
      <c r="P99" s="49" t="str" cm="1">
        <f t="array" ref="P99">_xlfn.LET(_xlpm.t,_xlfn.XLOOKUP(_Shipments[[#This Row],[CLN]],[2]Dados!$D:$D,[2]Dados!$Q:$Q,"-"),_xlfn.IFS(LEFT(_xlpm.t,3)="PAS","Saco",LEFT(_xlpm.t,3)="PBT","Big Bag",TRUE,"-"))</f>
        <v>Saco</v>
      </c>
      <c r="Q99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19.05</v>
      </c>
      <c r="R99" s="89">
        <f>IF(_Shipments[[#This Row],[Embalagem]]="Big Bag",_Shipments[[#This Row],[Qtd.]],ROUNDUP(_Shipments[[#This Row],[Qtd.]]/_Shipments[[#This Row],[Qtde. sacos/palete]],0))</f>
        <v>1</v>
      </c>
      <c r="S99" s="26" t="s">
        <v>249</v>
      </c>
      <c r="T99" s="51">
        <v>34996968579</v>
      </c>
      <c r="U99" s="26" t="s">
        <v>250</v>
      </c>
      <c r="V99" s="26" t="s">
        <v>251</v>
      </c>
      <c r="W99" s="26" t="s">
        <v>126</v>
      </c>
      <c r="Y99" s="26">
        <v>7253432</v>
      </c>
    </row>
    <row r="100" spans="1:25" x14ac:dyDescent="0.25">
      <c r="A100" s="47">
        <f>_xlfn.XLOOKUP(_Shipments[[#This Row],[Shipment]],[1]Report!$G:$G,[1]Report!$B:$B,"-")</f>
        <v>46289.416666666664</v>
      </c>
      <c r="B100" s="26">
        <v>7242699</v>
      </c>
      <c r="C100" s="26">
        <v>5541984817</v>
      </c>
      <c r="D100" s="26">
        <v>6</v>
      </c>
      <c r="E100" s="26" t="s">
        <v>33</v>
      </c>
      <c r="F100" s="85">
        <v>22</v>
      </c>
      <c r="G100" s="26" t="s">
        <v>283</v>
      </c>
      <c r="H100" s="26" t="s">
        <v>64</v>
      </c>
      <c r="I100" s="26" t="s">
        <v>65</v>
      </c>
      <c r="J100" s="26">
        <v>22</v>
      </c>
      <c r="K100" s="26">
        <v>7566337</v>
      </c>
      <c r="L100" s="26" t="s">
        <v>288</v>
      </c>
      <c r="M100" s="26" t="s">
        <v>35</v>
      </c>
      <c r="N100" s="48">
        <f>IF(_Shipments[[#This Row],[Embalagem]]="Big Bag",_Shipments[[#This Row],[Qtd.]]*_Shipments[[#This Row],[Qtde. sacos/palete]],_Shipments[[#This Row],[Qtd.]])</f>
        <v>22</v>
      </c>
      <c r="O100" s="49">
        <f>_xlfn.XLOOKUP(_Shipments[[#This Row],[CLN]],[2]Dados!$D:$D,[2]Dados!$R:$R,"-")</f>
        <v>50</v>
      </c>
      <c r="P100" s="49" t="str" cm="1">
        <f t="array" ref="P100">_xlfn.LET(_xlpm.t,_xlfn.XLOOKUP(_Shipments[[#This Row],[CLN]],[2]Dados!$D:$D,[2]Dados!$Q:$Q,"-"),_xlfn.IFS(LEFT(_xlpm.t,3)="PAS","Saco",LEFT(_xlpm.t,3)="PBT","Big Bag",TRUE,"-"))</f>
        <v>Saco</v>
      </c>
      <c r="Q100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18.920000000000002</v>
      </c>
      <c r="R100" s="89">
        <f>IF(_Shipments[[#This Row],[Embalagem]]="Big Bag",_Shipments[[#This Row],[Qtd.]],ROUNDUP(_Shipments[[#This Row],[Qtd.]]/_Shipments[[#This Row],[Qtde. sacos/palete]],0))</f>
        <v>1</v>
      </c>
      <c r="S100" s="26" t="s">
        <v>249</v>
      </c>
      <c r="T100" s="51">
        <v>34996968579</v>
      </c>
      <c r="U100" s="26" t="s">
        <v>250</v>
      </c>
      <c r="V100" s="26" t="s">
        <v>251</v>
      </c>
      <c r="W100" s="26" t="s">
        <v>126</v>
      </c>
      <c r="Y100" s="26">
        <v>7248688</v>
      </c>
    </row>
    <row r="101" spans="1:25" x14ac:dyDescent="0.25">
      <c r="A101" s="47">
        <f>_xlfn.XLOOKUP(_Shipments[[#This Row],[Shipment]],[1]Report!$G:$G,[1]Report!$B:$B,"-")</f>
        <v>46289.416666666664</v>
      </c>
      <c r="B101" s="26">
        <v>7242699</v>
      </c>
      <c r="C101" s="26">
        <v>5541984817</v>
      </c>
      <c r="D101" s="26">
        <v>7</v>
      </c>
      <c r="E101" s="26" t="s">
        <v>30</v>
      </c>
      <c r="F101" s="85">
        <v>26</v>
      </c>
      <c r="G101" s="26" t="s">
        <v>283</v>
      </c>
      <c r="H101" s="26" t="s">
        <v>64</v>
      </c>
      <c r="I101" s="26" t="s">
        <v>65</v>
      </c>
      <c r="J101" s="26">
        <v>26</v>
      </c>
      <c r="K101" s="26">
        <v>7566341</v>
      </c>
      <c r="L101" s="26" t="s">
        <v>289</v>
      </c>
      <c r="M101" s="26" t="s">
        <v>32</v>
      </c>
      <c r="N101" s="48">
        <f>IF(_Shipments[[#This Row],[Embalagem]]="Big Bag",_Shipments[[#This Row],[Qtd.]]*_Shipments[[#This Row],[Qtde. sacos/palete]],_Shipments[[#This Row],[Qtd.]])</f>
        <v>26</v>
      </c>
      <c r="O101" s="49">
        <f>_xlfn.XLOOKUP(_Shipments[[#This Row],[CLN]],[2]Dados!$D:$D,[2]Dados!$R:$R,"-")</f>
        <v>60</v>
      </c>
      <c r="P101" s="49" t="str" cm="1">
        <f t="array" ref="P101">_xlfn.LET(_xlpm.t,_xlfn.XLOOKUP(_Shipments[[#This Row],[CLN]],[2]Dados!$D:$D,[2]Dados!$Q:$Q,"-"),_xlfn.IFS(LEFT(_xlpm.t,3)="PAS","Saco",LEFT(_xlpm.t,3)="PBT","Big Bag",TRUE,"-"))</f>
        <v>Saco</v>
      </c>
      <c r="Q101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16.690000000000001</v>
      </c>
      <c r="R101" s="89">
        <f>IF(_Shipments[[#This Row],[Embalagem]]="Big Bag",_Shipments[[#This Row],[Qtd.]],ROUNDUP(_Shipments[[#This Row],[Qtd.]]/_Shipments[[#This Row],[Qtde. sacos/palete]],0))</f>
        <v>1</v>
      </c>
      <c r="S101" s="26" t="s">
        <v>249</v>
      </c>
      <c r="T101" s="51">
        <v>34996968579</v>
      </c>
      <c r="U101" s="26" t="s">
        <v>250</v>
      </c>
      <c r="V101" s="26" t="s">
        <v>251</v>
      </c>
      <c r="W101" s="26" t="s">
        <v>126</v>
      </c>
      <c r="Y101" s="26">
        <v>7253434</v>
      </c>
    </row>
    <row r="102" spans="1:25" x14ac:dyDescent="0.25">
      <c r="A102" s="47">
        <f>_xlfn.XLOOKUP(_Shipments[[#This Row],[Shipment]],[1]Report!$G:$G,[1]Report!$B:$B,"-")</f>
        <v>46289.416666666664</v>
      </c>
      <c r="B102" s="26">
        <v>7242699</v>
      </c>
      <c r="C102" s="26">
        <v>5541984817</v>
      </c>
      <c r="D102" s="26">
        <v>8</v>
      </c>
      <c r="E102" s="26" t="s">
        <v>36</v>
      </c>
      <c r="F102" s="85">
        <v>22</v>
      </c>
      <c r="G102" s="26" t="s">
        <v>283</v>
      </c>
      <c r="H102" s="26" t="s">
        <v>64</v>
      </c>
      <c r="I102" s="26" t="s">
        <v>65</v>
      </c>
      <c r="J102" s="26">
        <v>22</v>
      </c>
      <c r="K102" s="26">
        <v>7566352</v>
      </c>
      <c r="L102" s="26" t="s">
        <v>290</v>
      </c>
      <c r="M102" s="26" t="s">
        <v>38</v>
      </c>
      <c r="N102" s="48">
        <f>IF(_Shipments[[#This Row],[Embalagem]]="Big Bag",_Shipments[[#This Row],[Qtd.]]*_Shipments[[#This Row],[Qtde. sacos/palete]],_Shipments[[#This Row],[Qtd.]])</f>
        <v>22</v>
      </c>
      <c r="O102" s="49">
        <f>_xlfn.XLOOKUP(_Shipments[[#This Row],[CLN]],[2]Dados!$D:$D,[2]Dados!$R:$R,"-")</f>
        <v>50</v>
      </c>
      <c r="P102" s="49" t="str" cm="1">
        <f t="array" ref="P102">_xlfn.LET(_xlpm.t,_xlfn.XLOOKUP(_Shipments[[#This Row],[CLN]],[2]Dados!$D:$D,[2]Dados!$Q:$Q,"-"),_xlfn.IFS(LEFT(_xlpm.t,3)="PAS","Saco",LEFT(_xlpm.t,3)="PBT","Big Bag",TRUE,"-"))</f>
        <v>Saco</v>
      </c>
      <c r="Q102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17.68</v>
      </c>
      <c r="R102" s="89">
        <f>IF(_Shipments[[#This Row],[Embalagem]]="Big Bag",_Shipments[[#This Row],[Qtd.]],ROUNDUP(_Shipments[[#This Row],[Qtd.]]/_Shipments[[#This Row],[Qtde. sacos/palete]],0))</f>
        <v>1</v>
      </c>
      <c r="S102" s="26" t="s">
        <v>249</v>
      </c>
      <c r="T102" s="51">
        <v>34996968579</v>
      </c>
      <c r="U102" s="26" t="s">
        <v>250</v>
      </c>
      <c r="V102" s="26" t="s">
        <v>251</v>
      </c>
      <c r="W102" s="26" t="s">
        <v>126</v>
      </c>
      <c r="Y102" s="26">
        <v>7253436</v>
      </c>
    </row>
    <row r="103" spans="1:25" x14ac:dyDescent="0.25">
      <c r="A103" s="47">
        <f>_xlfn.XLOOKUP(_Shipments[[#This Row],[Shipment]],[1]Report!$G:$G,[1]Report!$B:$B,"-")</f>
        <v>46289.416666666664</v>
      </c>
      <c r="B103" s="26">
        <v>7242699</v>
      </c>
      <c r="C103" s="26">
        <v>5541984817</v>
      </c>
      <c r="D103" s="26">
        <v>9</v>
      </c>
      <c r="E103" s="26" t="s">
        <v>36</v>
      </c>
      <c r="F103" s="85">
        <v>36</v>
      </c>
      <c r="G103" s="26" t="s">
        <v>283</v>
      </c>
      <c r="H103" s="26" t="s">
        <v>64</v>
      </c>
      <c r="I103" s="26" t="s">
        <v>65</v>
      </c>
      <c r="J103" s="26">
        <v>36</v>
      </c>
      <c r="K103" s="26">
        <v>7566294</v>
      </c>
      <c r="L103" s="26" t="s">
        <v>291</v>
      </c>
      <c r="M103" s="26" t="s">
        <v>46</v>
      </c>
      <c r="N103" s="48">
        <f>IF(_Shipments[[#This Row],[Embalagem]]="Big Bag",_Shipments[[#This Row],[Qtd.]]*_Shipments[[#This Row],[Qtde. sacos/palete]],_Shipments[[#This Row],[Qtd.]])</f>
        <v>36</v>
      </c>
      <c r="O103" s="49">
        <f>_xlfn.XLOOKUP(_Shipments[[#This Row],[CLN]],[2]Dados!$D:$D,[2]Dados!$R:$R,"-")</f>
        <v>50</v>
      </c>
      <c r="P103" s="49" t="str" cm="1">
        <f t="array" ref="P103">_xlfn.LET(_xlpm.t,_xlfn.XLOOKUP(_Shipments[[#This Row],[CLN]],[2]Dados!$D:$D,[2]Dados!$Q:$Q,"-"),_xlfn.IFS(LEFT(_xlpm.t,3)="PAS","Saco",LEFT(_xlpm.t,3)="PBT","Big Bag",TRUE,"-"))</f>
        <v>Saco</v>
      </c>
      <c r="Q103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19.57</v>
      </c>
      <c r="R103" s="89">
        <f>IF(_Shipments[[#This Row],[Embalagem]]="Big Bag",_Shipments[[#This Row],[Qtd.]],ROUNDUP(_Shipments[[#This Row],[Qtd.]]/_Shipments[[#This Row],[Qtde. sacos/palete]],0))</f>
        <v>1</v>
      </c>
      <c r="S103" s="26" t="s">
        <v>249</v>
      </c>
      <c r="T103" s="51">
        <v>34996968579</v>
      </c>
      <c r="U103" s="26" t="s">
        <v>250</v>
      </c>
      <c r="V103" s="26" t="s">
        <v>251</v>
      </c>
      <c r="W103" s="26" t="s">
        <v>126</v>
      </c>
      <c r="Y103" s="26">
        <v>7253439</v>
      </c>
    </row>
    <row r="104" spans="1:25" x14ac:dyDescent="0.25">
      <c r="A104" s="47">
        <f>_xlfn.XLOOKUP(_Shipments[[#This Row],[Shipment]],[1]Report!$G:$G,[1]Report!$B:$B,"-")</f>
        <v>46289.416666666664</v>
      </c>
      <c r="B104" s="26">
        <v>7242699</v>
      </c>
      <c r="C104" s="26">
        <v>5541984817</v>
      </c>
      <c r="D104" s="26">
        <v>10</v>
      </c>
      <c r="E104" s="26" t="s">
        <v>36</v>
      </c>
      <c r="F104" s="85">
        <v>31</v>
      </c>
      <c r="G104" s="26" t="s">
        <v>283</v>
      </c>
      <c r="H104" s="26" t="s">
        <v>64</v>
      </c>
      <c r="I104" s="26" t="s">
        <v>65</v>
      </c>
      <c r="J104" s="26">
        <v>31</v>
      </c>
      <c r="K104" s="26">
        <v>7566295</v>
      </c>
      <c r="L104" s="26" t="s">
        <v>292</v>
      </c>
      <c r="M104" s="26" t="s">
        <v>46</v>
      </c>
      <c r="N104" s="48">
        <f>IF(_Shipments[[#This Row],[Embalagem]]="Big Bag",_Shipments[[#This Row],[Qtd.]]*_Shipments[[#This Row],[Qtde. sacos/palete]],_Shipments[[#This Row],[Qtd.]])</f>
        <v>31</v>
      </c>
      <c r="O104" s="49">
        <f>_xlfn.XLOOKUP(_Shipments[[#This Row],[CLN]],[2]Dados!$D:$D,[2]Dados!$R:$R,"-")</f>
        <v>50</v>
      </c>
      <c r="P104" s="49" t="str" cm="1">
        <f t="array" ref="P104">_xlfn.LET(_xlpm.t,_xlfn.XLOOKUP(_Shipments[[#This Row],[CLN]],[2]Dados!$D:$D,[2]Dados!$Q:$Q,"-"),_xlfn.IFS(LEFT(_xlpm.t,3)="PAS","Saco",LEFT(_xlpm.t,3)="PBT","Big Bag",TRUE,"-"))</f>
        <v>Saco</v>
      </c>
      <c r="Q104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19.57</v>
      </c>
      <c r="R104" s="89">
        <f>IF(_Shipments[[#This Row],[Embalagem]]="Big Bag",_Shipments[[#This Row],[Qtd.]],ROUNDUP(_Shipments[[#This Row],[Qtd.]]/_Shipments[[#This Row],[Qtde. sacos/palete]],0))</f>
        <v>1</v>
      </c>
      <c r="S104" s="26" t="s">
        <v>249</v>
      </c>
      <c r="T104" s="51">
        <v>34996968579</v>
      </c>
      <c r="U104" s="26" t="s">
        <v>250</v>
      </c>
      <c r="V104" s="26" t="s">
        <v>251</v>
      </c>
      <c r="W104" s="26" t="s">
        <v>126</v>
      </c>
      <c r="Y104" s="26">
        <v>7253442</v>
      </c>
    </row>
    <row r="105" spans="1:25" x14ac:dyDescent="0.25">
      <c r="A105" s="47">
        <f>_xlfn.XLOOKUP(_Shipments[[#This Row],[Shipment]],[1]Report!$G:$G,[1]Report!$B:$B,"-")</f>
        <v>46289.416666666664</v>
      </c>
      <c r="B105" s="26">
        <v>7242699</v>
      </c>
      <c r="C105" s="26">
        <v>5541984817</v>
      </c>
      <c r="D105" s="26">
        <v>11</v>
      </c>
      <c r="E105" s="26" t="s">
        <v>36</v>
      </c>
      <c r="F105" s="85">
        <v>28</v>
      </c>
      <c r="G105" s="26" t="s">
        <v>283</v>
      </c>
      <c r="H105" s="26" t="s">
        <v>64</v>
      </c>
      <c r="I105" s="26" t="s">
        <v>65</v>
      </c>
      <c r="J105" s="26">
        <v>28</v>
      </c>
      <c r="K105" s="26">
        <v>7566297</v>
      </c>
      <c r="L105" s="26" t="s">
        <v>293</v>
      </c>
      <c r="M105" s="26" t="s">
        <v>46</v>
      </c>
      <c r="N105" s="48">
        <f>IF(_Shipments[[#This Row],[Embalagem]]="Big Bag",_Shipments[[#This Row],[Qtd.]]*_Shipments[[#This Row],[Qtde. sacos/palete]],_Shipments[[#This Row],[Qtd.]])</f>
        <v>28</v>
      </c>
      <c r="O105" s="49">
        <f>_xlfn.XLOOKUP(_Shipments[[#This Row],[CLN]],[2]Dados!$D:$D,[2]Dados!$R:$R,"-")</f>
        <v>50</v>
      </c>
      <c r="P105" s="49" t="str" cm="1">
        <f t="array" ref="P105">_xlfn.LET(_xlpm.t,_xlfn.XLOOKUP(_Shipments[[#This Row],[CLN]],[2]Dados!$D:$D,[2]Dados!$Q:$Q,"-"),_xlfn.IFS(LEFT(_xlpm.t,3)="PAS","Saco",LEFT(_xlpm.t,3)="PBT","Big Bag",TRUE,"-"))</f>
        <v>Saco</v>
      </c>
      <c r="Q105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19.649999999999999</v>
      </c>
      <c r="R105" s="89">
        <f>IF(_Shipments[[#This Row],[Embalagem]]="Big Bag",_Shipments[[#This Row],[Qtd.]],ROUNDUP(_Shipments[[#This Row],[Qtd.]]/_Shipments[[#This Row],[Qtde. sacos/palete]],0))</f>
        <v>1</v>
      </c>
      <c r="S105" s="26" t="s">
        <v>249</v>
      </c>
      <c r="T105" s="51">
        <v>34996968579</v>
      </c>
      <c r="U105" s="26" t="s">
        <v>250</v>
      </c>
      <c r="V105" s="26" t="s">
        <v>251</v>
      </c>
      <c r="W105" s="26" t="s">
        <v>126</v>
      </c>
      <c r="Y105" s="26">
        <v>7253445</v>
      </c>
    </row>
    <row r="106" spans="1:25" x14ac:dyDescent="0.25">
      <c r="A106" s="47">
        <f>_xlfn.XLOOKUP(_Shipments[[#This Row],[Shipment]],[1]Report!$G:$G,[1]Report!$B:$B,"-")</f>
        <v>46289.416666666664</v>
      </c>
      <c r="B106" s="26">
        <v>7242699</v>
      </c>
      <c r="C106" s="26">
        <v>5541984817</v>
      </c>
      <c r="D106" s="26">
        <v>12</v>
      </c>
      <c r="E106" s="26" t="s">
        <v>36</v>
      </c>
      <c r="F106" s="85">
        <v>39</v>
      </c>
      <c r="G106" s="26" t="s">
        <v>283</v>
      </c>
      <c r="H106" s="26" t="s">
        <v>64</v>
      </c>
      <c r="I106" s="26" t="s">
        <v>65</v>
      </c>
      <c r="J106" s="26">
        <v>39</v>
      </c>
      <c r="K106" s="26">
        <v>7566351</v>
      </c>
      <c r="L106" s="26" t="s">
        <v>294</v>
      </c>
      <c r="M106" s="26" t="s">
        <v>38</v>
      </c>
      <c r="N106" s="48">
        <f>IF(_Shipments[[#This Row],[Embalagem]]="Big Bag",_Shipments[[#This Row],[Qtd.]]*_Shipments[[#This Row],[Qtde. sacos/palete]],_Shipments[[#This Row],[Qtd.]])</f>
        <v>39</v>
      </c>
      <c r="O106" s="49">
        <f>_xlfn.XLOOKUP(_Shipments[[#This Row],[CLN]],[2]Dados!$D:$D,[2]Dados!$R:$R,"-")</f>
        <v>50</v>
      </c>
      <c r="P106" s="49" t="str" cm="1">
        <f t="array" ref="P106">_xlfn.LET(_xlpm.t,_xlfn.XLOOKUP(_Shipments[[#This Row],[CLN]],[2]Dados!$D:$D,[2]Dados!$Q:$Q,"-"),_xlfn.IFS(LEFT(_xlpm.t,3)="PAS","Saco",LEFT(_xlpm.t,3)="PBT","Big Bag",TRUE,"-"))</f>
        <v>Saco</v>
      </c>
      <c r="Q106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17.68</v>
      </c>
      <c r="R106" s="89">
        <f>IF(_Shipments[[#This Row],[Embalagem]]="Big Bag",_Shipments[[#This Row],[Qtd.]],ROUNDUP(_Shipments[[#This Row],[Qtd.]]/_Shipments[[#This Row],[Qtde. sacos/palete]],0))</f>
        <v>1</v>
      </c>
      <c r="S106" s="26" t="s">
        <v>249</v>
      </c>
      <c r="T106" s="51">
        <v>34996968579</v>
      </c>
      <c r="U106" s="26" t="s">
        <v>250</v>
      </c>
      <c r="V106" s="26" t="s">
        <v>251</v>
      </c>
      <c r="W106" s="26" t="s">
        <v>126</v>
      </c>
      <c r="Y106" s="26">
        <v>7253448</v>
      </c>
    </row>
    <row r="107" spans="1:25" x14ac:dyDescent="0.25">
      <c r="A107" s="47">
        <f>_xlfn.XLOOKUP(_Shipments[[#This Row],[Shipment]],[1]Report!$G:$G,[1]Report!$B:$B,"-")</f>
        <v>46289.416666666664</v>
      </c>
      <c r="B107" s="26">
        <v>7242699</v>
      </c>
      <c r="C107" s="26">
        <v>5541984817</v>
      </c>
      <c r="D107" s="26">
        <v>13</v>
      </c>
      <c r="E107" s="26" t="s">
        <v>36</v>
      </c>
      <c r="F107" s="85">
        <v>34</v>
      </c>
      <c r="G107" s="26" t="s">
        <v>283</v>
      </c>
      <c r="H107" s="26" t="s">
        <v>64</v>
      </c>
      <c r="I107" s="26" t="s">
        <v>65</v>
      </c>
      <c r="J107" s="26">
        <v>34</v>
      </c>
      <c r="K107" s="26">
        <v>7566353</v>
      </c>
      <c r="L107" s="26" t="s">
        <v>295</v>
      </c>
      <c r="M107" s="26" t="s">
        <v>38</v>
      </c>
      <c r="N107" s="48">
        <f>IF(_Shipments[[#This Row],[Embalagem]]="Big Bag",_Shipments[[#This Row],[Qtd.]]*_Shipments[[#This Row],[Qtde. sacos/palete]],_Shipments[[#This Row],[Qtd.]])</f>
        <v>34</v>
      </c>
      <c r="O107" s="49">
        <f>_xlfn.XLOOKUP(_Shipments[[#This Row],[CLN]],[2]Dados!$D:$D,[2]Dados!$R:$R,"-")</f>
        <v>50</v>
      </c>
      <c r="P107" s="49" t="str" cm="1">
        <f t="array" ref="P107">_xlfn.LET(_xlpm.t,_xlfn.XLOOKUP(_Shipments[[#This Row],[CLN]],[2]Dados!$D:$D,[2]Dados!$Q:$Q,"-"),_xlfn.IFS(LEFT(_xlpm.t,3)="PAS","Saco",LEFT(_xlpm.t,3)="PBT","Big Bag",TRUE,"-"))</f>
        <v>Saco</v>
      </c>
      <c r="Q107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17.52</v>
      </c>
      <c r="R107" s="89">
        <f>IF(_Shipments[[#This Row],[Embalagem]]="Big Bag",_Shipments[[#This Row],[Qtd.]],ROUNDUP(_Shipments[[#This Row],[Qtd.]]/_Shipments[[#This Row],[Qtde. sacos/palete]],0))</f>
        <v>1</v>
      </c>
      <c r="S107" s="26" t="s">
        <v>249</v>
      </c>
      <c r="T107" s="51">
        <v>34996968579</v>
      </c>
      <c r="U107" s="26" t="s">
        <v>250</v>
      </c>
      <c r="V107" s="26" t="s">
        <v>251</v>
      </c>
      <c r="W107" s="26" t="s">
        <v>126</v>
      </c>
    </row>
    <row r="108" spans="1:25" x14ac:dyDescent="0.25">
      <c r="A108" s="47">
        <f>_xlfn.XLOOKUP(_Shipments[[#This Row],[Shipment]],[1]Report!$G:$G,[1]Report!$B:$B,"-")</f>
        <v>46289.416666666664</v>
      </c>
      <c r="B108" s="26">
        <v>7242699</v>
      </c>
      <c r="C108" s="26">
        <v>5541984817</v>
      </c>
      <c r="D108" s="26">
        <v>14</v>
      </c>
      <c r="E108" s="26" t="s">
        <v>36</v>
      </c>
      <c r="F108" s="85">
        <v>39</v>
      </c>
      <c r="G108" s="26" t="s">
        <v>283</v>
      </c>
      <c r="H108" s="26" t="s">
        <v>64</v>
      </c>
      <c r="I108" s="26" t="s">
        <v>65</v>
      </c>
      <c r="J108" s="26">
        <v>39</v>
      </c>
      <c r="K108" s="26">
        <v>7566356</v>
      </c>
      <c r="L108" s="26" t="s">
        <v>296</v>
      </c>
      <c r="M108" s="26" t="s">
        <v>38</v>
      </c>
      <c r="N108" s="48">
        <f>IF(_Shipments[[#This Row],[Embalagem]]="Big Bag",_Shipments[[#This Row],[Qtd.]]*_Shipments[[#This Row],[Qtde. sacos/palete]],_Shipments[[#This Row],[Qtd.]])</f>
        <v>39</v>
      </c>
      <c r="O108" s="49">
        <f>_xlfn.XLOOKUP(_Shipments[[#This Row],[CLN]],[2]Dados!$D:$D,[2]Dados!$R:$R,"-")</f>
        <v>60</v>
      </c>
      <c r="P108" s="49" t="str" cm="1">
        <f t="array" ref="P108">_xlfn.LET(_xlpm.t,_xlfn.XLOOKUP(_Shipments[[#This Row],[CLN]],[2]Dados!$D:$D,[2]Dados!$Q:$Q,"-"),_xlfn.IFS(LEFT(_xlpm.t,3)="PAS","Saco",LEFT(_xlpm.t,3)="PBT","Big Bag",TRUE,"-"))</f>
        <v>Saco</v>
      </c>
      <c r="Q108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17.23</v>
      </c>
      <c r="R108" s="89">
        <f>IF(_Shipments[[#This Row],[Embalagem]]="Big Bag",_Shipments[[#This Row],[Qtd.]],ROUNDUP(_Shipments[[#This Row],[Qtd.]]/_Shipments[[#This Row],[Qtde. sacos/palete]],0))</f>
        <v>1</v>
      </c>
      <c r="S108" s="26" t="s">
        <v>249</v>
      </c>
      <c r="T108" s="51">
        <v>34996968579</v>
      </c>
      <c r="U108" s="26" t="s">
        <v>250</v>
      </c>
      <c r="V108" s="26" t="s">
        <v>251</v>
      </c>
      <c r="W108" s="26" t="s">
        <v>126</v>
      </c>
    </row>
    <row r="109" spans="1:25" x14ac:dyDescent="0.25">
      <c r="A109" s="47">
        <f>_xlfn.XLOOKUP(_Shipments[[#This Row],[Shipment]],[1]Report!$G:$G,[1]Report!$B:$B,"-")</f>
        <v>46289.416666666664</v>
      </c>
      <c r="B109" s="26">
        <v>7242699</v>
      </c>
      <c r="C109" s="26">
        <v>5541984817</v>
      </c>
      <c r="D109" s="26">
        <v>15</v>
      </c>
      <c r="E109" s="26" t="s">
        <v>16</v>
      </c>
      <c r="F109" s="85">
        <v>4</v>
      </c>
      <c r="G109" s="26" t="s">
        <v>283</v>
      </c>
      <c r="H109" s="26" t="s">
        <v>64</v>
      </c>
      <c r="I109" s="26" t="s">
        <v>65</v>
      </c>
      <c r="J109" s="26">
        <v>4</v>
      </c>
      <c r="K109" s="26">
        <v>7573704</v>
      </c>
      <c r="L109" s="26" t="s">
        <v>297</v>
      </c>
      <c r="M109" s="26" t="s">
        <v>46</v>
      </c>
      <c r="N109" s="48">
        <f>IF(_Shipments[[#This Row],[Embalagem]]="Big Bag",_Shipments[[#This Row],[Qtd.]]*_Shipments[[#This Row],[Qtde. sacos/palete]],_Shipments[[#This Row],[Qtd.]])</f>
        <v>160</v>
      </c>
      <c r="O109" s="49">
        <f>_xlfn.XLOOKUP(_Shipments[[#This Row],[CLN]],[2]Dados!$D:$D,[2]Dados!$R:$R,"-")</f>
        <v>40</v>
      </c>
      <c r="P109" s="49" t="str" cm="1">
        <f t="array" ref="P109">_xlfn.LET(_xlpm.t,_xlfn.XLOOKUP(_Shipments[[#This Row],[CLN]],[2]Dados!$D:$D,[2]Dados!$Q:$Q,"-"),_xlfn.IFS(LEFT(_xlpm.t,3)="PAS","Saco",LEFT(_xlpm.t,3)="PBT","Big Bag",TRUE,"-"))</f>
        <v>Big Bag</v>
      </c>
      <c r="Q109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786</v>
      </c>
      <c r="R109" s="89">
        <f>IF(_Shipments[[#This Row],[Embalagem]]="Big Bag",_Shipments[[#This Row],[Qtd.]],ROUNDUP(_Shipments[[#This Row],[Qtd.]]/_Shipments[[#This Row],[Qtde. sacos/palete]],0))</f>
        <v>4</v>
      </c>
      <c r="S109" s="26" t="s">
        <v>249</v>
      </c>
      <c r="T109" s="51">
        <v>34996968579</v>
      </c>
      <c r="U109" s="26" t="s">
        <v>250</v>
      </c>
      <c r="V109" s="26" t="s">
        <v>251</v>
      </c>
      <c r="W109" s="26" t="s">
        <v>126</v>
      </c>
    </row>
    <row r="110" spans="1:25" x14ac:dyDescent="0.25">
      <c r="A110" s="47">
        <f>_xlfn.XLOOKUP(_Shipments[[#This Row],[Shipment]],[1]Report!$G:$G,[1]Report!$B:$B,"-")</f>
        <v>46290.333333333336</v>
      </c>
      <c r="B110" s="26">
        <v>7242700</v>
      </c>
      <c r="C110" s="26">
        <v>5541984818</v>
      </c>
      <c r="D110" s="26">
        <v>1</v>
      </c>
      <c r="E110" s="26" t="s">
        <v>16</v>
      </c>
      <c r="F110" s="85">
        <v>20</v>
      </c>
      <c r="G110" s="26" t="s">
        <v>283</v>
      </c>
      <c r="H110" s="26" t="s">
        <v>64</v>
      </c>
      <c r="I110" s="26" t="s">
        <v>65</v>
      </c>
      <c r="J110" s="26">
        <v>20</v>
      </c>
      <c r="K110" s="26">
        <v>7573704</v>
      </c>
      <c r="L110" s="26" t="s">
        <v>297</v>
      </c>
      <c r="M110" s="26" t="s">
        <v>46</v>
      </c>
      <c r="N110" s="48">
        <f>IF(_Shipments[[#This Row],[Embalagem]]="Big Bag",_Shipments[[#This Row],[Qtd.]]*_Shipments[[#This Row],[Qtde. sacos/palete]],_Shipments[[#This Row],[Qtd.]])</f>
        <v>800</v>
      </c>
      <c r="O110" s="49">
        <f>_xlfn.XLOOKUP(_Shipments[[#This Row],[CLN]],[2]Dados!$D:$D,[2]Dados!$R:$R,"-")</f>
        <v>40</v>
      </c>
      <c r="P110" s="49" t="str" cm="1">
        <f t="array" ref="P110">_xlfn.LET(_xlpm.t,_xlfn.XLOOKUP(_Shipments[[#This Row],[CLN]],[2]Dados!$D:$D,[2]Dados!$Q:$Q,"-"),_xlfn.IFS(LEFT(_xlpm.t,3)="PAS","Saco",LEFT(_xlpm.t,3)="PBT","Big Bag",TRUE,"-"))</f>
        <v>Big Bag</v>
      </c>
      <c r="Q110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786</v>
      </c>
      <c r="R110" s="89">
        <f>IF(_Shipments[[#This Row],[Embalagem]]="Big Bag",_Shipments[[#This Row],[Qtd.]],ROUNDUP(_Shipments[[#This Row],[Qtd.]]/_Shipments[[#This Row],[Qtde. sacos/palete]],0))</f>
        <v>20</v>
      </c>
      <c r="S110" s="26" t="s">
        <v>141</v>
      </c>
      <c r="T110" s="51">
        <v>34999810409</v>
      </c>
      <c r="U110" s="26" t="s">
        <v>142</v>
      </c>
      <c r="V110" s="26" t="s">
        <v>143</v>
      </c>
      <c r="W110" s="26" t="s">
        <v>126</v>
      </c>
    </row>
    <row r="111" spans="1:25" x14ac:dyDescent="0.25">
      <c r="A111" s="47">
        <f>_xlfn.XLOOKUP(_Shipments[[#This Row],[Shipment]],[1]Report!$G:$G,[1]Report!$B:$B,"-")</f>
        <v>46289.333333333336</v>
      </c>
      <c r="B111" s="26">
        <v>7242701</v>
      </c>
      <c r="C111" s="26">
        <v>5541989382</v>
      </c>
      <c r="D111" s="26">
        <v>1</v>
      </c>
      <c r="E111" s="26" t="s">
        <v>16</v>
      </c>
      <c r="F111" s="85">
        <v>10</v>
      </c>
      <c r="G111" s="26" t="s">
        <v>283</v>
      </c>
      <c r="H111" s="26" t="s">
        <v>64</v>
      </c>
      <c r="I111" s="26" t="s">
        <v>65</v>
      </c>
      <c r="J111" s="26">
        <v>10</v>
      </c>
      <c r="K111" s="26">
        <v>7573707</v>
      </c>
      <c r="L111" s="26" t="s">
        <v>298</v>
      </c>
      <c r="M111" s="26" t="s">
        <v>38</v>
      </c>
      <c r="N111" s="48">
        <f>IF(_Shipments[[#This Row],[Embalagem]]="Big Bag",_Shipments[[#This Row],[Qtd.]]*_Shipments[[#This Row],[Qtde. sacos/palete]],_Shipments[[#This Row],[Qtd.]])</f>
        <v>400</v>
      </c>
      <c r="O111" s="49">
        <f>_xlfn.XLOOKUP(_Shipments[[#This Row],[CLN]],[2]Dados!$D:$D,[2]Dados!$R:$R,"-")</f>
        <v>40</v>
      </c>
      <c r="P111" s="49" t="str" cm="1">
        <f t="array" ref="P111">_xlfn.LET(_xlpm.t,_xlfn.XLOOKUP(_Shipments[[#This Row],[CLN]],[2]Dados!$D:$D,[2]Dados!$Q:$Q,"-"),_xlfn.IFS(LEFT(_xlpm.t,3)="PAS","Saco",LEFT(_xlpm.t,3)="PBT","Big Bag",TRUE,"-"))</f>
        <v>Big Bag</v>
      </c>
      <c r="Q111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689.2</v>
      </c>
      <c r="R111" s="89">
        <f>IF(_Shipments[[#This Row],[Embalagem]]="Big Bag",_Shipments[[#This Row],[Qtd.]],ROUNDUP(_Shipments[[#This Row],[Qtd.]]/_Shipments[[#This Row],[Qtde. sacos/palete]],0))</f>
        <v>10</v>
      </c>
      <c r="S111" s="26" t="s">
        <v>225</v>
      </c>
      <c r="T111" s="51">
        <v>34991337791</v>
      </c>
      <c r="U111" s="26" t="s">
        <v>120</v>
      </c>
      <c r="V111" s="26" t="s">
        <v>121</v>
      </c>
      <c r="W111" s="26" t="s">
        <v>126</v>
      </c>
    </row>
    <row r="112" spans="1:25" x14ac:dyDescent="0.25">
      <c r="A112" s="47">
        <f>_xlfn.XLOOKUP(_Shipments[[#This Row],[Shipment]],[1]Report!$G:$G,[1]Report!$B:$B,"-")</f>
        <v>46289.333333333336</v>
      </c>
      <c r="B112" s="26">
        <v>7242701</v>
      </c>
      <c r="C112" s="26">
        <v>5541989382</v>
      </c>
      <c r="D112" s="26">
        <v>2</v>
      </c>
      <c r="E112" s="26" t="s">
        <v>299</v>
      </c>
      <c r="F112" s="85">
        <v>11</v>
      </c>
      <c r="G112" s="26" t="s">
        <v>283</v>
      </c>
      <c r="H112" s="26" t="s">
        <v>64</v>
      </c>
      <c r="I112" s="26" t="s">
        <v>65</v>
      </c>
      <c r="J112" s="26">
        <v>11</v>
      </c>
      <c r="K112" s="26">
        <v>7574612</v>
      </c>
      <c r="L112" s="26" t="s">
        <v>304</v>
      </c>
      <c r="M112" s="26" t="s">
        <v>29</v>
      </c>
      <c r="N112" s="48">
        <f>IF(_Shipments[[#This Row],[Embalagem]]="Big Bag",_Shipments[[#This Row],[Qtd.]]*_Shipments[[#This Row],[Qtde. sacos/palete]],_Shipments[[#This Row],[Qtd.]])</f>
        <v>440</v>
      </c>
      <c r="O112" s="49">
        <f>_xlfn.XLOOKUP(_Shipments[[#This Row],[CLN]],[2]Dados!$D:$D,[2]Dados!$R:$R,"-")</f>
        <v>40</v>
      </c>
      <c r="P112" s="49" t="str" cm="1">
        <f t="array" ref="P112">_xlfn.LET(_xlpm.t,_xlfn.XLOOKUP(_Shipments[[#This Row],[CLN]],[2]Dados!$D:$D,[2]Dados!$Q:$Q,"-"),_xlfn.IFS(LEFT(_xlpm.t,3)="PAS","Saco",LEFT(_xlpm.t,3)="PBT","Big Bag",TRUE,"-"))</f>
        <v>Big Bag</v>
      </c>
      <c r="Q112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596</v>
      </c>
      <c r="R112" s="89">
        <f>IF(_Shipments[[#This Row],[Embalagem]]="Big Bag",_Shipments[[#This Row],[Qtd.]],ROUNDUP(_Shipments[[#This Row],[Qtd.]]/_Shipments[[#This Row],[Qtde. sacos/palete]],0))</f>
        <v>11</v>
      </c>
      <c r="S112" s="26" t="s">
        <v>225</v>
      </c>
      <c r="T112" s="51">
        <v>34991337791</v>
      </c>
      <c r="U112" s="26" t="s">
        <v>120</v>
      </c>
      <c r="V112" s="26" t="s">
        <v>121</v>
      </c>
      <c r="W112" s="26" t="s">
        <v>126</v>
      </c>
    </row>
    <row r="113" spans="1:23" x14ac:dyDescent="0.25">
      <c r="A113" s="47">
        <f>_xlfn.XLOOKUP(_Shipments[[#This Row],[Shipment]],[1]Report!$G:$G,[1]Report!$B:$B,"-")</f>
        <v>46289.375</v>
      </c>
      <c r="B113" s="26">
        <v>7242702</v>
      </c>
      <c r="C113" s="26">
        <v>5541989385</v>
      </c>
      <c r="D113" s="26">
        <v>1</v>
      </c>
      <c r="E113" s="26" t="s">
        <v>16</v>
      </c>
      <c r="F113" s="85">
        <v>21</v>
      </c>
      <c r="G113" s="26" t="s">
        <v>283</v>
      </c>
      <c r="H113" s="26" t="s">
        <v>64</v>
      </c>
      <c r="I113" s="26" t="s">
        <v>65</v>
      </c>
      <c r="J113" s="26">
        <v>21</v>
      </c>
      <c r="K113" s="26">
        <v>7573703</v>
      </c>
      <c r="L113" s="26" t="s">
        <v>300</v>
      </c>
      <c r="M113" s="26" t="s">
        <v>46</v>
      </c>
      <c r="N113" s="48">
        <f>IF(_Shipments[[#This Row],[Embalagem]]="Big Bag",_Shipments[[#This Row],[Qtd.]]*_Shipments[[#This Row],[Qtde. sacos/palete]],_Shipments[[#This Row],[Qtd.]])</f>
        <v>840</v>
      </c>
      <c r="O113" s="49">
        <f>_xlfn.XLOOKUP(_Shipments[[#This Row],[CLN]],[2]Dados!$D:$D,[2]Dados!$R:$R,"-")</f>
        <v>40</v>
      </c>
      <c r="P113" s="49" t="str" cm="1">
        <f t="array" ref="P113">_xlfn.LET(_xlpm.t,_xlfn.XLOOKUP(_Shipments[[#This Row],[CLN]],[2]Dados!$D:$D,[2]Dados!$Q:$Q,"-"),_xlfn.IFS(LEFT(_xlpm.t,3)="PAS","Saco",LEFT(_xlpm.t,3)="PBT","Big Bag",TRUE,"-"))</f>
        <v>Big Bag</v>
      </c>
      <c r="Q113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782.8</v>
      </c>
      <c r="R113" s="89">
        <f>IF(_Shipments[[#This Row],[Embalagem]]="Big Bag",_Shipments[[#This Row],[Qtd.]],ROUNDUP(_Shipments[[#This Row],[Qtd.]]/_Shipments[[#This Row],[Qtde. sacos/palete]],0))</f>
        <v>21</v>
      </c>
      <c r="S113" s="26" t="s">
        <v>141</v>
      </c>
      <c r="T113" s="51">
        <v>34999810409</v>
      </c>
      <c r="U113" s="26" t="s">
        <v>142</v>
      </c>
      <c r="V113" s="26" t="s">
        <v>143</v>
      </c>
      <c r="W113" s="26" t="s">
        <v>126</v>
      </c>
    </row>
    <row r="114" spans="1:23" x14ac:dyDescent="0.25">
      <c r="A114" s="47">
        <f>_xlfn.XLOOKUP(_Shipments[[#This Row],[Shipment]],[1]Report!$G:$G,[1]Report!$B:$B,"-")</f>
        <v>46289.375</v>
      </c>
      <c r="B114" s="26">
        <v>7242703</v>
      </c>
      <c r="C114" s="26">
        <v>5541989387</v>
      </c>
      <c r="D114" s="26">
        <v>1</v>
      </c>
      <c r="E114" s="26" t="s">
        <v>16</v>
      </c>
      <c r="F114" s="85">
        <v>20</v>
      </c>
      <c r="G114" s="26" t="s">
        <v>283</v>
      </c>
      <c r="H114" s="26" t="s">
        <v>64</v>
      </c>
      <c r="I114" s="26" t="s">
        <v>65</v>
      </c>
      <c r="J114" s="26">
        <v>20</v>
      </c>
      <c r="K114" s="26">
        <v>7573703</v>
      </c>
      <c r="L114" s="26" t="s">
        <v>300</v>
      </c>
      <c r="M114" s="26" t="s">
        <v>46</v>
      </c>
      <c r="N114" s="48">
        <f>IF(_Shipments[[#This Row],[Embalagem]]="Big Bag",_Shipments[[#This Row],[Qtd.]]*_Shipments[[#This Row],[Qtde. sacos/palete]],_Shipments[[#This Row],[Qtd.]])</f>
        <v>800</v>
      </c>
      <c r="O114" s="49">
        <f>_xlfn.XLOOKUP(_Shipments[[#This Row],[CLN]],[2]Dados!$D:$D,[2]Dados!$R:$R,"-")</f>
        <v>40</v>
      </c>
      <c r="P114" s="49" t="str" cm="1">
        <f t="array" ref="P114">_xlfn.LET(_xlpm.t,_xlfn.XLOOKUP(_Shipments[[#This Row],[CLN]],[2]Dados!$D:$D,[2]Dados!$Q:$Q,"-"),_xlfn.IFS(LEFT(_xlpm.t,3)="PAS","Saco",LEFT(_xlpm.t,3)="PBT","Big Bag",TRUE,"-"))</f>
        <v>Big Bag</v>
      </c>
      <c r="Q114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782.8</v>
      </c>
      <c r="R114" s="89">
        <f>IF(_Shipments[[#This Row],[Embalagem]]="Big Bag",_Shipments[[#This Row],[Qtd.]],ROUNDUP(_Shipments[[#This Row],[Qtd.]]/_Shipments[[#This Row],[Qtde. sacos/palete]],0))</f>
        <v>20</v>
      </c>
      <c r="S114" s="26" t="s">
        <v>136</v>
      </c>
      <c r="T114" s="51">
        <v>34991030020</v>
      </c>
      <c r="U114" s="26" t="s">
        <v>137</v>
      </c>
      <c r="V114" s="26" t="s">
        <v>220</v>
      </c>
      <c r="W114" s="26" t="s">
        <v>126</v>
      </c>
    </row>
    <row r="115" spans="1:23" x14ac:dyDescent="0.25">
      <c r="A115" s="47">
        <f>_xlfn.XLOOKUP(_Shipments[[#This Row],[Shipment]],[1]Report!$G:$G,[1]Report!$B:$B,"-")</f>
        <v>46290.333333333336</v>
      </c>
      <c r="B115" s="26">
        <v>7242704</v>
      </c>
      <c r="C115" s="26">
        <v>5541989390</v>
      </c>
      <c r="D115" s="26">
        <v>1</v>
      </c>
      <c r="E115" s="26" t="s">
        <v>16</v>
      </c>
      <c r="F115" s="85">
        <v>16</v>
      </c>
      <c r="G115" s="26" t="s">
        <v>283</v>
      </c>
      <c r="H115" s="26" t="s">
        <v>64</v>
      </c>
      <c r="I115" s="26" t="s">
        <v>65</v>
      </c>
      <c r="J115" s="26">
        <v>16</v>
      </c>
      <c r="K115" s="26">
        <v>7566367</v>
      </c>
      <c r="L115" s="26" t="s">
        <v>301</v>
      </c>
      <c r="M115" s="26" t="s">
        <v>46</v>
      </c>
      <c r="N115" s="48">
        <f>IF(_Shipments[[#This Row],[Embalagem]]="Big Bag",_Shipments[[#This Row],[Qtd.]]*_Shipments[[#This Row],[Qtde. sacos/palete]],_Shipments[[#This Row],[Qtd.]])</f>
        <v>640</v>
      </c>
      <c r="O115" s="49">
        <f>_xlfn.XLOOKUP(_Shipments[[#This Row],[CLN]],[2]Dados!$D:$D,[2]Dados!$R:$R,"-")</f>
        <v>40</v>
      </c>
      <c r="P115" s="49" t="str" cm="1">
        <f t="array" ref="P115">_xlfn.LET(_xlpm.t,_xlfn.XLOOKUP(_Shipments[[#This Row],[CLN]],[2]Dados!$D:$D,[2]Dados!$Q:$Q,"-"),_xlfn.IFS(LEFT(_xlpm.t,3)="PAS","Saco",LEFT(_xlpm.t,3)="PBT","Big Bag",TRUE,"-"))</f>
        <v>Big Bag</v>
      </c>
      <c r="Q115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782.8</v>
      </c>
      <c r="R115" s="89">
        <f>IF(_Shipments[[#This Row],[Embalagem]]="Big Bag",_Shipments[[#This Row],[Qtd.]],ROUNDUP(_Shipments[[#This Row],[Qtd.]]/_Shipments[[#This Row],[Qtde. sacos/palete]],0))</f>
        <v>16</v>
      </c>
      <c r="S115" s="26" t="s">
        <v>136</v>
      </c>
      <c r="T115" s="51">
        <v>34991030020</v>
      </c>
      <c r="U115" s="26" t="s">
        <v>137</v>
      </c>
      <c r="V115" s="26" t="s">
        <v>220</v>
      </c>
      <c r="W115" s="26" t="s">
        <v>126</v>
      </c>
    </row>
    <row r="116" spans="1:23" x14ac:dyDescent="0.25">
      <c r="A116" s="47">
        <f>_xlfn.XLOOKUP(_Shipments[[#This Row],[Shipment]],[1]Report!$G:$G,[1]Report!$B:$B,"-")</f>
        <v>46290.333333333336</v>
      </c>
      <c r="B116" s="26">
        <v>7242704</v>
      </c>
      <c r="C116" s="26">
        <v>5541989390</v>
      </c>
      <c r="D116" s="26">
        <v>2</v>
      </c>
      <c r="E116" s="26" t="s">
        <v>299</v>
      </c>
      <c r="F116" s="85">
        <v>5</v>
      </c>
      <c r="G116" s="26" t="s">
        <v>283</v>
      </c>
      <c r="H116" s="26" t="s">
        <v>64</v>
      </c>
      <c r="I116" s="26" t="s">
        <v>65</v>
      </c>
      <c r="J116" s="26">
        <v>5</v>
      </c>
      <c r="K116" s="26">
        <v>7573800</v>
      </c>
      <c r="L116" s="26" t="s">
        <v>303</v>
      </c>
      <c r="M116" s="26" t="s">
        <v>29</v>
      </c>
      <c r="N116" s="48">
        <f>IF(_Shipments[[#This Row],[Embalagem]]="Big Bag",_Shipments[[#This Row],[Qtd.]]*_Shipments[[#This Row],[Qtde. sacos/palete]],_Shipments[[#This Row],[Qtd.]])</f>
        <v>200</v>
      </c>
      <c r="O116" s="49">
        <f>_xlfn.XLOOKUP(_Shipments[[#This Row],[CLN]],[2]Dados!$D:$D,[2]Dados!$R:$R,"-")</f>
        <v>40</v>
      </c>
      <c r="P116" s="49" t="str" cm="1">
        <f t="array" ref="P116">_xlfn.LET(_xlpm.t,_xlfn.XLOOKUP(_Shipments[[#This Row],[CLN]],[2]Dados!$D:$D,[2]Dados!$Q:$Q,"-"),_xlfn.IFS(LEFT(_xlpm.t,3)="PAS","Saco",LEFT(_xlpm.t,3)="PBT","Big Bag",TRUE,"-"))</f>
        <v>Big Bag</v>
      </c>
      <c r="Q116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567.6</v>
      </c>
      <c r="R116" s="89">
        <f>IF(_Shipments[[#This Row],[Embalagem]]="Big Bag",_Shipments[[#This Row],[Qtd.]],ROUNDUP(_Shipments[[#This Row],[Qtd.]]/_Shipments[[#This Row],[Qtde. sacos/palete]],0))</f>
        <v>5</v>
      </c>
      <c r="S116" s="26" t="s">
        <v>136</v>
      </c>
      <c r="T116" s="51">
        <v>34991030020</v>
      </c>
      <c r="U116" s="26" t="s">
        <v>137</v>
      </c>
      <c r="V116" s="26" t="s">
        <v>220</v>
      </c>
      <c r="W116" s="26" t="s">
        <v>126</v>
      </c>
    </row>
    <row r="117" spans="1:23" x14ac:dyDescent="0.25">
      <c r="A117" s="47">
        <f>_xlfn.XLOOKUP(_Shipments[[#This Row],[Shipment]],[1]Report!$G:$G,[1]Report!$B:$B,"-")</f>
        <v>46279.333333333336</v>
      </c>
      <c r="B117" s="26">
        <v>7242802</v>
      </c>
      <c r="C117" s="26">
        <v>5541984864</v>
      </c>
      <c r="D117" s="26">
        <v>1</v>
      </c>
      <c r="E117" s="26" t="s">
        <v>16</v>
      </c>
      <c r="F117" s="85">
        <v>21</v>
      </c>
      <c r="G117" s="26" t="s">
        <v>283</v>
      </c>
      <c r="H117" s="26" t="s">
        <v>64</v>
      </c>
      <c r="I117" s="26" t="s">
        <v>65</v>
      </c>
      <c r="J117" s="26">
        <v>21</v>
      </c>
      <c r="K117" s="26">
        <v>7518147</v>
      </c>
      <c r="L117" s="26" t="s">
        <v>226</v>
      </c>
      <c r="M117" s="26" t="s">
        <v>46</v>
      </c>
      <c r="N117" s="48">
        <f>IF(_Shipments[[#This Row],[Embalagem]]="Big Bag",_Shipments[[#This Row],[Qtd.]]*_Shipments[[#This Row],[Qtde. sacos/palete]],_Shipments[[#This Row],[Qtd.]])</f>
        <v>840</v>
      </c>
      <c r="O117" s="49">
        <f>_xlfn.XLOOKUP(_Shipments[[#This Row],[CLN]],[2]Dados!$D:$D,[2]Dados!$R:$R,"-")</f>
        <v>40</v>
      </c>
      <c r="P117" s="49" t="str" cm="1">
        <f t="array" ref="P117">_xlfn.LET(_xlpm.t,_xlfn.XLOOKUP(_Shipments[[#This Row],[CLN]],[2]Dados!$D:$D,[2]Dados!$Q:$Q,"-"),_xlfn.IFS(LEFT(_xlpm.t,3)="PAS","Saco",LEFT(_xlpm.t,3)="PBT","Big Bag",TRUE,"-"))</f>
        <v>Big Bag</v>
      </c>
      <c r="Q117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692.8</v>
      </c>
      <c r="R117" s="89">
        <f>IF(_Shipments[[#This Row],[Embalagem]]="Big Bag",_Shipments[[#This Row],[Qtd.]],ROUNDUP(_Shipments[[#This Row],[Qtd.]]/_Shipments[[#This Row],[Qtde. sacos/palete]],0))</f>
        <v>21</v>
      </c>
      <c r="S117" s="26" t="s">
        <v>136</v>
      </c>
      <c r="T117" s="51">
        <v>34991030020</v>
      </c>
      <c r="U117" s="26" t="s">
        <v>137</v>
      </c>
      <c r="V117" s="26" t="s">
        <v>220</v>
      </c>
      <c r="W117" s="26" t="s">
        <v>126</v>
      </c>
    </row>
    <row r="118" spans="1:23" x14ac:dyDescent="0.25">
      <c r="A118" s="47">
        <f>_xlfn.XLOOKUP(_Shipments[[#This Row],[Shipment]],[1]Report!$G:$G,[1]Report!$B:$B,"-")</f>
        <v>46279.333333333336</v>
      </c>
      <c r="B118" s="26">
        <v>7242804</v>
      </c>
      <c r="C118" s="26">
        <v>5541984867</v>
      </c>
      <c r="D118" s="26">
        <v>1</v>
      </c>
      <c r="E118" s="26" t="s">
        <v>16</v>
      </c>
      <c r="F118" s="85">
        <v>21</v>
      </c>
      <c r="G118" s="26" t="s">
        <v>283</v>
      </c>
      <c r="H118" s="26" t="s">
        <v>64</v>
      </c>
      <c r="I118" s="26" t="s">
        <v>65</v>
      </c>
      <c r="J118" s="26">
        <v>21</v>
      </c>
      <c r="K118" s="26">
        <v>7561715</v>
      </c>
      <c r="L118" s="26" t="s">
        <v>227</v>
      </c>
      <c r="M118" s="26" t="s">
        <v>38</v>
      </c>
      <c r="N118" s="48">
        <f>IF(_Shipments[[#This Row],[Embalagem]]="Big Bag",_Shipments[[#This Row],[Qtd.]]*_Shipments[[#This Row],[Qtde. sacos/palete]],_Shipments[[#This Row],[Qtd.]])</f>
        <v>840</v>
      </c>
      <c r="O118" s="49">
        <f>_xlfn.XLOOKUP(_Shipments[[#This Row],[CLN]],[2]Dados!$D:$D,[2]Dados!$R:$R,"-")</f>
        <v>40</v>
      </c>
      <c r="P118" s="49" t="str" cm="1">
        <f t="array" ref="P118">_xlfn.LET(_xlpm.t,_xlfn.XLOOKUP(_Shipments[[#This Row],[CLN]],[2]Dados!$D:$D,[2]Dados!$Q:$Q,"-"),_xlfn.IFS(LEFT(_xlpm.t,3)="PAS","Saco",LEFT(_xlpm.t,3)="PBT","Big Bag",TRUE,"-"))</f>
        <v>Big Bag</v>
      </c>
      <c r="Q118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598.80000000000007</v>
      </c>
      <c r="R118" s="89">
        <f>IF(_Shipments[[#This Row],[Embalagem]]="Big Bag",_Shipments[[#This Row],[Qtd.]],ROUNDUP(_Shipments[[#This Row],[Qtd.]]/_Shipments[[#This Row],[Qtde. sacos/palete]],0))</f>
        <v>21</v>
      </c>
      <c r="S118" s="26" t="s">
        <v>128</v>
      </c>
      <c r="T118" s="51">
        <v>34997330803</v>
      </c>
      <c r="U118" s="26" t="s">
        <v>129</v>
      </c>
      <c r="V118" s="26" t="s">
        <v>130</v>
      </c>
      <c r="W118" s="26" t="s">
        <v>126</v>
      </c>
    </row>
    <row r="119" spans="1:23" x14ac:dyDescent="0.25">
      <c r="A119" s="47">
        <f>_xlfn.XLOOKUP(_Shipments[[#This Row],[Shipment]],[1]Report!$G:$G,[1]Report!$B:$B,"-")</f>
        <v>46279.375</v>
      </c>
      <c r="B119" s="26">
        <v>7242805</v>
      </c>
      <c r="C119" s="26">
        <v>5541984868</v>
      </c>
      <c r="D119" s="26">
        <v>1</v>
      </c>
      <c r="E119" s="26" t="s">
        <v>16</v>
      </c>
      <c r="F119" s="85">
        <v>13</v>
      </c>
      <c r="G119" s="26" t="s">
        <v>283</v>
      </c>
      <c r="H119" s="26" t="s">
        <v>64</v>
      </c>
      <c r="I119" s="26" t="s">
        <v>65</v>
      </c>
      <c r="J119" s="26">
        <v>13</v>
      </c>
      <c r="K119" s="26">
        <v>7561715</v>
      </c>
      <c r="L119" s="26" t="s">
        <v>227</v>
      </c>
      <c r="M119" s="26" t="s">
        <v>38</v>
      </c>
      <c r="N119" s="48">
        <f>IF(_Shipments[[#This Row],[Embalagem]]="Big Bag",_Shipments[[#This Row],[Qtd.]]*_Shipments[[#This Row],[Qtde. sacos/palete]],_Shipments[[#This Row],[Qtd.]])</f>
        <v>520</v>
      </c>
      <c r="O119" s="49">
        <f>_xlfn.XLOOKUP(_Shipments[[#This Row],[CLN]],[2]Dados!$D:$D,[2]Dados!$R:$R,"-")</f>
        <v>40</v>
      </c>
      <c r="P119" s="49" t="str" cm="1">
        <f t="array" ref="P119">_xlfn.LET(_xlpm.t,_xlfn.XLOOKUP(_Shipments[[#This Row],[CLN]],[2]Dados!$D:$D,[2]Dados!$Q:$Q,"-"),_xlfn.IFS(LEFT(_xlpm.t,3)="PAS","Saco",LEFT(_xlpm.t,3)="PBT","Big Bag",TRUE,"-"))</f>
        <v>Big Bag</v>
      </c>
      <c r="Q119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598.80000000000007</v>
      </c>
      <c r="R119" s="89">
        <f>IF(_Shipments[[#This Row],[Embalagem]]="Big Bag",_Shipments[[#This Row],[Qtd.]],ROUNDUP(_Shipments[[#This Row],[Qtd.]]/_Shipments[[#This Row],[Qtde. sacos/palete]],0))</f>
        <v>13</v>
      </c>
      <c r="S119" s="26" t="s">
        <v>225</v>
      </c>
      <c r="T119" s="51">
        <v>34991337791</v>
      </c>
      <c r="U119" s="26" t="s">
        <v>120</v>
      </c>
      <c r="V119" s="26" t="s">
        <v>121</v>
      </c>
      <c r="W119" s="26" t="s">
        <v>126</v>
      </c>
    </row>
    <row r="120" spans="1:23" x14ac:dyDescent="0.25">
      <c r="A120" s="47">
        <f>_xlfn.XLOOKUP(_Shipments[[#This Row],[Shipment]],[1]Report!$G:$G,[1]Report!$B:$B,"-")</f>
        <v>46279.375</v>
      </c>
      <c r="B120" s="26">
        <v>7242805</v>
      </c>
      <c r="C120" s="26">
        <v>5541984868</v>
      </c>
      <c r="D120" s="26">
        <v>2</v>
      </c>
      <c r="E120" s="26" t="s">
        <v>16</v>
      </c>
      <c r="F120" s="85">
        <v>7</v>
      </c>
      <c r="G120" s="26" t="s">
        <v>283</v>
      </c>
      <c r="H120" s="26" t="s">
        <v>64</v>
      </c>
      <c r="I120" s="26" t="s">
        <v>65</v>
      </c>
      <c r="J120" s="26">
        <v>7</v>
      </c>
      <c r="K120" s="26">
        <v>7518153</v>
      </c>
      <c r="L120" s="26" t="s">
        <v>228</v>
      </c>
      <c r="M120" s="26" t="s">
        <v>46</v>
      </c>
      <c r="N120" s="48">
        <f>IF(_Shipments[[#This Row],[Embalagem]]="Big Bag",_Shipments[[#This Row],[Qtd.]]*_Shipments[[#This Row],[Qtde. sacos/palete]],_Shipments[[#This Row],[Qtd.]])</f>
        <v>280</v>
      </c>
      <c r="O120" s="49">
        <f>_xlfn.XLOOKUP(_Shipments[[#This Row],[CLN]],[2]Dados!$D:$D,[2]Dados!$R:$R,"-")</f>
        <v>40</v>
      </c>
      <c r="P120" s="49" t="str" cm="1">
        <f t="array" ref="P120">_xlfn.LET(_xlpm.t,_xlfn.XLOOKUP(_Shipments[[#This Row],[CLN]],[2]Dados!$D:$D,[2]Dados!$Q:$Q,"-"),_xlfn.IFS(LEFT(_xlpm.t,3)="PAS","Saco",LEFT(_xlpm.t,3)="PBT","Big Bag",TRUE,"-"))</f>
        <v>Big Bag</v>
      </c>
      <c r="Q120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796.4</v>
      </c>
      <c r="R120" s="89">
        <f>IF(_Shipments[[#This Row],[Embalagem]]="Big Bag",_Shipments[[#This Row],[Qtd.]],ROUNDUP(_Shipments[[#This Row],[Qtd.]]/_Shipments[[#This Row],[Qtde. sacos/palete]],0))</f>
        <v>7</v>
      </c>
      <c r="S120" s="26" t="s">
        <v>225</v>
      </c>
      <c r="T120" s="51">
        <v>34991337791</v>
      </c>
      <c r="U120" s="26" t="s">
        <v>120</v>
      </c>
      <c r="V120" s="26" t="s">
        <v>121</v>
      </c>
      <c r="W120" s="26" t="s">
        <v>126</v>
      </c>
    </row>
    <row r="121" spans="1:23" x14ac:dyDescent="0.25">
      <c r="A121" s="47">
        <f>_xlfn.XLOOKUP(_Shipments[[#This Row],[Shipment]],[1]Report!$G:$G,[1]Report!$B:$B,"-")</f>
        <v>46279.375</v>
      </c>
      <c r="B121" s="26">
        <v>7242807</v>
      </c>
      <c r="C121" s="26">
        <v>5541984869</v>
      </c>
      <c r="D121" s="26">
        <v>1</v>
      </c>
      <c r="E121" s="26" t="s">
        <v>16</v>
      </c>
      <c r="F121" s="85">
        <v>21</v>
      </c>
      <c r="G121" s="26" t="s">
        <v>283</v>
      </c>
      <c r="H121" s="26" t="s">
        <v>64</v>
      </c>
      <c r="I121" s="26" t="s">
        <v>65</v>
      </c>
      <c r="J121" s="26">
        <v>21</v>
      </c>
      <c r="K121" s="26">
        <v>7518153</v>
      </c>
      <c r="L121" s="26" t="s">
        <v>228</v>
      </c>
      <c r="M121" s="26" t="s">
        <v>46</v>
      </c>
      <c r="N121" s="48">
        <f>IF(_Shipments[[#This Row],[Embalagem]]="Big Bag",_Shipments[[#This Row],[Qtd.]]*_Shipments[[#This Row],[Qtde. sacos/palete]],_Shipments[[#This Row],[Qtd.]])</f>
        <v>840</v>
      </c>
      <c r="O121" s="49">
        <f>_xlfn.XLOOKUP(_Shipments[[#This Row],[CLN]],[2]Dados!$D:$D,[2]Dados!$R:$R,"-")</f>
        <v>40</v>
      </c>
      <c r="P121" s="49" t="str" cm="1">
        <f t="array" ref="P121">_xlfn.LET(_xlpm.t,_xlfn.XLOOKUP(_Shipments[[#This Row],[CLN]],[2]Dados!$D:$D,[2]Dados!$Q:$Q,"-"),_xlfn.IFS(LEFT(_xlpm.t,3)="PAS","Saco",LEFT(_xlpm.t,3)="PBT","Big Bag",TRUE,"-"))</f>
        <v>Big Bag</v>
      </c>
      <c r="Q121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796.4</v>
      </c>
      <c r="R121" s="89">
        <f>IF(_Shipments[[#This Row],[Embalagem]]="Big Bag",_Shipments[[#This Row],[Qtd.]],ROUNDUP(_Shipments[[#This Row],[Qtd.]]/_Shipments[[#This Row],[Qtde. sacos/palete]],0))</f>
        <v>21</v>
      </c>
      <c r="S121" s="26" t="s">
        <v>138</v>
      </c>
      <c r="T121" s="51">
        <v>34991718554</v>
      </c>
      <c r="U121" s="26" t="s">
        <v>139</v>
      </c>
      <c r="V121" s="26" t="s">
        <v>140</v>
      </c>
      <c r="W121" s="26" t="s">
        <v>126</v>
      </c>
    </row>
    <row r="122" spans="1:23" x14ac:dyDescent="0.25">
      <c r="A122" s="47">
        <f>_xlfn.XLOOKUP(_Shipments[[#This Row],[Shipment]],[1]Report!$G:$G,[1]Report!$B:$B,"-")</f>
        <v>46280.333333333336</v>
      </c>
      <c r="B122" s="26">
        <v>7242808</v>
      </c>
      <c r="C122" s="26">
        <v>5541984875</v>
      </c>
      <c r="D122" s="26">
        <v>1</v>
      </c>
      <c r="E122" s="26" t="s">
        <v>16</v>
      </c>
      <c r="F122" s="85">
        <v>9</v>
      </c>
      <c r="G122" s="26" t="s">
        <v>283</v>
      </c>
      <c r="H122" s="26" t="s">
        <v>64</v>
      </c>
      <c r="I122" s="26" t="s">
        <v>65</v>
      </c>
      <c r="J122" s="26">
        <v>9</v>
      </c>
      <c r="K122" s="26">
        <v>7518153</v>
      </c>
      <c r="L122" s="26" t="s">
        <v>228</v>
      </c>
      <c r="M122" s="26" t="s">
        <v>46</v>
      </c>
      <c r="N122" s="48">
        <f>IF(_Shipments[[#This Row],[Embalagem]]="Big Bag",_Shipments[[#This Row],[Qtd.]]*_Shipments[[#This Row],[Qtde. sacos/palete]],_Shipments[[#This Row],[Qtd.]])</f>
        <v>360</v>
      </c>
      <c r="O122" s="49">
        <f>_xlfn.XLOOKUP(_Shipments[[#This Row],[CLN]],[2]Dados!$D:$D,[2]Dados!$R:$R,"-")</f>
        <v>40</v>
      </c>
      <c r="P122" s="49" t="str" cm="1">
        <f t="array" ref="P122">_xlfn.LET(_xlpm.t,_xlfn.XLOOKUP(_Shipments[[#This Row],[CLN]],[2]Dados!$D:$D,[2]Dados!$Q:$Q,"-"),_xlfn.IFS(LEFT(_xlpm.t,3)="PAS","Saco",LEFT(_xlpm.t,3)="PBT","Big Bag",TRUE,"-"))</f>
        <v>Big Bag</v>
      </c>
      <c r="Q122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796.4</v>
      </c>
      <c r="R122" s="89">
        <f>IF(_Shipments[[#This Row],[Embalagem]]="Big Bag",_Shipments[[#This Row],[Qtd.]],ROUNDUP(_Shipments[[#This Row],[Qtd.]]/_Shipments[[#This Row],[Qtde. sacos/palete]],0))</f>
        <v>9</v>
      </c>
      <c r="S122" s="26" t="s">
        <v>245</v>
      </c>
      <c r="T122" s="51" t="s">
        <v>248</v>
      </c>
      <c r="U122" s="26" t="s">
        <v>246</v>
      </c>
      <c r="V122" s="26" t="s">
        <v>247</v>
      </c>
      <c r="W122" s="26" t="s">
        <v>126</v>
      </c>
    </row>
    <row r="123" spans="1:23" x14ac:dyDescent="0.25">
      <c r="A123" s="47">
        <f>_xlfn.XLOOKUP(_Shipments[[#This Row],[Shipment]],[1]Report!$G:$G,[1]Report!$B:$B,"-")</f>
        <v>46280.333333333336</v>
      </c>
      <c r="B123" s="26">
        <v>7242808</v>
      </c>
      <c r="C123" s="26">
        <v>5541984875</v>
      </c>
      <c r="D123" s="26">
        <v>2</v>
      </c>
      <c r="E123" s="26" t="s">
        <v>16</v>
      </c>
      <c r="F123" s="85">
        <v>12</v>
      </c>
      <c r="G123" s="26" t="s">
        <v>283</v>
      </c>
      <c r="H123" s="26" t="s">
        <v>64</v>
      </c>
      <c r="I123" s="26" t="s">
        <v>65</v>
      </c>
      <c r="J123" s="26">
        <v>12</v>
      </c>
      <c r="K123" s="26">
        <v>7518161</v>
      </c>
      <c r="L123" s="26" t="s">
        <v>229</v>
      </c>
      <c r="M123" s="26" t="s">
        <v>46</v>
      </c>
      <c r="N123" s="48">
        <f>IF(_Shipments[[#This Row],[Embalagem]]="Big Bag",_Shipments[[#This Row],[Qtd.]]*_Shipments[[#This Row],[Qtde. sacos/palete]],_Shipments[[#This Row],[Qtd.]])</f>
        <v>480</v>
      </c>
      <c r="O123" s="49">
        <f>_xlfn.XLOOKUP(_Shipments[[#This Row],[CLN]],[2]Dados!$D:$D,[2]Dados!$R:$R,"-")</f>
        <v>40</v>
      </c>
      <c r="P123" s="49" t="str" cm="1">
        <f t="array" ref="P123">_xlfn.LET(_xlpm.t,_xlfn.XLOOKUP(_Shipments[[#This Row],[CLN]],[2]Dados!$D:$D,[2]Dados!$Q:$Q,"-"),_xlfn.IFS(LEFT(_xlpm.t,3)="PAS","Saco",LEFT(_xlpm.t,3)="PBT","Big Bag",TRUE,"-"))</f>
        <v>Big Bag</v>
      </c>
      <c r="Q123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788</v>
      </c>
      <c r="R123" s="89">
        <f>IF(_Shipments[[#This Row],[Embalagem]]="Big Bag",_Shipments[[#This Row],[Qtd.]],ROUNDUP(_Shipments[[#This Row],[Qtd.]]/_Shipments[[#This Row],[Qtde. sacos/palete]],0))</f>
        <v>12</v>
      </c>
      <c r="S123" s="26" t="s">
        <v>245</v>
      </c>
      <c r="T123" s="51" t="s">
        <v>248</v>
      </c>
      <c r="U123" s="26" t="s">
        <v>246</v>
      </c>
      <c r="V123" s="26" t="s">
        <v>247</v>
      </c>
      <c r="W123" s="26" t="s">
        <v>126</v>
      </c>
    </row>
    <row r="124" spans="1:23" x14ac:dyDescent="0.25">
      <c r="A124" s="47">
        <f>_xlfn.XLOOKUP(_Shipments[[#This Row],[Shipment]],[1]Report!$G:$G,[1]Report!$B:$B,"-")</f>
        <v>46280.333333333336</v>
      </c>
      <c r="B124" s="26">
        <v>7242811</v>
      </c>
      <c r="C124" s="26">
        <v>5541984876</v>
      </c>
      <c r="D124" s="26">
        <v>1</v>
      </c>
      <c r="E124" s="26" t="s">
        <v>16</v>
      </c>
      <c r="F124" s="85">
        <v>20</v>
      </c>
      <c r="G124" s="26" t="s">
        <v>283</v>
      </c>
      <c r="H124" s="26" t="s">
        <v>64</v>
      </c>
      <c r="I124" s="26" t="s">
        <v>65</v>
      </c>
      <c r="J124" s="26">
        <v>20</v>
      </c>
      <c r="K124" s="26">
        <v>7518161</v>
      </c>
      <c r="L124" s="26" t="s">
        <v>229</v>
      </c>
      <c r="M124" s="26" t="s">
        <v>46</v>
      </c>
      <c r="N124" s="48">
        <f>IF(_Shipments[[#This Row],[Embalagem]]="Big Bag",_Shipments[[#This Row],[Qtd.]]*_Shipments[[#This Row],[Qtde. sacos/palete]],_Shipments[[#This Row],[Qtd.]])</f>
        <v>800</v>
      </c>
      <c r="O124" s="49">
        <f>_xlfn.XLOOKUP(_Shipments[[#This Row],[CLN]],[2]Dados!$D:$D,[2]Dados!$R:$R,"-")</f>
        <v>40</v>
      </c>
      <c r="P124" s="49" t="str" cm="1">
        <f t="array" ref="P124">_xlfn.LET(_xlpm.t,_xlfn.XLOOKUP(_Shipments[[#This Row],[CLN]],[2]Dados!$D:$D,[2]Dados!$Q:$Q,"-"),_xlfn.IFS(LEFT(_xlpm.t,3)="PAS","Saco",LEFT(_xlpm.t,3)="PBT","Big Bag",TRUE,"-"))</f>
        <v>Big Bag</v>
      </c>
      <c r="Q124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788</v>
      </c>
      <c r="R124" s="89">
        <f>IF(_Shipments[[#This Row],[Embalagem]]="Big Bag",_Shipments[[#This Row],[Qtd.]],ROUNDUP(_Shipments[[#This Row],[Qtd.]]/_Shipments[[#This Row],[Qtde. sacos/palete]],0))</f>
        <v>20</v>
      </c>
      <c r="S124" s="26" t="s">
        <v>241</v>
      </c>
      <c r="T124" s="51" t="s">
        <v>244</v>
      </c>
      <c r="U124" s="26" t="s">
        <v>242</v>
      </c>
      <c r="V124" s="26" t="s">
        <v>243</v>
      </c>
      <c r="W124" s="26" t="s">
        <v>126</v>
      </c>
    </row>
    <row r="125" spans="1:23" x14ac:dyDescent="0.25">
      <c r="A125" s="47">
        <f>_xlfn.XLOOKUP(_Shipments[[#This Row],[Shipment]],[1]Report!$G:$G,[1]Report!$B:$B,"-")</f>
        <v>46280.375</v>
      </c>
      <c r="B125" s="26">
        <v>7242816</v>
      </c>
      <c r="C125" s="26">
        <v>5541984880</v>
      </c>
      <c r="D125" s="26">
        <v>1</v>
      </c>
      <c r="E125" s="26" t="s">
        <v>16</v>
      </c>
      <c r="F125" s="85">
        <v>21</v>
      </c>
      <c r="G125" s="26" t="s">
        <v>283</v>
      </c>
      <c r="H125" s="26" t="s">
        <v>64</v>
      </c>
      <c r="I125" s="26" t="s">
        <v>65</v>
      </c>
      <c r="J125" s="26">
        <v>21</v>
      </c>
      <c r="K125" s="26">
        <v>7561729</v>
      </c>
      <c r="L125" s="26" t="s">
        <v>230</v>
      </c>
      <c r="M125" s="26" t="s">
        <v>38</v>
      </c>
      <c r="N125" s="48">
        <f>IF(_Shipments[[#This Row],[Embalagem]]="Big Bag",_Shipments[[#This Row],[Qtd.]]*_Shipments[[#This Row],[Qtde. sacos/palete]],_Shipments[[#This Row],[Qtd.]])</f>
        <v>840</v>
      </c>
      <c r="O125" s="49">
        <f>_xlfn.XLOOKUP(_Shipments[[#This Row],[CLN]],[2]Dados!$D:$D,[2]Dados!$R:$R,"-")</f>
        <v>40</v>
      </c>
      <c r="P125" s="49" t="str" cm="1">
        <f t="array" ref="P125">_xlfn.LET(_xlpm.t,_xlfn.XLOOKUP(_Shipments[[#This Row],[CLN]],[2]Dados!$D:$D,[2]Dados!$Q:$Q,"-"),_xlfn.IFS(LEFT(_xlpm.t,3)="PAS","Saco",LEFT(_xlpm.t,3)="PBT","Big Bag",TRUE,"-"))</f>
        <v>Big Bag</v>
      </c>
      <c r="Q125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698.8</v>
      </c>
      <c r="R125" s="89">
        <f>IF(_Shipments[[#This Row],[Embalagem]]="Big Bag",_Shipments[[#This Row],[Qtd.]],ROUNDUP(_Shipments[[#This Row],[Qtd.]]/_Shipments[[#This Row],[Qtde. sacos/palete]],0))</f>
        <v>21</v>
      </c>
      <c r="S125" s="26" t="s">
        <v>225</v>
      </c>
      <c r="T125" s="51">
        <v>34991337791</v>
      </c>
      <c r="U125" s="26" t="s">
        <v>120</v>
      </c>
      <c r="V125" s="26" t="s">
        <v>121</v>
      </c>
      <c r="W125" s="26" t="s">
        <v>126</v>
      </c>
    </row>
    <row r="126" spans="1:23" x14ac:dyDescent="0.25">
      <c r="A126" s="47">
        <f>_xlfn.XLOOKUP(_Shipments[[#This Row],[Shipment]],[1]Report!$G:$G,[1]Report!$B:$B,"-")</f>
        <v>46280.375</v>
      </c>
      <c r="B126" s="26">
        <v>7242819</v>
      </c>
      <c r="C126" s="26">
        <v>5541984881</v>
      </c>
      <c r="D126" s="26">
        <v>1</v>
      </c>
      <c r="E126" s="26" t="s">
        <v>16</v>
      </c>
      <c r="F126" s="85">
        <v>5</v>
      </c>
      <c r="G126" s="26" t="s">
        <v>283</v>
      </c>
      <c r="H126" s="26" t="s">
        <v>64</v>
      </c>
      <c r="I126" s="26" t="s">
        <v>65</v>
      </c>
      <c r="J126" s="26">
        <v>5</v>
      </c>
      <c r="K126" s="26">
        <v>7561729</v>
      </c>
      <c r="L126" s="26" t="s">
        <v>230</v>
      </c>
      <c r="M126" s="26" t="s">
        <v>38</v>
      </c>
      <c r="N126" s="48">
        <f>IF(_Shipments[[#This Row],[Embalagem]]="Big Bag",_Shipments[[#This Row],[Qtd.]]*_Shipments[[#This Row],[Qtde. sacos/palete]],_Shipments[[#This Row],[Qtd.]])</f>
        <v>200</v>
      </c>
      <c r="O126" s="49">
        <f>_xlfn.XLOOKUP(_Shipments[[#This Row],[CLN]],[2]Dados!$D:$D,[2]Dados!$R:$R,"-")</f>
        <v>40</v>
      </c>
      <c r="P126" s="49" t="str" cm="1">
        <f t="array" ref="P126">_xlfn.LET(_xlpm.t,_xlfn.XLOOKUP(_Shipments[[#This Row],[CLN]],[2]Dados!$D:$D,[2]Dados!$Q:$Q,"-"),_xlfn.IFS(LEFT(_xlpm.t,3)="PAS","Saco",LEFT(_xlpm.t,3)="PBT","Big Bag",TRUE,"-"))</f>
        <v>Big Bag</v>
      </c>
      <c r="Q126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698.8</v>
      </c>
      <c r="R126" s="89">
        <f>IF(_Shipments[[#This Row],[Embalagem]]="Big Bag",_Shipments[[#This Row],[Qtd.]],ROUNDUP(_Shipments[[#This Row],[Qtd.]]/_Shipments[[#This Row],[Qtde. sacos/palete]],0))</f>
        <v>5</v>
      </c>
      <c r="S126" s="26" t="s">
        <v>141</v>
      </c>
      <c r="T126" s="51">
        <v>34999810409</v>
      </c>
      <c r="U126" s="26" t="s">
        <v>142</v>
      </c>
      <c r="V126" s="26" t="s">
        <v>143</v>
      </c>
      <c r="W126" s="26" t="s">
        <v>126</v>
      </c>
    </row>
    <row r="127" spans="1:23" x14ac:dyDescent="0.25">
      <c r="A127" s="47">
        <f>_xlfn.XLOOKUP(_Shipments[[#This Row],[Shipment]],[1]Report!$G:$G,[1]Report!$B:$B,"-")</f>
        <v>46280.375</v>
      </c>
      <c r="B127" s="26">
        <v>7242819</v>
      </c>
      <c r="C127" s="26">
        <v>5541984881</v>
      </c>
      <c r="D127" s="26">
        <v>2</v>
      </c>
      <c r="E127" s="26" t="s">
        <v>16</v>
      </c>
      <c r="F127" s="85">
        <v>16</v>
      </c>
      <c r="G127" s="26" t="s">
        <v>283</v>
      </c>
      <c r="H127" s="26" t="s">
        <v>64</v>
      </c>
      <c r="I127" s="26" t="s">
        <v>65</v>
      </c>
      <c r="J127" s="26">
        <v>16</v>
      </c>
      <c r="K127" s="26">
        <v>7518139</v>
      </c>
      <c r="L127" s="26" t="s">
        <v>231</v>
      </c>
      <c r="M127" s="26" t="s">
        <v>46</v>
      </c>
      <c r="N127" s="48">
        <f>IF(_Shipments[[#This Row],[Embalagem]]="Big Bag",_Shipments[[#This Row],[Qtd.]]*_Shipments[[#This Row],[Qtde. sacos/palete]],_Shipments[[#This Row],[Qtd.]])</f>
        <v>640</v>
      </c>
      <c r="O127" s="49">
        <f>_xlfn.XLOOKUP(_Shipments[[#This Row],[CLN]],[2]Dados!$D:$D,[2]Dados!$R:$R,"-")</f>
        <v>40</v>
      </c>
      <c r="P127" s="49" t="str" cm="1">
        <f t="array" ref="P127">_xlfn.LET(_xlpm.t,_xlfn.XLOOKUP(_Shipments[[#This Row],[CLN]],[2]Dados!$D:$D,[2]Dados!$Q:$Q,"-"),_xlfn.IFS(LEFT(_xlpm.t,3)="PAS","Saco",LEFT(_xlpm.t,3)="PBT","Big Bag",TRUE,"-"))</f>
        <v>Big Bag</v>
      </c>
      <c r="Q127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673.6</v>
      </c>
      <c r="R127" s="89">
        <f>IF(_Shipments[[#This Row],[Embalagem]]="Big Bag",_Shipments[[#This Row],[Qtd.]],ROUNDUP(_Shipments[[#This Row],[Qtd.]]/_Shipments[[#This Row],[Qtde. sacos/palete]],0))</f>
        <v>16</v>
      </c>
      <c r="S127" s="26" t="s">
        <v>141</v>
      </c>
      <c r="T127" s="51">
        <v>34999810409</v>
      </c>
      <c r="U127" s="26" t="s">
        <v>142</v>
      </c>
      <c r="V127" s="26" t="s">
        <v>143</v>
      </c>
      <c r="W127" s="26" t="s">
        <v>126</v>
      </c>
    </row>
    <row r="128" spans="1:23" x14ac:dyDescent="0.25">
      <c r="A128" s="47">
        <f>_xlfn.XLOOKUP(_Shipments[[#This Row],[Shipment]],[1]Report!$G:$G,[1]Report!$B:$B,"-")</f>
        <v>46281.333333333336</v>
      </c>
      <c r="B128" s="26">
        <v>7242822</v>
      </c>
      <c r="C128" s="26">
        <v>5541984903</v>
      </c>
      <c r="D128" s="26">
        <v>1</v>
      </c>
      <c r="E128" s="26" t="s">
        <v>16</v>
      </c>
      <c r="F128" s="85">
        <v>21</v>
      </c>
      <c r="G128" s="26" t="s">
        <v>283</v>
      </c>
      <c r="H128" s="26" t="s">
        <v>64</v>
      </c>
      <c r="I128" s="26" t="s">
        <v>65</v>
      </c>
      <c r="J128" s="26">
        <v>21</v>
      </c>
      <c r="K128" s="26">
        <v>7518139</v>
      </c>
      <c r="L128" s="26" t="s">
        <v>231</v>
      </c>
      <c r="M128" s="26" t="s">
        <v>46</v>
      </c>
      <c r="N128" s="48">
        <f>IF(_Shipments[[#This Row],[Embalagem]]="Big Bag",_Shipments[[#This Row],[Qtd.]]*_Shipments[[#This Row],[Qtde. sacos/palete]],_Shipments[[#This Row],[Qtd.]])</f>
        <v>840</v>
      </c>
      <c r="O128" s="49">
        <f>_xlfn.XLOOKUP(_Shipments[[#This Row],[CLN]],[2]Dados!$D:$D,[2]Dados!$R:$R,"-")</f>
        <v>40</v>
      </c>
      <c r="P128" s="49" t="str" cm="1">
        <f t="array" ref="P128">_xlfn.LET(_xlpm.t,_xlfn.XLOOKUP(_Shipments[[#This Row],[CLN]],[2]Dados!$D:$D,[2]Dados!$Q:$Q,"-"),_xlfn.IFS(LEFT(_xlpm.t,3)="PAS","Saco",LEFT(_xlpm.t,3)="PBT","Big Bag",TRUE,"-"))</f>
        <v>Big Bag</v>
      </c>
      <c r="Q128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673.6</v>
      </c>
      <c r="R128" s="89">
        <f>IF(_Shipments[[#This Row],[Embalagem]]="Big Bag",_Shipments[[#This Row],[Qtd.]],ROUNDUP(_Shipments[[#This Row],[Qtd.]]/_Shipments[[#This Row],[Qtde. sacos/palete]],0))</f>
        <v>21</v>
      </c>
      <c r="S128" s="26" t="s">
        <v>128</v>
      </c>
      <c r="T128" s="51">
        <v>34997330803</v>
      </c>
      <c r="U128" s="26" t="s">
        <v>129</v>
      </c>
      <c r="V128" s="26" t="s">
        <v>130</v>
      </c>
      <c r="W128" s="26" t="s">
        <v>126</v>
      </c>
    </row>
    <row r="129" spans="1:23" x14ac:dyDescent="0.25">
      <c r="A129" s="47">
        <f>_xlfn.XLOOKUP(_Shipments[[#This Row],[Shipment]],[1]Report!$G:$G,[1]Report!$B:$B,"-")</f>
        <v>46281.333333333336</v>
      </c>
      <c r="B129" s="26">
        <v>7242827</v>
      </c>
      <c r="C129" s="26">
        <v>5541984905</v>
      </c>
      <c r="D129" s="26">
        <v>1</v>
      </c>
      <c r="E129" s="26" t="s">
        <v>16</v>
      </c>
      <c r="F129" s="85">
        <v>2</v>
      </c>
      <c r="G129" s="26" t="s">
        <v>283</v>
      </c>
      <c r="H129" s="26" t="s">
        <v>64</v>
      </c>
      <c r="I129" s="26" t="s">
        <v>65</v>
      </c>
      <c r="J129" s="26">
        <v>2</v>
      </c>
      <c r="K129" s="26">
        <v>7518139</v>
      </c>
      <c r="L129" s="26" t="s">
        <v>231</v>
      </c>
      <c r="M129" s="26" t="s">
        <v>46</v>
      </c>
      <c r="N129" s="48">
        <f>IF(_Shipments[[#This Row],[Embalagem]]="Big Bag",_Shipments[[#This Row],[Qtd.]]*_Shipments[[#This Row],[Qtde. sacos/palete]],_Shipments[[#This Row],[Qtd.]])</f>
        <v>80</v>
      </c>
      <c r="O129" s="49">
        <f>_xlfn.XLOOKUP(_Shipments[[#This Row],[CLN]],[2]Dados!$D:$D,[2]Dados!$R:$R,"-")</f>
        <v>40</v>
      </c>
      <c r="P129" s="49" t="str" cm="1">
        <f t="array" ref="P129">_xlfn.LET(_xlpm.t,_xlfn.XLOOKUP(_Shipments[[#This Row],[CLN]],[2]Dados!$D:$D,[2]Dados!$Q:$Q,"-"),_xlfn.IFS(LEFT(_xlpm.t,3)="PAS","Saco",LEFT(_xlpm.t,3)="PBT","Big Bag",TRUE,"-"))</f>
        <v>Big Bag</v>
      </c>
      <c r="Q129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673.6</v>
      </c>
      <c r="R129" s="89">
        <f>IF(_Shipments[[#This Row],[Embalagem]]="Big Bag",_Shipments[[#This Row],[Qtd.]],ROUNDUP(_Shipments[[#This Row],[Qtd.]]/_Shipments[[#This Row],[Qtde. sacos/palete]],0))</f>
        <v>2</v>
      </c>
      <c r="S129" s="26" t="s">
        <v>136</v>
      </c>
      <c r="T129" s="51">
        <v>34991030020</v>
      </c>
      <c r="U129" s="26" t="s">
        <v>137</v>
      </c>
      <c r="V129" s="26" t="s">
        <v>220</v>
      </c>
      <c r="W129" s="26" t="s">
        <v>126</v>
      </c>
    </row>
    <row r="130" spans="1:23" x14ac:dyDescent="0.25">
      <c r="A130" s="47">
        <f>_xlfn.XLOOKUP(_Shipments[[#This Row],[Shipment]],[1]Report!$G:$G,[1]Report!$B:$B,"-")</f>
        <v>46281.333333333336</v>
      </c>
      <c r="B130" s="26">
        <v>7242827</v>
      </c>
      <c r="C130" s="26">
        <v>5541984905</v>
      </c>
      <c r="D130" s="26">
        <v>2</v>
      </c>
      <c r="E130" s="26" t="s">
        <v>16</v>
      </c>
      <c r="F130" s="85">
        <v>8</v>
      </c>
      <c r="G130" s="26" t="s">
        <v>283</v>
      </c>
      <c r="H130" s="26" t="s">
        <v>64</v>
      </c>
      <c r="I130" s="26" t="s">
        <v>65</v>
      </c>
      <c r="J130" s="26">
        <v>8</v>
      </c>
      <c r="K130" s="26">
        <v>7518148</v>
      </c>
      <c r="L130" s="26" t="s">
        <v>232</v>
      </c>
      <c r="M130" s="26" t="s">
        <v>46</v>
      </c>
      <c r="N130" s="48">
        <f>IF(_Shipments[[#This Row],[Embalagem]]="Big Bag",_Shipments[[#This Row],[Qtd.]]*_Shipments[[#This Row],[Qtde. sacos/palete]],_Shipments[[#This Row],[Qtd.]])</f>
        <v>320</v>
      </c>
      <c r="O130" s="49">
        <f>_xlfn.XLOOKUP(_Shipments[[#This Row],[CLN]],[2]Dados!$D:$D,[2]Dados!$R:$R,"-")</f>
        <v>40</v>
      </c>
      <c r="P130" s="49" t="str" cm="1">
        <f t="array" ref="P130">_xlfn.LET(_xlpm.t,_xlfn.XLOOKUP(_Shipments[[#This Row],[CLN]],[2]Dados!$D:$D,[2]Dados!$Q:$Q,"-"),_xlfn.IFS(LEFT(_xlpm.t,3)="PAS","Saco",LEFT(_xlpm.t,3)="PBT","Big Bag",TRUE,"-"))</f>
        <v>Big Bag</v>
      </c>
      <c r="Q130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787.6</v>
      </c>
      <c r="R130" s="89">
        <f>IF(_Shipments[[#This Row],[Embalagem]]="Big Bag",_Shipments[[#This Row],[Qtd.]],ROUNDUP(_Shipments[[#This Row],[Qtd.]]/_Shipments[[#This Row],[Qtde. sacos/palete]],0))</f>
        <v>8</v>
      </c>
      <c r="S130" s="26" t="s">
        <v>136</v>
      </c>
      <c r="T130" s="51">
        <v>34991030020</v>
      </c>
      <c r="U130" s="26" t="s">
        <v>137</v>
      </c>
      <c r="V130" s="26" t="s">
        <v>220</v>
      </c>
      <c r="W130" s="26" t="s">
        <v>126</v>
      </c>
    </row>
    <row r="131" spans="1:23" x14ac:dyDescent="0.25">
      <c r="A131" s="47">
        <f>_xlfn.XLOOKUP(_Shipments[[#This Row],[Shipment]],[1]Report!$G:$G,[1]Report!$B:$B,"-")</f>
        <v>46281.333333333336</v>
      </c>
      <c r="B131" s="26">
        <v>7242827</v>
      </c>
      <c r="C131" s="26">
        <v>5541984905</v>
      </c>
      <c r="D131" s="26">
        <v>3</v>
      </c>
      <c r="E131" s="26" t="s">
        <v>16</v>
      </c>
      <c r="F131" s="85">
        <v>11</v>
      </c>
      <c r="G131" s="26" t="s">
        <v>283</v>
      </c>
      <c r="H131" s="26" t="s">
        <v>64</v>
      </c>
      <c r="I131" s="26" t="s">
        <v>65</v>
      </c>
      <c r="J131" s="26">
        <v>11</v>
      </c>
      <c r="K131" s="26">
        <v>7518156</v>
      </c>
      <c r="L131" s="26" t="s">
        <v>233</v>
      </c>
      <c r="M131" s="26" t="s">
        <v>46</v>
      </c>
      <c r="N131" s="48">
        <f>IF(_Shipments[[#This Row],[Embalagem]]="Big Bag",_Shipments[[#This Row],[Qtd.]]*_Shipments[[#This Row],[Qtde. sacos/palete]],_Shipments[[#This Row],[Qtd.]])</f>
        <v>440</v>
      </c>
      <c r="O131" s="49">
        <f>_xlfn.XLOOKUP(_Shipments[[#This Row],[CLN]],[2]Dados!$D:$D,[2]Dados!$R:$R,"-")</f>
        <v>40</v>
      </c>
      <c r="P131" s="49" t="str" cm="1">
        <f t="array" ref="P131">_xlfn.LET(_xlpm.t,_xlfn.XLOOKUP(_Shipments[[#This Row],[CLN]],[2]Dados!$D:$D,[2]Dados!$Q:$Q,"-"),_xlfn.IFS(LEFT(_xlpm.t,3)="PAS","Saco",LEFT(_xlpm.t,3)="PBT","Big Bag",TRUE,"-"))</f>
        <v>Big Bag</v>
      </c>
      <c r="Q131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789.59999999999991</v>
      </c>
      <c r="R131" s="89">
        <f>IF(_Shipments[[#This Row],[Embalagem]]="Big Bag",_Shipments[[#This Row],[Qtd.]],ROUNDUP(_Shipments[[#This Row],[Qtd.]]/_Shipments[[#This Row],[Qtde. sacos/palete]],0))</f>
        <v>11</v>
      </c>
      <c r="S131" s="26" t="s">
        <v>136</v>
      </c>
      <c r="T131" s="51">
        <v>34991030020</v>
      </c>
      <c r="U131" s="26" t="s">
        <v>137</v>
      </c>
      <c r="V131" s="26" t="s">
        <v>220</v>
      </c>
      <c r="W131" s="26" t="s">
        <v>126</v>
      </c>
    </row>
    <row r="132" spans="1:23" x14ac:dyDescent="0.25">
      <c r="A132" s="47">
        <f>_xlfn.XLOOKUP(_Shipments[[#This Row],[Shipment]],[1]Report!$G:$G,[1]Report!$B:$B,"-")</f>
        <v>46281.375</v>
      </c>
      <c r="B132" s="26">
        <v>7242830</v>
      </c>
      <c r="C132" s="26">
        <v>5541984913</v>
      </c>
      <c r="D132" s="26">
        <v>1</v>
      </c>
      <c r="E132" s="26" t="s">
        <v>16</v>
      </c>
      <c r="F132" s="85">
        <v>21</v>
      </c>
      <c r="G132" s="26" t="s">
        <v>283</v>
      </c>
      <c r="H132" s="26" t="s">
        <v>64</v>
      </c>
      <c r="I132" s="26" t="s">
        <v>65</v>
      </c>
      <c r="J132" s="26">
        <v>21</v>
      </c>
      <c r="K132" s="26" t="s">
        <v>240</v>
      </c>
      <c r="L132" s="26" t="s">
        <v>232</v>
      </c>
      <c r="M132" s="26" t="s">
        <v>46</v>
      </c>
      <c r="N132" s="48">
        <f>IF(_Shipments[[#This Row],[Embalagem]]="Big Bag",_Shipments[[#This Row],[Qtd.]]*_Shipments[[#This Row],[Qtde. sacos/palete]],_Shipments[[#This Row],[Qtd.]])</f>
        <v>840</v>
      </c>
      <c r="O132" s="49">
        <f>_xlfn.XLOOKUP(_Shipments[[#This Row],[CLN]],[2]Dados!$D:$D,[2]Dados!$R:$R,"-")</f>
        <v>40</v>
      </c>
      <c r="P132" s="49" t="str" cm="1">
        <f t="array" ref="P132">_xlfn.LET(_xlpm.t,_xlfn.XLOOKUP(_Shipments[[#This Row],[CLN]],[2]Dados!$D:$D,[2]Dados!$Q:$Q,"-"),_xlfn.IFS(LEFT(_xlpm.t,3)="PAS","Saco",LEFT(_xlpm.t,3)="PBT","Big Bag",TRUE,"-"))</f>
        <v>Big Bag</v>
      </c>
      <c r="Q132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787.6</v>
      </c>
      <c r="R132" s="89">
        <f>IF(_Shipments[[#This Row],[Embalagem]]="Big Bag",_Shipments[[#This Row],[Qtd.]],ROUNDUP(_Shipments[[#This Row],[Qtd.]]/_Shipments[[#This Row],[Qtde. sacos/palete]],0))</f>
        <v>21</v>
      </c>
      <c r="S132" s="26" t="s">
        <v>249</v>
      </c>
      <c r="T132" s="51">
        <v>34996968579</v>
      </c>
      <c r="U132" s="26" t="s">
        <v>250</v>
      </c>
      <c r="V132" s="26" t="s">
        <v>251</v>
      </c>
      <c r="W132" s="26" t="s">
        <v>126</v>
      </c>
    </row>
    <row r="133" spans="1:23" x14ac:dyDescent="0.25">
      <c r="A133" s="47">
        <f>_xlfn.XLOOKUP(_Shipments[[#This Row],[Shipment]],[1]Report!$G:$G,[1]Report!$B:$B,"-")</f>
        <v>46281.375</v>
      </c>
      <c r="B133" s="26">
        <v>7242833</v>
      </c>
      <c r="C133" s="26">
        <v>5541984915</v>
      </c>
      <c r="D133" s="26">
        <v>1</v>
      </c>
      <c r="E133" s="26" t="s">
        <v>16</v>
      </c>
      <c r="F133" s="85">
        <v>20</v>
      </c>
      <c r="G133" s="26" t="s">
        <v>283</v>
      </c>
      <c r="H133" s="26" t="s">
        <v>64</v>
      </c>
      <c r="I133" s="26" t="s">
        <v>65</v>
      </c>
      <c r="J133" s="26">
        <v>20</v>
      </c>
      <c r="K133" s="26">
        <v>7518156</v>
      </c>
      <c r="L133" s="26" t="s">
        <v>233</v>
      </c>
      <c r="M133" s="26" t="s">
        <v>46</v>
      </c>
      <c r="N133" s="48">
        <f>IF(_Shipments[[#This Row],[Embalagem]]="Big Bag",_Shipments[[#This Row],[Qtd.]]*_Shipments[[#This Row],[Qtde. sacos/palete]],_Shipments[[#This Row],[Qtd.]])</f>
        <v>800</v>
      </c>
      <c r="O133" s="49">
        <f>_xlfn.XLOOKUP(_Shipments[[#This Row],[CLN]],[2]Dados!$D:$D,[2]Dados!$R:$R,"-")</f>
        <v>40</v>
      </c>
      <c r="P133" s="49" t="str" cm="1">
        <f t="array" ref="P133">_xlfn.LET(_xlpm.t,_xlfn.XLOOKUP(_Shipments[[#This Row],[CLN]],[2]Dados!$D:$D,[2]Dados!$Q:$Q,"-"),_xlfn.IFS(LEFT(_xlpm.t,3)="PAS","Saco",LEFT(_xlpm.t,3)="PBT","Big Bag",TRUE,"-"))</f>
        <v>Big Bag</v>
      </c>
      <c r="Q133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789.59999999999991</v>
      </c>
      <c r="R133" s="89">
        <f>IF(_Shipments[[#This Row],[Embalagem]]="Big Bag",_Shipments[[#This Row],[Qtd.]],ROUNDUP(_Shipments[[#This Row],[Qtd.]]/_Shipments[[#This Row],[Qtde. sacos/palete]],0))</f>
        <v>20</v>
      </c>
      <c r="S133" s="26" t="s">
        <v>128</v>
      </c>
      <c r="T133" s="51">
        <v>34997330803</v>
      </c>
      <c r="U133" s="26" t="s">
        <v>129</v>
      </c>
      <c r="V133" s="26" t="s">
        <v>130</v>
      </c>
      <c r="W133" s="26" t="s">
        <v>126</v>
      </c>
    </row>
    <row r="134" spans="1:23" x14ac:dyDescent="0.25">
      <c r="A134" s="47">
        <f>_xlfn.XLOOKUP(_Shipments[[#This Row],[Shipment]],[1]Report!$G:$G,[1]Report!$B:$B,"-")</f>
        <v>46282.333333333336</v>
      </c>
      <c r="B134" s="26">
        <v>7242836</v>
      </c>
      <c r="C134" s="26">
        <v>5541984917</v>
      </c>
      <c r="D134" s="26">
        <v>1</v>
      </c>
      <c r="E134" s="26" t="s">
        <v>56</v>
      </c>
      <c r="F134" s="85">
        <v>21</v>
      </c>
      <c r="G134" s="26" t="s">
        <v>283</v>
      </c>
      <c r="H134" s="26" t="s">
        <v>64</v>
      </c>
      <c r="I134" s="26" t="s">
        <v>65</v>
      </c>
      <c r="J134" s="26">
        <v>21</v>
      </c>
      <c r="K134" s="26">
        <v>7518204</v>
      </c>
      <c r="L134" s="26" t="s">
        <v>234</v>
      </c>
      <c r="M134" s="26" t="s">
        <v>32</v>
      </c>
      <c r="N134" s="48">
        <f>IF(_Shipments[[#This Row],[Embalagem]]="Big Bag",_Shipments[[#This Row],[Qtd.]]*_Shipments[[#This Row],[Qtde. sacos/palete]],_Shipments[[#This Row],[Qtd.]])</f>
        <v>840</v>
      </c>
      <c r="O134" s="49">
        <f>_xlfn.XLOOKUP(_Shipments[[#This Row],[CLN]],[2]Dados!$D:$D,[2]Dados!$R:$R,"-")</f>
        <v>40</v>
      </c>
      <c r="P134" s="49" t="str" cm="1">
        <f t="array" ref="P134">_xlfn.LET(_xlpm.t,_xlfn.XLOOKUP(_Shipments[[#This Row],[CLN]],[2]Dados!$D:$D,[2]Dados!$Q:$Q,"-"),_xlfn.IFS(LEFT(_xlpm.t,3)="PAS","Saco",LEFT(_xlpm.t,3)="PBT","Big Bag",TRUE,"-"))</f>
        <v>Big Bag</v>
      </c>
      <c r="Q134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667.6</v>
      </c>
      <c r="R134" s="89">
        <f>IF(_Shipments[[#This Row],[Embalagem]]="Big Bag",_Shipments[[#This Row],[Qtd.]],ROUNDUP(_Shipments[[#This Row],[Qtd.]]/_Shipments[[#This Row],[Qtde. sacos/palete]],0))</f>
        <v>21</v>
      </c>
      <c r="S134" s="26" t="s">
        <v>131</v>
      </c>
      <c r="T134" s="51">
        <v>34999248710</v>
      </c>
      <c r="U134" s="26" t="s">
        <v>132</v>
      </c>
      <c r="V134" s="26" t="s">
        <v>133</v>
      </c>
      <c r="W134" s="26" t="s">
        <v>126</v>
      </c>
    </row>
    <row r="135" spans="1:23" x14ac:dyDescent="0.25">
      <c r="A135" s="47">
        <f>_xlfn.XLOOKUP(_Shipments[[#This Row],[Shipment]],[1]Report!$G:$G,[1]Report!$B:$B,"-")</f>
        <v>46282.333333333336</v>
      </c>
      <c r="B135" s="26">
        <v>7242839</v>
      </c>
      <c r="C135" s="26">
        <v>5541984920</v>
      </c>
      <c r="D135" s="26">
        <v>1</v>
      </c>
      <c r="E135" s="26" t="s">
        <v>56</v>
      </c>
      <c r="F135" s="85">
        <v>11</v>
      </c>
      <c r="G135" s="26" t="s">
        <v>283</v>
      </c>
      <c r="H135" s="26" t="s">
        <v>64</v>
      </c>
      <c r="I135" s="26" t="s">
        <v>65</v>
      </c>
      <c r="J135" s="26">
        <v>11</v>
      </c>
      <c r="K135" s="26">
        <v>7518204</v>
      </c>
      <c r="L135" s="26" t="s">
        <v>234</v>
      </c>
      <c r="M135" s="26" t="s">
        <v>32</v>
      </c>
      <c r="N135" s="48">
        <f>IF(_Shipments[[#This Row],[Embalagem]]="Big Bag",_Shipments[[#This Row],[Qtd.]]*_Shipments[[#This Row],[Qtde. sacos/palete]],_Shipments[[#This Row],[Qtd.]])</f>
        <v>440</v>
      </c>
      <c r="O135" s="49">
        <f>_xlfn.XLOOKUP(_Shipments[[#This Row],[CLN]],[2]Dados!$D:$D,[2]Dados!$R:$R,"-")</f>
        <v>40</v>
      </c>
      <c r="P135" s="49" t="str" cm="1">
        <f t="array" ref="P135">_xlfn.LET(_xlpm.t,_xlfn.XLOOKUP(_Shipments[[#This Row],[CLN]],[2]Dados!$D:$D,[2]Dados!$Q:$Q,"-"),_xlfn.IFS(LEFT(_xlpm.t,3)="PAS","Saco",LEFT(_xlpm.t,3)="PBT","Big Bag",TRUE,"-"))</f>
        <v>Big Bag</v>
      </c>
      <c r="Q135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667.6</v>
      </c>
      <c r="R135" s="89">
        <f>IF(_Shipments[[#This Row],[Embalagem]]="Big Bag",_Shipments[[#This Row],[Qtd.]],ROUNDUP(_Shipments[[#This Row],[Qtd.]]/_Shipments[[#This Row],[Qtde. sacos/palete]],0))</f>
        <v>11</v>
      </c>
      <c r="S135" s="26" t="s">
        <v>136</v>
      </c>
      <c r="T135" s="51">
        <v>34991030020</v>
      </c>
      <c r="U135" s="26" t="s">
        <v>137</v>
      </c>
      <c r="V135" s="26" t="s">
        <v>220</v>
      </c>
      <c r="W135" s="26" t="s">
        <v>126</v>
      </c>
    </row>
    <row r="136" spans="1:23" x14ac:dyDescent="0.25">
      <c r="A136" s="47">
        <f>_xlfn.XLOOKUP(_Shipments[[#This Row],[Shipment]],[1]Report!$G:$G,[1]Report!$B:$B,"-")</f>
        <v>46282.333333333336</v>
      </c>
      <c r="B136" s="26">
        <v>7242839</v>
      </c>
      <c r="C136" s="26">
        <v>5541984920</v>
      </c>
      <c r="D136" s="26">
        <v>2</v>
      </c>
      <c r="E136" s="26" t="s">
        <v>16</v>
      </c>
      <c r="F136" s="85">
        <v>9</v>
      </c>
      <c r="G136" s="26" t="s">
        <v>283</v>
      </c>
      <c r="H136" s="26" t="s">
        <v>64</v>
      </c>
      <c r="I136" s="26" t="s">
        <v>65</v>
      </c>
      <c r="J136" s="26">
        <v>9</v>
      </c>
      <c r="K136" s="26">
        <v>7566372</v>
      </c>
      <c r="L136" s="26" t="s">
        <v>235</v>
      </c>
      <c r="M136" s="26" t="s">
        <v>38</v>
      </c>
      <c r="N136" s="48">
        <f>IF(_Shipments[[#This Row],[Embalagem]]="Big Bag",_Shipments[[#This Row],[Qtd.]]*_Shipments[[#This Row],[Qtde. sacos/palete]],_Shipments[[#This Row],[Qtd.]])</f>
        <v>360</v>
      </c>
      <c r="O136" s="49">
        <f>_xlfn.XLOOKUP(_Shipments[[#This Row],[CLN]],[2]Dados!$D:$D,[2]Dados!$R:$R,"-")</f>
        <v>40</v>
      </c>
      <c r="P136" s="49" t="str" cm="1">
        <f t="array" ref="P136">_xlfn.LET(_xlpm.t,_xlfn.XLOOKUP(_Shipments[[#This Row],[CLN]],[2]Dados!$D:$D,[2]Dados!$Q:$Q,"-"),_xlfn.IFS(LEFT(_xlpm.t,3)="PAS","Saco",LEFT(_xlpm.t,3)="PBT","Big Bag",TRUE,"-"))</f>
        <v>Big Bag</v>
      </c>
      <c r="Q136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690.8</v>
      </c>
      <c r="R136" s="89">
        <f>IF(_Shipments[[#This Row],[Embalagem]]="Big Bag",_Shipments[[#This Row],[Qtd.]],ROUNDUP(_Shipments[[#This Row],[Qtd.]]/_Shipments[[#This Row],[Qtde. sacos/palete]],0))</f>
        <v>9</v>
      </c>
      <c r="S136" s="26" t="s">
        <v>136</v>
      </c>
      <c r="T136" s="51">
        <v>34991030020</v>
      </c>
      <c r="U136" s="26" t="s">
        <v>137</v>
      </c>
      <c r="V136" s="26" t="s">
        <v>220</v>
      </c>
      <c r="W136" s="26" t="s">
        <v>126</v>
      </c>
    </row>
    <row r="137" spans="1:23" x14ac:dyDescent="0.25">
      <c r="A137" s="47">
        <f>_xlfn.XLOOKUP(_Shipments[[#This Row],[Shipment]],[1]Report!$G:$G,[1]Report!$B:$B,"-")</f>
        <v>46282.375</v>
      </c>
      <c r="B137" s="26">
        <v>7242843</v>
      </c>
      <c r="C137" s="26">
        <v>5541984922</v>
      </c>
      <c r="D137" s="26">
        <v>1</v>
      </c>
      <c r="E137" s="26" t="s">
        <v>16</v>
      </c>
      <c r="F137" s="85">
        <v>20</v>
      </c>
      <c r="G137" s="26" t="s">
        <v>283</v>
      </c>
      <c r="H137" s="26" t="s">
        <v>64</v>
      </c>
      <c r="I137" s="26" t="s">
        <v>65</v>
      </c>
      <c r="J137" s="26">
        <v>20</v>
      </c>
      <c r="K137" s="26">
        <v>7566372</v>
      </c>
      <c r="L137" s="26" t="s">
        <v>235</v>
      </c>
      <c r="M137" s="26" t="s">
        <v>38</v>
      </c>
      <c r="N137" s="48">
        <f>IF(_Shipments[[#This Row],[Embalagem]]="Big Bag",_Shipments[[#This Row],[Qtd.]]*_Shipments[[#This Row],[Qtde. sacos/palete]],_Shipments[[#This Row],[Qtd.]])</f>
        <v>800</v>
      </c>
      <c r="O137" s="49">
        <f>_xlfn.XLOOKUP(_Shipments[[#This Row],[CLN]],[2]Dados!$D:$D,[2]Dados!$R:$R,"-")</f>
        <v>40</v>
      </c>
      <c r="P137" s="49" t="str" cm="1">
        <f t="array" ref="P137">_xlfn.LET(_xlpm.t,_xlfn.XLOOKUP(_Shipments[[#This Row],[CLN]],[2]Dados!$D:$D,[2]Dados!$Q:$Q,"-"),_xlfn.IFS(LEFT(_xlpm.t,3)="PAS","Saco",LEFT(_xlpm.t,3)="PBT","Big Bag",TRUE,"-"))</f>
        <v>Big Bag</v>
      </c>
      <c r="Q137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690.8</v>
      </c>
      <c r="R137" s="89">
        <f>IF(_Shipments[[#This Row],[Embalagem]]="Big Bag",_Shipments[[#This Row],[Qtd.]],ROUNDUP(_Shipments[[#This Row],[Qtd.]]/_Shipments[[#This Row],[Qtde. sacos/palete]],0))</f>
        <v>20</v>
      </c>
      <c r="S137" s="26" t="s">
        <v>225</v>
      </c>
      <c r="T137" s="51">
        <v>34991337791</v>
      </c>
      <c r="U137" s="26" t="s">
        <v>120</v>
      </c>
      <c r="V137" s="26" t="s">
        <v>121</v>
      </c>
      <c r="W137" s="26" t="s">
        <v>126</v>
      </c>
    </row>
    <row r="138" spans="1:23" x14ac:dyDescent="0.25">
      <c r="A138" s="47">
        <f>_xlfn.XLOOKUP(_Shipments[[#This Row],[Shipment]],[1]Report!$G:$G,[1]Report!$B:$B,"-")</f>
        <v>46282.375</v>
      </c>
      <c r="B138" s="26">
        <v>7242844</v>
      </c>
      <c r="C138" s="26">
        <v>5541984923</v>
      </c>
      <c r="D138" s="26">
        <v>1</v>
      </c>
      <c r="E138" s="26" t="s">
        <v>13</v>
      </c>
      <c r="F138" s="85">
        <v>21</v>
      </c>
      <c r="G138" s="26" t="s">
        <v>283</v>
      </c>
      <c r="H138" s="26" t="s">
        <v>64</v>
      </c>
      <c r="I138" s="26" t="s">
        <v>65</v>
      </c>
      <c r="J138" s="26">
        <v>21</v>
      </c>
      <c r="K138" s="26">
        <v>7518221</v>
      </c>
      <c r="L138" s="26" t="s">
        <v>236</v>
      </c>
      <c r="M138" s="26" t="s">
        <v>35</v>
      </c>
      <c r="N138" s="48">
        <f>IF(_Shipments[[#This Row],[Embalagem]]="Big Bag",_Shipments[[#This Row],[Qtd.]]*_Shipments[[#This Row],[Qtde. sacos/palete]],_Shipments[[#This Row],[Qtd.]])</f>
        <v>840</v>
      </c>
      <c r="O138" s="49">
        <f>_xlfn.XLOOKUP(_Shipments[[#This Row],[CLN]],[2]Dados!$D:$D,[2]Dados!$R:$R,"-")</f>
        <v>40</v>
      </c>
      <c r="P138" s="49" t="str" cm="1">
        <f t="array" ref="P138">_xlfn.LET(_xlpm.t,_xlfn.XLOOKUP(_Shipments[[#This Row],[CLN]],[2]Dados!$D:$D,[2]Dados!$Q:$Q,"-"),_xlfn.IFS(LEFT(_xlpm.t,3)="PAS","Saco",LEFT(_xlpm.t,3)="PBT","Big Bag",TRUE,"-"))</f>
        <v>Big Bag</v>
      </c>
      <c r="Q138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762</v>
      </c>
      <c r="R138" s="89">
        <f>IF(_Shipments[[#This Row],[Embalagem]]="Big Bag",_Shipments[[#This Row],[Qtd.]],ROUNDUP(_Shipments[[#This Row],[Qtd.]]/_Shipments[[#This Row],[Qtde. sacos/palete]],0))</f>
        <v>21</v>
      </c>
      <c r="S138" s="26" t="s">
        <v>249</v>
      </c>
      <c r="T138" s="51">
        <v>34996968579</v>
      </c>
      <c r="U138" s="26" t="s">
        <v>250</v>
      </c>
      <c r="V138" s="26" t="s">
        <v>251</v>
      </c>
      <c r="W138" s="26" t="s">
        <v>126</v>
      </c>
    </row>
    <row r="139" spans="1:23" x14ac:dyDescent="0.25">
      <c r="A139" s="47">
        <f>_xlfn.XLOOKUP(_Shipments[[#This Row],[Shipment]],[1]Report!$G:$G,[1]Report!$B:$B,"-")</f>
        <v>46283.333333333336</v>
      </c>
      <c r="B139" s="26">
        <v>7242847</v>
      </c>
      <c r="C139" s="26">
        <v>5541984925</v>
      </c>
      <c r="D139" s="26">
        <v>1</v>
      </c>
      <c r="E139" s="26" t="s">
        <v>13</v>
      </c>
      <c r="F139" s="85">
        <v>1</v>
      </c>
      <c r="G139" s="26" t="s">
        <v>283</v>
      </c>
      <c r="H139" s="26" t="s">
        <v>64</v>
      </c>
      <c r="I139" s="26" t="s">
        <v>65</v>
      </c>
      <c r="J139" s="26">
        <v>1</v>
      </c>
      <c r="K139" s="26">
        <v>7518221</v>
      </c>
      <c r="L139" s="26" t="s">
        <v>236</v>
      </c>
      <c r="M139" s="26" t="s">
        <v>35</v>
      </c>
      <c r="N139" s="48">
        <f>IF(_Shipments[[#This Row],[Embalagem]]="Big Bag",_Shipments[[#This Row],[Qtd.]]*_Shipments[[#This Row],[Qtde. sacos/palete]],_Shipments[[#This Row],[Qtd.]])</f>
        <v>40</v>
      </c>
      <c r="O139" s="49">
        <f>_xlfn.XLOOKUP(_Shipments[[#This Row],[CLN]],[2]Dados!$D:$D,[2]Dados!$R:$R,"-")</f>
        <v>40</v>
      </c>
      <c r="P139" s="49" t="str" cm="1">
        <f t="array" ref="P139">_xlfn.LET(_xlpm.t,_xlfn.XLOOKUP(_Shipments[[#This Row],[CLN]],[2]Dados!$D:$D,[2]Dados!$Q:$Q,"-"),_xlfn.IFS(LEFT(_xlpm.t,3)="PAS","Saco",LEFT(_xlpm.t,3)="PBT","Big Bag",TRUE,"-"))</f>
        <v>Big Bag</v>
      </c>
      <c r="Q139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762</v>
      </c>
      <c r="R139" s="89">
        <f>IF(_Shipments[[#This Row],[Embalagem]]="Big Bag",_Shipments[[#This Row],[Qtd.]],ROUNDUP(_Shipments[[#This Row],[Qtd.]]/_Shipments[[#This Row],[Qtde. sacos/palete]],0))</f>
        <v>1</v>
      </c>
      <c r="S139" s="26" t="s">
        <v>136</v>
      </c>
      <c r="T139" s="51">
        <v>34991030020</v>
      </c>
      <c r="U139" s="26" t="s">
        <v>137</v>
      </c>
      <c r="V139" s="26" t="s">
        <v>220</v>
      </c>
      <c r="W139" s="26" t="s">
        <v>126</v>
      </c>
    </row>
    <row r="140" spans="1:23" x14ac:dyDescent="0.25">
      <c r="A140" s="47">
        <f>_xlfn.XLOOKUP(_Shipments[[#This Row],[Shipment]],[1]Report!$G:$G,[1]Report!$B:$B,"-")</f>
        <v>46283.333333333336</v>
      </c>
      <c r="B140" s="26">
        <v>7242847</v>
      </c>
      <c r="C140" s="26">
        <v>5541984925</v>
      </c>
      <c r="D140" s="26">
        <v>2</v>
      </c>
      <c r="E140" s="26" t="s">
        <v>16</v>
      </c>
      <c r="F140" s="85">
        <v>20</v>
      </c>
      <c r="G140" s="26" t="s">
        <v>283</v>
      </c>
      <c r="H140" s="26" t="s">
        <v>64</v>
      </c>
      <c r="I140" s="26" t="s">
        <v>65</v>
      </c>
      <c r="J140" s="26">
        <v>20</v>
      </c>
      <c r="K140" s="26">
        <v>7566369</v>
      </c>
      <c r="L140" s="26" t="s">
        <v>237</v>
      </c>
      <c r="M140" s="26" t="s">
        <v>38</v>
      </c>
      <c r="N140" s="48">
        <f>IF(_Shipments[[#This Row],[Embalagem]]="Big Bag",_Shipments[[#This Row],[Qtd.]]*_Shipments[[#This Row],[Qtde. sacos/palete]],_Shipments[[#This Row],[Qtd.]])</f>
        <v>800</v>
      </c>
      <c r="O140" s="49">
        <f>_xlfn.XLOOKUP(_Shipments[[#This Row],[CLN]],[2]Dados!$D:$D,[2]Dados!$R:$R,"-")</f>
        <v>40</v>
      </c>
      <c r="P140" s="49" t="str" cm="1">
        <f t="array" ref="P140">_xlfn.LET(_xlpm.t,_xlfn.XLOOKUP(_Shipments[[#This Row],[CLN]],[2]Dados!$D:$D,[2]Dados!$Q:$Q,"-"),_xlfn.IFS(LEFT(_xlpm.t,3)="PAS","Saco",LEFT(_xlpm.t,3)="PBT","Big Bag",TRUE,"-"))</f>
        <v>Big Bag</v>
      </c>
      <c r="Q140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707.2</v>
      </c>
      <c r="R140" s="89">
        <f>IF(_Shipments[[#This Row],[Embalagem]]="Big Bag",_Shipments[[#This Row],[Qtd.]],ROUNDUP(_Shipments[[#This Row],[Qtd.]]/_Shipments[[#This Row],[Qtde. sacos/palete]],0))</f>
        <v>20</v>
      </c>
      <c r="S140" s="26" t="s">
        <v>136</v>
      </c>
      <c r="T140" s="51">
        <v>34991030020</v>
      </c>
      <c r="U140" s="26" t="s">
        <v>137</v>
      </c>
      <c r="V140" s="26" t="s">
        <v>220</v>
      </c>
      <c r="W140" s="26" t="s">
        <v>126</v>
      </c>
    </row>
    <row r="141" spans="1:23" x14ac:dyDescent="0.25">
      <c r="A141" s="47">
        <f>_xlfn.XLOOKUP(_Shipments[[#This Row],[Shipment]],[1]Report!$G:$G,[1]Report!$B:$B,"-")</f>
        <v>46283.333333333336</v>
      </c>
      <c r="B141" s="26">
        <v>7242848</v>
      </c>
      <c r="C141" s="26">
        <v>5541984927</v>
      </c>
      <c r="D141" s="26">
        <v>1</v>
      </c>
      <c r="E141" s="26" t="s">
        <v>16</v>
      </c>
      <c r="F141" s="85">
        <v>6</v>
      </c>
      <c r="G141" s="26" t="s">
        <v>283</v>
      </c>
      <c r="H141" s="26" t="s">
        <v>64</v>
      </c>
      <c r="I141" s="26" t="s">
        <v>65</v>
      </c>
      <c r="J141" s="26">
        <v>6</v>
      </c>
      <c r="K141" s="26">
        <v>7566369</v>
      </c>
      <c r="L141" s="26" t="s">
        <v>237</v>
      </c>
      <c r="M141" s="26" t="s">
        <v>38</v>
      </c>
      <c r="N141" s="48">
        <f>IF(_Shipments[[#This Row],[Embalagem]]="Big Bag",_Shipments[[#This Row],[Qtd.]]*_Shipments[[#This Row],[Qtde. sacos/palete]],_Shipments[[#This Row],[Qtd.]])</f>
        <v>240</v>
      </c>
      <c r="O141" s="49">
        <f>_xlfn.XLOOKUP(_Shipments[[#This Row],[CLN]],[2]Dados!$D:$D,[2]Dados!$R:$R,"-")</f>
        <v>40</v>
      </c>
      <c r="P141" s="49" t="str" cm="1">
        <f t="array" ref="P141">_xlfn.LET(_xlpm.t,_xlfn.XLOOKUP(_Shipments[[#This Row],[CLN]],[2]Dados!$D:$D,[2]Dados!$Q:$Q,"-"),_xlfn.IFS(LEFT(_xlpm.t,3)="PAS","Saco",LEFT(_xlpm.t,3)="PBT","Big Bag",TRUE,"-"))</f>
        <v>Big Bag</v>
      </c>
      <c r="Q141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707.2</v>
      </c>
      <c r="R141" s="89">
        <f>IF(_Shipments[[#This Row],[Embalagem]]="Big Bag",_Shipments[[#This Row],[Qtd.]],ROUNDUP(_Shipments[[#This Row],[Qtd.]]/_Shipments[[#This Row],[Qtde. sacos/palete]],0))</f>
        <v>6</v>
      </c>
      <c r="S141" s="26" t="s">
        <v>141</v>
      </c>
      <c r="T141" s="51">
        <v>34999810409</v>
      </c>
      <c r="U141" s="26" t="s">
        <v>142</v>
      </c>
      <c r="V141" s="26" t="s">
        <v>143</v>
      </c>
      <c r="W141" s="26" t="s">
        <v>126</v>
      </c>
    </row>
    <row r="142" spans="1:23" x14ac:dyDescent="0.25">
      <c r="A142" s="47">
        <f>_xlfn.XLOOKUP(_Shipments[[#This Row],[Shipment]],[1]Report!$G:$G,[1]Report!$B:$B,"-")</f>
        <v>46283.333333333336</v>
      </c>
      <c r="B142" s="26">
        <v>7242848</v>
      </c>
      <c r="C142" s="26">
        <v>5541984927</v>
      </c>
      <c r="D142" s="26">
        <v>2</v>
      </c>
      <c r="E142" s="26" t="s">
        <v>16</v>
      </c>
      <c r="F142" s="85">
        <v>15</v>
      </c>
      <c r="G142" s="26" t="s">
        <v>283</v>
      </c>
      <c r="H142" s="26" t="s">
        <v>64</v>
      </c>
      <c r="I142" s="26" t="s">
        <v>65</v>
      </c>
      <c r="J142" s="26">
        <v>15</v>
      </c>
      <c r="K142" s="26">
        <v>7566371</v>
      </c>
      <c r="L142" s="26" t="s">
        <v>238</v>
      </c>
      <c r="M142" s="26" t="s">
        <v>38</v>
      </c>
      <c r="N142" s="48">
        <f>IF(_Shipments[[#This Row],[Embalagem]]="Big Bag",_Shipments[[#This Row],[Qtd.]]*_Shipments[[#This Row],[Qtde. sacos/palete]],_Shipments[[#This Row],[Qtd.]])</f>
        <v>600</v>
      </c>
      <c r="O142" s="49">
        <f>_xlfn.XLOOKUP(_Shipments[[#This Row],[CLN]],[2]Dados!$D:$D,[2]Dados!$R:$R,"-")</f>
        <v>40</v>
      </c>
      <c r="P142" s="49" t="str" cm="1">
        <f t="array" ref="P142">_xlfn.LET(_xlpm.t,_xlfn.XLOOKUP(_Shipments[[#This Row],[CLN]],[2]Dados!$D:$D,[2]Dados!$Q:$Q,"-"),_xlfn.IFS(LEFT(_xlpm.t,3)="PAS","Saco",LEFT(_xlpm.t,3)="PBT","Big Bag",TRUE,"-"))</f>
        <v>Big Bag</v>
      </c>
      <c r="Q142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700.8</v>
      </c>
      <c r="R142" s="89">
        <f>IF(_Shipments[[#This Row],[Embalagem]]="Big Bag",_Shipments[[#This Row],[Qtd.]],ROUNDUP(_Shipments[[#This Row],[Qtd.]]/_Shipments[[#This Row],[Qtde. sacos/palete]],0))</f>
        <v>15</v>
      </c>
      <c r="S142" s="26" t="s">
        <v>141</v>
      </c>
      <c r="T142" s="51">
        <v>34999810409</v>
      </c>
      <c r="U142" s="26" t="s">
        <v>142</v>
      </c>
      <c r="V142" s="26" t="s">
        <v>143</v>
      </c>
      <c r="W142" s="26" t="s">
        <v>126</v>
      </c>
    </row>
    <row r="143" spans="1:23" x14ac:dyDescent="0.25">
      <c r="A143" s="47">
        <f>_xlfn.XLOOKUP(_Shipments[[#This Row],[Shipment]],[1]Report!$G:$G,[1]Report!$B:$B,"-")</f>
        <v>46283.375</v>
      </c>
      <c r="B143" s="26">
        <v>7242850</v>
      </c>
      <c r="C143" s="26">
        <v>5541984928</v>
      </c>
      <c r="D143" s="26">
        <v>1</v>
      </c>
      <c r="E143" s="26" t="s">
        <v>16</v>
      </c>
      <c r="F143" s="85">
        <v>9</v>
      </c>
      <c r="G143" s="26" t="s">
        <v>283</v>
      </c>
      <c r="H143" s="26" t="s">
        <v>64</v>
      </c>
      <c r="I143" s="26" t="s">
        <v>65</v>
      </c>
      <c r="J143" s="26">
        <v>9</v>
      </c>
      <c r="K143" s="26">
        <v>7566371</v>
      </c>
      <c r="L143" s="26" t="s">
        <v>238</v>
      </c>
      <c r="M143" s="26" t="s">
        <v>38</v>
      </c>
      <c r="N143" s="48">
        <f>IF(_Shipments[[#This Row],[Embalagem]]="Big Bag",_Shipments[[#This Row],[Qtd.]]*_Shipments[[#This Row],[Qtde. sacos/palete]],_Shipments[[#This Row],[Qtd.]])</f>
        <v>360</v>
      </c>
      <c r="O143" s="49">
        <f>_xlfn.XLOOKUP(_Shipments[[#This Row],[CLN]],[2]Dados!$D:$D,[2]Dados!$R:$R,"-")</f>
        <v>40</v>
      </c>
      <c r="P143" s="49" t="str" cm="1">
        <f t="array" ref="P143">_xlfn.LET(_xlpm.t,_xlfn.XLOOKUP(_Shipments[[#This Row],[CLN]],[2]Dados!$D:$D,[2]Dados!$Q:$Q,"-"),_xlfn.IFS(LEFT(_xlpm.t,3)="PAS","Saco",LEFT(_xlpm.t,3)="PBT","Big Bag",TRUE,"-"))</f>
        <v>Big Bag</v>
      </c>
      <c r="Q143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700.8</v>
      </c>
      <c r="R143" s="89">
        <f>IF(_Shipments[[#This Row],[Embalagem]]="Big Bag",_Shipments[[#This Row],[Qtd.]],ROUNDUP(_Shipments[[#This Row],[Qtd.]]/_Shipments[[#This Row],[Qtde. sacos/palete]],0))</f>
        <v>9</v>
      </c>
      <c r="S143" s="26" t="s">
        <v>280</v>
      </c>
      <c r="T143" s="51">
        <v>44999250098</v>
      </c>
      <c r="U143" s="26" t="s">
        <v>281</v>
      </c>
      <c r="V143" s="26" t="s">
        <v>282</v>
      </c>
      <c r="W143" s="26" t="s">
        <v>126</v>
      </c>
    </row>
    <row r="144" spans="1:23" x14ac:dyDescent="0.25">
      <c r="A144" s="47">
        <f>_xlfn.XLOOKUP(_Shipments[[#This Row],[Shipment]],[1]Report!$G:$G,[1]Report!$B:$B,"-")</f>
        <v>46283.375</v>
      </c>
      <c r="B144" s="26">
        <v>7242850</v>
      </c>
      <c r="C144" s="26">
        <v>5541984928</v>
      </c>
      <c r="D144" s="26">
        <v>2</v>
      </c>
      <c r="E144" s="26" t="s">
        <v>16</v>
      </c>
      <c r="F144" s="85">
        <v>12</v>
      </c>
      <c r="G144" s="26" t="s">
        <v>283</v>
      </c>
      <c r="H144" s="26" t="s">
        <v>64</v>
      </c>
      <c r="I144" s="26" t="s">
        <v>65</v>
      </c>
      <c r="J144" s="26">
        <v>12</v>
      </c>
      <c r="K144" s="26">
        <v>7566373</v>
      </c>
      <c r="L144" s="26" t="s">
        <v>239</v>
      </c>
      <c r="M144" s="26" t="s">
        <v>38</v>
      </c>
      <c r="N144" s="48">
        <f>IF(_Shipments[[#This Row],[Embalagem]]="Big Bag",_Shipments[[#This Row],[Qtd.]]*_Shipments[[#This Row],[Qtde. sacos/palete]],_Shipments[[#This Row],[Qtd.]])</f>
        <v>480</v>
      </c>
      <c r="O144" s="49">
        <f>_xlfn.XLOOKUP(_Shipments[[#This Row],[CLN]],[2]Dados!$D:$D,[2]Dados!$R:$R,"-")</f>
        <v>40</v>
      </c>
      <c r="P144" s="49" t="str" cm="1">
        <f t="array" ref="P144">_xlfn.LET(_xlpm.t,_xlfn.XLOOKUP(_Shipments[[#This Row],[CLN]],[2]Dados!$D:$D,[2]Dados!$Q:$Q,"-"),_xlfn.IFS(LEFT(_xlpm.t,3)="PAS","Saco",LEFT(_xlpm.t,3)="PBT","Big Bag",TRUE,"-"))</f>
        <v>Big Bag</v>
      </c>
      <c r="Q144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700.40000000000009</v>
      </c>
      <c r="R144" s="89">
        <f>IF(_Shipments[[#This Row],[Embalagem]]="Big Bag",_Shipments[[#This Row],[Qtd.]],ROUNDUP(_Shipments[[#This Row],[Qtd.]]/_Shipments[[#This Row],[Qtde. sacos/palete]],0))</f>
        <v>12</v>
      </c>
      <c r="S144" s="26" t="s">
        <v>280</v>
      </c>
      <c r="T144" s="51">
        <v>44999250098</v>
      </c>
      <c r="U144" s="26" t="s">
        <v>281</v>
      </c>
      <c r="V144" s="26" t="s">
        <v>282</v>
      </c>
      <c r="W144" s="26" t="s">
        <v>126</v>
      </c>
    </row>
    <row r="145" spans="1:23" x14ac:dyDescent="0.25">
      <c r="A145" s="47">
        <f>_xlfn.XLOOKUP(_Shipments[[#This Row],[Shipment]],[1]Report!$G:$G,[1]Report!$B:$B,"-")</f>
        <v>46283.375</v>
      </c>
      <c r="B145" s="26">
        <v>7242853</v>
      </c>
      <c r="C145" s="26">
        <v>5541984929</v>
      </c>
      <c r="D145" s="26">
        <v>1</v>
      </c>
      <c r="E145" s="26" t="s">
        <v>16</v>
      </c>
      <c r="F145" s="85">
        <v>20</v>
      </c>
      <c r="G145" s="26" t="s">
        <v>283</v>
      </c>
      <c r="H145" s="26" t="s">
        <v>64</v>
      </c>
      <c r="I145" s="26" t="s">
        <v>65</v>
      </c>
      <c r="J145" s="26">
        <v>20</v>
      </c>
      <c r="K145" s="26">
        <v>7566373</v>
      </c>
      <c r="L145" s="26" t="s">
        <v>239</v>
      </c>
      <c r="M145" s="26" t="s">
        <v>38</v>
      </c>
      <c r="N145" s="48">
        <f>IF(_Shipments[[#This Row],[Embalagem]]="Big Bag",_Shipments[[#This Row],[Qtd.]]*_Shipments[[#This Row],[Qtde. sacos/palete]],_Shipments[[#This Row],[Qtd.]])</f>
        <v>800</v>
      </c>
      <c r="O145" s="49">
        <f>_xlfn.XLOOKUP(_Shipments[[#This Row],[CLN]],[2]Dados!$D:$D,[2]Dados!$R:$R,"-")</f>
        <v>40</v>
      </c>
      <c r="P145" s="49" t="str" cm="1">
        <f t="array" ref="P145">_xlfn.LET(_xlpm.t,_xlfn.XLOOKUP(_Shipments[[#This Row],[CLN]],[2]Dados!$D:$D,[2]Dados!$Q:$Q,"-"),_xlfn.IFS(LEFT(_xlpm.t,3)="PAS","Saco",LEFT(_xlpm.t,3)="PBT","Big Bag",TRUE,"-"))</f>
        <v>Big Bag</v>
      </c>
      <c r="Q145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700.40000000000009</v>
      </c>
      <c r="R145" s="89">
        <f>IF(_Shipments[[#This Row],[Embalagem]]="Big Bag",_Shipments[[#This Row],[Qtd.]],ROUNDUP(_Shipments[[#This Row],[Qtd.]]/_Shipments[[#This Row],[Qtde. sacos/palete]],0))</f>
        <v>20</v>
      </c>
      <c r="S145" s="26" t="s">
        <v>128</v>
      </c>
      <c r="T145" s="51">
        <v>34997330803</v>
      </c>
      <c r="U145" s="26" t="s">
        <v>129</v>
      </c>
      <c r="V145" s="26" t="s">
        <v>130</v>
      </c>
      <c r="W145" s="26" t="s">
        <v>126</v>
      </c>
    </row>
    <row r="146" spans="1:23" x14ac:dyDescent="0.25">
      <c r="A146" s="47">
        <f>_xlfn.XLOOKUP(_Shipments[[#This Row],[Shipment]],[1]Report!$G:$G,[1]Report!$B:$B,"-")</f>
        <v>46286.333333333336</v>
      </c>
      <c r="B146" s="26">
        <v>7244328</v>
      </c>
      <c r="C146" s="26">
        <v>5541985980</v>
      </c>
      <c r="D146" s="26">
        <v>1</v>
      </c>
      <c r="E146" s="26" t="s">
        <v>252</v>
      </c>
      <c r="F146" s="85">
        <v>1260</v>
      </c>
      <c r="G146" s="26" t="s">
        <v>253</v>
      </c>
      <c r="H146" s="26" t="s">
        <v>254</v>
      </c>
      <c r="I146" s="26" t="s">
        <v>65</v>
      </c>
      <c r="J146" s="26">
        <v>1260</v>
      </c>
      <c r="K146" s="26">
        <v>7571346</v>
      </c>
      <c r="L146" s="26" t="s">
        <v>255</v>
      </c>
      <c r="M146" s="26" t="s">
        <v>32</v>
      </c>
      <c r="N146" s="48">
        <f>IF(_Shipments[[#This Row],[Embalagem]]="Big Bag",_Shipments[[#This Row],[Qtd.]]*_Shipments[[#This Row],[Qtde. sacos/palete]],_Shipments[[#This Row],[Qtd.]])</f>
        <v>1260</v>
      </c>
      <c r="O146" s="49">
        <f>_xlfn.XLOOKUP(_Shipments[[#This Row],[CLN]],[2]Dados!$D:$D,[2]Dados!$R:$R,"-")</f>
        <v>60</v>
      </c>
      <c r="P146" s="49" t="str" cm="1">
        <f t="array" ref="P146">_xlfn.LET(_xlpm.t,_xlfn.XLOOKUP(_Shipments[[#This Row],[CLN]],[2]Dados!$D:$D,[2]Dados!$Q:$Q,"-"),_xlfn.IFS(LEFT(_xlpm.t,3)="PAS","Saco",LEFT(_xlpm.t,3)="PBT","Big Bag",TRUE,"-"))</f>
        <v>Saco</v>
      </c>
      <c r="Q146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16.12</v>
      </c>
      <c r="R146" s="89">
        <f>IF(_Shipments[[#This Row],[Embalagem]]="Big Bag",_Shipments[[#This Row],[Qtd.]],ROUNDUP(_Shipments[[#This Row],[Qtd.]]/_Shipments[[#This Row],[Qtde. sacos/palete]],0))</f>
        <v>21</v>
      </c>
      <c r="S146" s="26" t="s">
        <v>136</v>
      </c>
      <c r="T146" s="51">
        <v>34991030020</v>
      </c>
      <c r="U146" s="26" t="s">
        <v>137</v>
      </c>
      <c r="V146" s="26" t="s">
        <v>220</v>
      </c>
      <c r="W146" s="26" t="s">
        <v>126</v>
      </c>
    </row>
    <row r="147" spans="1:23" x14ac:dyDescent="0.25">
      <c r="A147" s="47">
        <f>_xlfn.XLOOKUP(_Shipments[[#This Row],[Shipment]],[1]Report!$G:$G,[1]Report!$B:$B,"-")</f>
        <v>46286.333333333336</v>
      </c>
      <c r="B147" s="26">
        <v>7244330</v>
      </c>
      <c r="C147" s="26">
        <v>5541985981</v>
      </c>
      <c r="D147" s="26">
        <v>1</v>
      </c>
      <c r="E147" s="26" t="s">
        <v>252</v>
      </c>
      <c r="F147" s="85">
        <v>1157</v>
      </c>
      <c r="G147" s="26" t="s">
        <v>253</v>
      </c>
      <c r="H147" s="26" t="s">
        <v>254</v>
      </c>
      <c r="I147" s="26" t="s">
        <v>65</v>
      </c>
      <c r="J147" s="26">
        <v>1157</v>
      </c>
      <c r="K147" s="26">
        <v>7571348</v>
      </c>
      <c r="L147" s="26" t="s">
        <v>256</v>
      </c>
      <c r="M147" s="26" t="s">
        <v>32</v>
      </c>
      <c r="N147" s="48">
        <f>IF(_Shipments[[#This Row],[Embalagem]]="Big Bag",_Shipments[[#This Row],[Qtd.]]*_Shipments[[#This Row],[Qtde. sacos/palete]],_Shipments[[#This Row],[Qtd.]])</f>
        <v>1157</v>
      </c>
      <c r="O147" s="49">
        <f>_xlfn.XLOOKUP(_Shipments[[#This Row],[CLN]],[2]Dados!$D:$D,[2]Dados!$R:$R,"-")</f>
        <v>60</v>
      </c>
      <c r="P147" s="49" t="str" cm="1">
        <f t="array" ref="P147">_xlfn.LET(_xlpm.t,_xlfn.XLOOKUP(_Shipments[[#This Row],[CLN]],[2]Dados!$D:$D,[2]Dados!$Q:$Q,"-"),_xlfn.IFS(LEFT(_xlpm.t,3)="PAS","Saco",LEFT(_xlpm.t,3)="PBT","Big Bag",TRUE,"-"))</f>
        <v>Saco</v>
      </c>
      <c r="Q147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15.86</v>
      </c>
      <c r="R147" s="89">
        <f>IF(_Shipments[[#This Row],[Embalagem]]="Big Bag",_Shipments[[#This Row],[Qtd.]],ROUNDUP(_Shipments[[#This Row],[Qtd.]]/_Shipments[[#This Row],[Qtde. sacos/palete]],0))</f>
        <v>20</v>
      </c>
      <c r="S147" s="26" t="s">
        <v>128</v>
      </c>
      <c r="T147" s="51">
        <v>34997330803</v>
      </c>
      <c r="U147" s="26" t="s">
        <v>129</v>
      </c>
      <c r="V147" s="26" t="s">
        <v>130</v>
      </c>
      <c r="W147" s="26" t="s">
        <v>126</v>
      </c>
    </row>
    <row r="148" spans="1:23" x14ac:dyDescent="0.25">
      <c r="A148" s="47">
        <f>_xlfn.XLOOKUP(_Shipments[[#This Row],[Shipment]],[1]Report!$G:$G,[1]Report!$B:$B,"-")</f>
        <v>46286.375</v>
      </c>
      <c r="B148" s="26">
        <v>7244331</v>
      </c>
      <c r="C148" s="26">
        <v>5541985982</v>
      </c>
      <c r="D148" s="26">
        <v>1</v>
      </c>
      <c r="E148" s="26" t="s">
        <v>252</v>
      </c>
      <c r="F148" s="85">
        <v>1157</v>
      </c>
      <c r="G148" s="26" t="s">
        <v>253</v>
      </c>
      <c r="H148" s="26" t="s">
        <v>254</v>
      </c>
      <c r="I148" s="26" t="s">
        <v>65</v>
      </c>
      <c r="J148" s="26">
        <v>1157</v>
      </c>
      <c r="K148" s="26">
        <v>7571349</v>
      </c>
      <c r="L148" s="26" t="s">
        <v>257</v>
      </c>
      <c r="M148" s="26" t="s">
        <v>32</v>
      </c>
      <c r="N148" s="48">
        <f>IF(_Shipments[[#This Row],[Embalagem]]="Big Bag",_Shipments[[#This Row],[Qtd.]]*_Shipments[[#This Row],[Qtde. sacos/palete]],_Shipments[[#This Row],[Qtd.]])</f>
        <v>1157</v>
      </c>
      <c r="O148" s="49">
        <f>_xlfn.XLOOKUP(_Shipments[[#This Row],[CLN]],[2]Dados!$D:$D,[2]Dados!$R:$R,"-")</f>
        <v>60</v>
      </c>
      <c r="P148" s="49" t="str" cm="1">
        <f t="array" ref="P148">_xlfn.LET(_xlpm.t,_xlfn.XLOOKUP(_Shipments[[#This Row],[CLN]],[2]Dados!$D:$D,[2]Dados!$Q:$Q,"-"),_xlfn.IFS(LEFT(_xlpm.t,3)="PAS","Saco",LEFT(_xlpm.t,3)="PBT","Big Bag",TRUE,"-"))</f>
        <v>Saco</v>
      </c>
      <c r="Q148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16.05</v>
      </c>
      <c r="R148" s="89">
        <f>IF(_Shipments[[#This Row],[Embalagem]]="Big Bag",_Shipments[[#This Row],[Qtd.]],ROUNDUP(_Shipments[[#This Row],[Qtd.]]/_Shipments[[#This Row],[Qtde. sacos/palete]],0))</f>
        <v>20</v>
      </c>
      <c r="S148" s="26" t="s">
        <v>131</v>
      </c>
      <c r="T148" s="51">
        <v>34999248710</v>
      </c>
      <c r="U148" s="26" t="s">
        <v>132</v>
      </c>
      <c r="V148" s="26" t="s">
        <v>133</v>
      </c>
      <c r="W148" s="26" t="s">
        <v>126</v>
      </c>
    </row>
    <row r="149" spans="1:23" x14ac:dyDescent="0.25">
      <c r="A149" s="47">
        <f>_xlfn.XLOOKUP(_Shipments[[#This Row],[Shipment]],[1]Report!$G:$G,[1]Report!$B:$B,"-")</f>
        <v>46286.375</v>
      </c>
      <c r="B149" s="26">
        <v>7244332</v>
      </c>
      <c r="C149" s="26">
        <v>5541985983</v>
      </c>
      <c r="D149" s="26">
        <v>1</v>
      </c>
      <c r="E149" s="26" t="s">
        <v>258</v>
      </c>
      <c r="F149" s="85">
        <v>658</v>
      </c>
      <c r="G149" s="26" t="s">
        <v>253</v>
      </c>
      <c r="H149" s="26" t="s">
        <v>254</v>
      </c>
      <c r="I149" s="26" t="s">
        <v>65</v>
      </c>
      <c r="J149" s="26">
        <v>658</v>
      </c>
      <c r="K149" s="26">
        <v>7571419</v>
      </c>
      <c r="L149" s="26" t="s">
        <v>259</v>
      </c>
      <c r="M149" s="26" t="s">
        <v>29</v>
      </c>
      <c r="N149" s="48">
        <f>IF(_Shipments[[#This Row],[Embalagem]]="Big Bag",_Shipments[[#This Row],[Qtd.]]*_Shipments[[#This Row],[Qtde. sacos/palete]],_Shipments[[#This Row],[Qtd.]])</f>
        <v>658</v>
      </c>
      <c r="O149" s="49">
        <f>_xlfn.XLOOKUP(_Shipments[[#This Row],[CLN]],[2]Dados!$D:$D,[2]Dados!$R:$R,"-")</f>
        <v>70</v>
      </c>
      <c r="P149" s="49" t="str" cm="1">
        <f t="array" ref="P149">_xlfn.LET(_xlpm.t,_xlfn.XLOOKUP(_Shipments[[#This Row],[CLN]],[2]Dados!$D:$D,[2]Dados!$Q:$Q,"-"),_xlfn.IFS(LEFT(_xlpm.t,3)="PAS","Saco",LEFT(_xlpm.t,3)="PBT","Big Bag",TRUE,"-"))</f>
        <v>Saco</v>
      </c>
      <c r="Q149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14.04</v>
      </c>
      <c r="R149" s="89">
        <f>IF(_Shipments[[#This Row],[Embalagem]]="Big Bag",_Shipments[[#This Row],[Qtd.]],ROUNDUP(_Shipments[[#This Row],[Qtd.]]/_Shipments[[#This Row],[Qtde. sacos/palete]],0))</f>
        <v>10</v>
      </c>
      <c r="S149" s="26" t="s">
        <v>225</v>
      </c>
      <c r="T149" s="51">
        <v>34991337791</v>
      </c>
      <c r="U149" s="26" t="s">
        <v>120</v>
      </c>
      <c r="V149" s="26" t="s">
        <v>121</v>
      </c>
      <c r="W149" s="26" t="s">
        <v>126</v>
      </c>
    </row>
    <row r="150" spans="1:23" x14ac:dyDescent="0.25">
      <c r="A150" s="47">
        <f>_xlfn.XLOOKUP(_Shipments[[#This Row],[Shipment]],[1]Report!$G:$G,[1]Report!$B:$B,"-")</f>
        <v>46286.375</v>
      </c>
      <c r="B150" s="26">
        <v>7244332</v>
      </c>
      <c r="C150" s="26">
        <v>5541985983</v>
      </c>
      <c r="D150" s="26">
        <v>2</v>
      </c>
      <c r="E150" s="26" t="s">
        <v>260</v>
      </c>
      <c r="F150" s="85">
        <v>772</v>
      </c>
      <c r="G150" s="26" t="s">
        <v>253</v>
      </c>
      <c r="H150" s="26" t="s">
        <v>254</v>
      </c>
      <c r="I150" s="26" t="s">
        <v>65</v>
      </c>
      <c r="J150" s="26">
        <v>772</v>
      </c>
      <c r="K150" s="26">
        <v>7571429</v>
      </c>
      <c r="L150" s="26" t="s">
        <v>261</v>
      </c>
      <c r="M150" s="26" t="s">
        <v>262</v>
      </c>
      <c r="N150" s="48">
        <f>IF(_Shipments[[#This Row],[Embalagem]]="Big Bag",_Shipments[[#This Row],[Qtd.]]*_Shipments[[#This Row],[Qtde. sacos/palete]],_Shipments[[#This Row],[Qtd.]])</f>
        <v>772</v>
      </c>
      <c r="O150" s="49">
        <f>_xlfn.XLOOKUP(_Shipments[[#This Row],[CLN]],[2]Dados!$D:$D,[2]Dados!$R:$R,"-")</f>
        <v>75</v>
      </c>
      <c r="P150" s="49" t="str" cm="1">
        <f t="array" ref="P150">_xlfn.LET(_xlpm.t,_xlfn.XLOOKUP(_Shipments[[#This Row],[CLN]],[2]Dados!$D:$D,[2]Dados!$Q:$Q,"-"),_xlfn.IFS(LEFT(_xlpm.t,3)="PAS","Saco",LEFT(_xlpm.t,3)="PBT","Big Bag",TRUE,"-"))</f>
        <v>Saco</v>
      </c>
      <c r="Q150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12.39</v>
      </c>
      <c r="R150" s="89">
        <f>IF(_Shipments[[#This Row],[Embalagem]]="Big Bag",_Shipments[[#This Row],[Qtd.]],ROUNDUP(_Shipments[[#This Row],[Qtd.]]/_Shipments[[#This Row],[Qtde. sacos/palete]],0))</f>
        <v>11</v>
      </c>
      <c r="S150" s="26" t="s">
        <v>225</v>
      </c>
      <c r="T150" s="51">
        <v>34991337791</v>
      </c>
      <c r="U150" s="26" t="s">
        <v>120</v>
      </c>
      <c r="V150" s="26" t="s">
        <v>121</v>
      </c>
      <c r="W150" s="26" t="s">
        <v>126</v>
      </c>
    </row>
    <row r="151" spans="1:23" x14ac:dyDescent="0.25">
      <c r="A151" s="47">
        <f>_xlfn.XLOOKUP(_Shipments[[#This Row],[Shipment]],[1]Report!$G:$G,[1]Report!$B:$B,"-")</f>
        <v>46287.333333333336</v>
      </c>
      <c r="B151" s="26">
        <v>7244334</v>
      </c>
      <c r="C151" s="26">
        <v>5541985984</v>
      </c>
      <c r="D151" s="26">
        <v>1</v>
      </c>
      <c r="E151" s="26" t="s">
        <v>263</v>
      </c>
      <c r="F151" s="85">
        <v>686</v>
      </c>
      <c r="G151" s="26" t="s">
        <v>253</v>
      </c>
      <c r="H151" s="26" t="s">
        <v>254</v>
      </c>
      <c r="I151" s="26" t="s">
        <v>65</v>
      </c>
      <c r="J151" s="26">
        <v>686</v>
      </c>
      <c r="K151" s="26">
        <v>7571516</v>
      </c>
      <c r="L151" s="26" t="s">
        <v>264</v>
      </c>
      <c r="M151" s="26" t="s">
        <v>265</v>
      </c>
      <c r="N151" s="48">
        <f>IF(_Shipments[[#This Row],[Embalagem]]="Big Bag",_Shipments[[#This Row],[Qtd.]]*_Shipments[[#This Row],[Qtde. sacos/palete]],_Shipments[[#This Row],[Qtd.]])</f>
        <v>686</v>
      </c>
      <c r="O151" s="49">
        <f>_xlfn.XLOOKUP(_Shipments[[#This Row],[CLN]],[2]Dados!$D:$D,[2]Dados!$R:$R,"-")</f>
        <v>70</v>
      </c>
      <c r="P151" s="49" t="str" cm="1">
        <f t="array" ref="P151">_xlfn.LET(_xlpm.t,_xlfn.XLOOKUP(_Shipments[[#This Row],[CLN]],[2]Dados!$D:$D,[2]Dados!$Q:$Q,"-"),_xlfn.IFS(LEFT(_xlpm.t,3)="PAS","Saco",LEFT(_xlpm.t,3)="PBT","Big Bag",TRUE,"-"))</f>
        <v>Saco</v>
      </c>
      <c r="Q151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12.88</v>
      </c>
      <c r="R151" s="89">
        <f>IF(_Shipments[[#This Row],[Embalagem]]="Big Bag",_Shipments[[#This Row],[Qtd.]],ROUNDUP(_Shipments[[#This Row],[Qtd.]]/_Shipments[[#This Row],[Qtde. sacos/palete]],0))</f>
        <v>10</v>
      </c>
      <c r="S151" s="26" t="s">
        <v>249</v>
      </c>
      <c r="T151" s="51">
        <v>34996968579</v>
      </c>
      <c r="U151" s="26" t="s">
        <v>250</v>
      </c>
      <c r="V151" s="26" t="s">
        <v>251</v>
      </c>
      <c r="W151" s="26" t="s">
        <v>126</v>
      </c>
    </row>
    <row r="152" spans="1:23" x14ac:dyDescent="0.25">
      <c r="A152" s="47">
        <f>_xlfn.XLOOKUP(_Shipments[[#This Row],[Shipment]],[1]Report!$G:$G,[1]Report!$B:$B,"-")</f>
        <v>46287.333333333336</v>
      </c>
      <c r="B152" s="26">
        <v>7244334</v>
      </c>
      <c r="C152" s="26">
        <v>5541985984</v>
      </c>
      <c r="D152" s="26">
        <v>2</v>
      </c>
      <c r="E152" s="26" t="s">
        <v>263</v>
      </c>
      <c r="F152" s="85">
        <v>722</v>
      </c>
      <c r="G152" s="26" t="s">
        <v>253</v>
      </c>
      <c r="H152" s="26" t="s">
        <v>254</v>
      </c>
      <c r="I152" s="26" t="s">
        <v>65</v>
      </c>
      <c r="J152" s="26">
        <v>722</v>
      </c>
      <c r="K152" s="26">
        <v>7571517</v>
      </c>
      <c r="L152" s="26" t="s">
        <v>266</v>
      </c>
      <c r="M152" s="26" t="s">
        <v>265</v>
      </c>
      <c r="N152" s="48">
        <f>IF(_Shipments[[#This Row],[Embalagem]]="Big Bag",_Shipments[[#This Row],[Qtd.]]*_Shipments[[#This Row],[Qtde. sacos/palete]],_Shipments[[#This Row],[Qtd.]])</f>
        <v>722</v>
      </c>
      <c r="O152" s="49">
        <f>_xlfn.XLOOKUP(_Shipments[[#This Row],[CLN]],[2]Dados!$D:$D,[2]Dados!$R:$R,"-")</f>
        <v>70</v>
      </c>
      <c r="P152" s="49" t="str" cm="1">
        <f t="array" ref="P152">_xlfn.LET(_xlpm.t,_xlfn.XLOOKUP(_Shipments[[#This Row],[CLN]],[2]Dados!$D:$D,[2]Dados!$Q:$Q,"-"),_xlfn.IFS(LEFT(_xlpm.t,3)="PAS","Saco",LEFT(_xlpm.t,3)="PBT","Big Bag",TRUE,"-"))</f>
        <v>Saco</v>
      </c>
      <c r="Q152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12.62</v>
      </c>
      <c r="R152" s="89">
        <f>IF(_Shipments[[#This Row],[Embalagem]]="Big Bag",_Shipments[[#This Row],[Qtd.]],ROUNDUP(_Shipments[[#This Row],[Qtd.]]/_Shipments[[#This Row],[Qtde. sacos/palete]],0))</f>
        <v>11</v>
      </c>
      <c r="S152" s="26" t="s">
        <v>249</v>
      </c>
      <c r="T152" s="51">
        <v>34996968579</v>
      </c>
      <c r="U152" s="26" t="s">
        <v>250</v>
      </c>
      <c r="V152" s="26" t="s">
        <v>251</v>
      </c>
      <c r="W152" s="26" t="s">
        <v>126</v>
      </c>
    </row>
    <row r="153" spans="1:23" x14ac:dyDescent="0.25">
      <c r="A153" s="47">
        <f>_xlfn.XLOOKUP(_Shipments[[#This Row],[Shipment]],[1]Report!$G:$G,[1]Report!$B:$B,"-")</f>
        <v>46287.333333333336</v>
      </c>
      <c r="B153" s="26">
        <v>7244335</v>
      </c>
      <c r="C153" s="26">
        <v>5541985986</v>
      </c>
      <c r="D153" s="26">
        <v>1</v>
      </c>
      <c r="E153" s="26" t="s">
        <v>252</v>
      </c>
      <c r="F153" s="85">
        <v>420</v>
      </c>
      <c r="G153" s="26" t="s">
        <v>253</v>
      </c>
      <c r="H153" s="26" t="s">
        <v>254</v>
      </c>
      <c r="I153" s="26" t="s">
        <v>65</v>
      </c>
      <c r="J153" s="26">
        <v>420</v>
      </c>
      <c r="K153" s="26">
        <v>7571346</v>
      </c>
      <c r="L153" s="26" t="s">
        <v>255</v>
      </c>
      <c r="M153" s="26" t="s">
        <v>32</v>
      </c>
      <c r="N153" s="48">
        <f>IF(_Shipments[[#This Row],[Embalagem]]="Big Bag",_Shipments[[#This Row],[Qtd.]]*_Shipments[[#This Row],[Qtde. sacos/palete]],_Shipments[[#This Row],[Qtd.]])</f>
        <v>420</v>
      </c>
      <c r="O153" s="49">
        <f>_xlfn.XLOOKUP(_Shipments[[#This Row],[CLN]],[2]Dados!$D:$D,[2]Dados!$R:$R,"-")</f>
        <v>60</v>
      </c>
      <c r="P153" s="49" t="str" cm="1">
        <f t="array" ref="P153">_xlfn.LET(_xlpm.t,_xlfn.XLOOKUP(_Shipments[[#This Row],[CLN]],[2]Dados!$D:$D,[2]Dados!$Q:$Q,"-"),_xlfn.IFS(LEFT(_xlpm.t,3)="PAS","Saco",LEFT(_xlpm.t,3)="PBT","Big Bag",TRUE,"-"))</f>
        <v>Saco</v>
      </c>
      <c r="Q153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16.12</v>
      </c>
      <c r="R153" s="89">
        <f>IF(_Shipments[[#This Row],[Embalagem]]="Big Bag",_Shipments[[#This Row],[Qtd.]],ROUNDUP(_Shipments[[#This Row],[Qtd.]]/_Shipments[[#This Row],[Qtde. sacos/palete]],0))</f>
        <v>7</v>
      </c>
      <c r="S153" s="26" t="s">
        <v>136</v>
      </c>
      <c r="T153" s="51">
        <v>34991030020</v>
      </c>
      <c r="U153" s="26" t="s">
        <v>137</v>
      </c>
      <c r="V153" s="26" t="s">
        <v>220</v>
      </c>
      <c r="W153" s="26" t="s">
        <v>126</v>
      </c>
    </row>
    <row r="154" spans="1:23" x14ac:dyDescent="0.25">
      <c r="A154" s="47">
        <f>_xlfn.XLOOKUP(_Shipments[[#This Row],[Shipment]],[1]Report!$G:$G,[1]Report!$B:$B,"-")</f>
        <v>46287.333333333336</v>
      </c>
      <c r="B154" s="26">
        <v>7244335</v>
      </c>
      <c r="C154" s="26">
        <v>5541985986</v>
      </c>
      <c r="D154" s="26">
        <v>2</v>
      </c>
      <c r="E154" s="26" t="s">
        <v>252</v>
      </c>
      <c r="F154" s="85">
        <v>798</v>
      </c>
      <c r="G154" s="26" t="s">
        <v>253</v>
      </c>
      <c r="H154" s="26" t="s">
        <v>254</v>
      </c>
      <c r="I154" s="26" t="s">
        <v>65</v>
      </c>
      <c r="J154" s="26">
        <v>798</v>
      </c>
      <c r="K154" s="26">
        <v>7571347</v>
      </c>
      <c r="L154" s="26" t="s">
        <v>267</v>
      </c>
      <c r="M154" s="26" t="s">
        <v>32</v>
      </c>
      <c r="N154" s="48">
        <f>IF(_Shipments[[#This Row],[Embalagem]]="Big Bag",_Shipments[[#This Row],[Qtd.]]*_Shipments[[#This Row],[Qtde. sacos/palete]],_Shipments[[#This Row],[Qtd.]])</f>
        <v>798</v>
      </c>
      <c r="O154" s="49">
        <f>_xlfn.XLOOKUP(_Shipments[[#This Row],[CLN]],[2]Dados!$D:$D,[2]Dados!$R:$R,"-")</f>
        <v>60</v>
      </c>
      <c r="P154" s="49" t="str" cm="1">
        <f t="array" ref="P154">_xlfn.LET(_xlpm.t,_xlfn.XLOOKUP(_Shipments[[#This Row],[CLN]],[2]Dados!$D:$D,[2]Dados!$Q:$Q,"-"),_xlfn.IFS(LEFT(_xlpm.t,3)="PAS","Saco",LEFT(_xlpm.t,3)="PBT","Big Bag",TRUE,"-"))</f>
        <v>Saco</v>
      </c>
      <c r="Q154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16.04</v>
      </c>
      <c r="R154" s="89">
        <f>IF(_Shipments[[#This Row],[Embalagem]]="Big Bag",_Shipments[[#This Row],[Qtd.]],ROUNDUP(_Shipments[[#This Row],[Qtd.]]/_Shipments[[#This Row],[Qtde. sacos/palete]],0))</f>
        <v>14</v>
      </c>
      <c r="S154" s="26" t="s">
        <v>136</v>
      </c>
      <c r="T154" s="51">
        <v>34991030020</v>
      </c>
      <c r="U154" s="26" t="s">
        <v>137</v>
      </c>
      <c r="V154" s="26" t="s">
        <v>220</v>
      </c>
      <c r="W154" s="26" t="s">
        <v>126</v>
      </c>
    </row>
    <row r="155" spans="1:23" x14ac:dyDescent="0.25">
      <c r="A155" s="47">
        <f>_xlfn.XLOOKUP(_Shipments[[#This Row],[Shipment]],[1]Report!$G:$G,[1]Report!$B:$B,"-")</f>
        <v>46287.375</v>
      </c>
      <c r="B155" s="26">
        <v>7244336</v>
      </c>
      <c r="C155" s="26">
        <v>5541985987</v>
      </c>
      <c r="D155" s="26">
        <v>1</v>
      </c>
      <c r="E155" s="26" t="s">
        <v>252</v>
      </c>
      <c r="F155" s="85">
        <v>109</v>
      </c>
      <c r="G155" s="26" t="s">
        <v>253</v>
      </c>
      <c r="H155" s="26" t="s">
        <v>254</v>
      </c>
      <c r="I155" s="26" t="s">
        <v>65</v>
      </c>
      <c r="J155" s="26">
        <v>109</v>
      </c>
      <c r="K155" s="26">
        <v>7571346</v>
      </c>
      <c r="L155" s="26" t="s">
        <v>255</v>
      </c>
      <c r="M155" s="26" t="s">
        <v>32</v>
      </c>
      <c r="N155" s="48">
        <f>IF(_Shipments[[#This Row],[Embalagem]]="Big Bag",_Shipments[[#This Row],[Qtd.]]*_Shipments[[#This Row],[Qtde. sacos/palete]],_Shipments[[#This Row],[Qtd.]])</f>
        <v>109</v>
      </c>
      <c r="O155" s="49">
        <f>_xlfn.XLOOKUP(_Shipments[[#This Row],[CLN]],[2]Dados!$D:$D,[2]Dados!$R:$R,"-")</f>
        <v>60</v>
      </c>
      <c r="P155" s="49" t="str" cm="1">
        <f t="array" ref="P155">_xlfn.LET(_xlpm.t,_xlfn.XLOOKUP(_Shipments[[#This Row],[CLN]],[2]Dados!$D:$D,[2]Dados!$Q:$Q,"-"),_xlfn.IFS(LEFT(_xlpm.t,3)="PAS","Saco",LEFT(_xlpm.t,3)="PBT","Big Bag",TRUE,"-"))</f>
        <v>Saco</v>
      </c>
      <c r="Q155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16.12</v>
      </c>
      <c r="R155" s="89">
        <f>IF(_Shipments[[#This Row],[Embalagem]]="Big Bag",_Shipments[[#This Row],[Qtd.]],ROUNDUP(_Shipments[[#This Row],[Qtd.]]/_Shipments[[#This Row],[Qtde. sacos/palete]],0))</f>
        <v>2</v>
      </c>
      <c r="S155" s="26" t="s">
        <v>166</v>
      </c>
      <c r="T155" s="51">
        <v>34991694434</v>
      </c>
      <c r="U155" s="26" t="s">
        <v>167</v>
      </c>
      <c r="V155" s="26" t="s">
        <v>168</v>
      </c>
      <c r="W155" s="26" t="s">
        <v>126</v>
      </c>
    </row>
    <row r="156" spans="1:23" x14ac:dyDescent="0.25">
      <c r="A156" s="47">
        <f>_xlfn.XLOOKUP(_Shipments[[#This Row],[Shipment]],[1]Report!$G:$G,[1]Report!$B:$B,"-")</f>
        <v>46287.375</v>
      </c>
      <c r="B156" s="26">
        <v>7244336</v>
      </c>
      <c r="C156" s="26">
        <v>5541985987</v>
      </c>
      <c r="D156" s="26">
        <v>2</v>
      </c>
      <c r="E156" s="26" t="s">
        <v>252</v>
      </c>
      <c r="F156" s="85">
        <v>1140</v>
      </c>
      <c r="G156" s="26" t="s">
        <v>253</v>
      </c>
      <c r="H156" s="26" t="s">
        <v>254</v>
      </c>
      <c r="I156" s="26" t="s">
        <v>65</v>
      </c>
      <c r="J156" s="26">
        <v>1140</v>
      </c>
      <c r="K156" s="26">
        <v>7571350</v>
      </c>
      <c r="L156" s="26" t="s">
        <v>268</v>
      </c>
      <c r="M156" s="26" t="s">
        <v>32</v>
      </c>
      <c r="N156" s="48">
        <f>IF(_Shipments[[#This Row],[Embalagem]]="Big Bag",_Shipments[[#This Row],[Qtd.]]*_Shipments[[#This Row],[Qtde. sacos/palete]],_Shipments[[#This Row],[Qtd.]])</f>
        <v>1140</v>
      </c>
      <c r="O156" s="49">
        <f>_xlfn.XLOOKUP(_Shipments[[#This Row],[CLN]],[2]Dados!$D:$D,[2]Dados!$R:$R,"-")</f>
        <v>60</v>
      </c>
      <c r="P156" s="49" t="str" cm="1">
        <f t="array" ref="P156">_xlfn.LET(_xlpm.t,_xlfn.XLOOKUP(_Shipments[[#This Row],[CLN]],[2]Dados!$D:$D,[2]Dados!$Q:$Q,"-"),_xlfn.IFS(LEFT(_xlpm.t,3)="PAS","Saco",LEFT(_xlpm.t,3)="PBT","Big Bag",TRUE,"-"))</f>
        <v>Saco</v>
      </c>
      <c r="Q156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16.010000000000002</v>
      </c>
      <c r="R156" s="89">
        <f>IF(_Shipments[[#This Row],[Embalagem]]="Big Bag",_Shipments[[#This Row],[Qtd.]],ROUNDUP(_Shipments[[#This Row],[Qtd.]]/_Shipments[[#This Row],[Qtde. sacos/palete]],0))</f>
        <v>19</v>
      </c>
      <c r="S156" s="26" t="s">
        <v>166</v>
      </c>
      <c r="T156" s="51">
        <v>34991694434</v>
      </c>
      <c r="U156" s="26" t="s">
        <v>167</v>
      </c>
      <c r="V156" s="26" t="s">
        <v>168</v>
      </c>
      <c r="W156" s="26" t="s">
        <v>126</v>
      </c>
    </row>
    <row r="157" spans="1:23" x14ac:dyDescent="0.25">
      <c r="A157" s="47">
        <f>_xlfn.XLOOKUP(_Shipments[[#This Row],[Shipment]],[1]Report!$G:$G,[1]Report!$B:$B,"-")</f>
        <v>46287.375</v>
      </c>
      <c r="B157" s="26">
        <v>7244337</v>
      </c>
      <c r="C157" s="26">
        <v>5541985989</v>
      </c>
      <c r="D157" s="26">
        <v>1</v>
      </c>
      <c r="E157" s="26" t="s">
        <v>263</v>
      </c>
      <c r="F157" s="85">
        <v>894</v>
      </c>
      <c r="G157" s="26" t="s">
        <v>253</v>
      </c>
      <c r="H157" s="26" t="s">
        <v>254</v>
      </c>
      <c r="I157" s="26" t="s">
        <v>65</v>
      </c>
      <c r="J157" s="26">
        <v>894</v>
      </c>
      <c r="K157" s="26">
        <v>7571358</v>
      </c>
      <c r="L157" s="26" t="s">
        <v>269</v>
      </c>
      <c r="M157" s="26" t="s">
        <v>270</v>
      </c>
      <c r="N157" s="48">
        <f>IF(_Shipments[[#This Row],[Embalagem]]="Big Bag",_Shipments[[#This Row],[Qtd.]]*_Shipments[[#This Row],[Qtde. sacos/palete]],_Shipments[[#This Row],[Qtd.]])</f>
        <v>894</v>
      </c>
      <c r="O157" s="49">
        <f>_xlfn.XLOOKUP(_Shipments[[#This Row],[CLN]],[2]Dados!$D:$D,[2]Dados!$R:$R,"-")</f>
        <v>70</v>
      </c>
      <c r="P157" s="49" t="str" cm="1">
        <f t="array" ref="P157">_xlfn.LET(_xlpm.t,_xlfn.XLOOKUP(_Shipments[[#This Row],[CLN]],[2]Dados!$D:$D,[2]Dados!$Q:$Q,"-"),_xlfn.IFS(LEFT(_xlpm.t,3)="PAS","Saco",LEFT(_xlpm.t,3)="PBT","Big Bag",TRUE,"-"))</f>
        <v>Saco</v>
      </c>
      <c r="Q157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13.89</v>
      </c>
      <c r="R157" s="89">
        <f>IF(_Shipments[[#This Row],[Embalagem]]="Big Bag",_Shipments[[#This Row],[Qtd.]],ROUNDUP(_Shipments[[#This Row],[Qtd.]]/_Shipments[[#This Row],[Qtde. sacos/palete]],0))</f>
        <v>13</v>
      </c>
      <c r="S157" s="26" t="s">
        <v>225</v>
      </c>
      <c r="T157" s="51">
        <v>34991337791</v>
      </c>
      <c r="U157" s="26" t="s">
        <v>120</v>
      </c>
      <c r="V157" s="26" t="s">
        <v>121</v>
      </c>
      <c r="W157" s="26" t="s">
        <v>126</v>
      </c>
    </row>
    <row r="158" spans="1:23" x14ac:dyDescent="0.25">
      <c r="A158" s="47">
        <f>_xlfn.XLOOKUP(_Shipments[[#This Row],[Shipment]],[1]Report!$G:$G,[1]Report!$B:$B,"-")</f>
        <v>46287.375</v>
      </c>
      <c r="B158" s="26">
        <v>7244337</v>
      </c>
      <c r="C158" s="26">
        <v>5541985989</v>
      </c>
      <c r="D158" s="26">
        <v>2</v>
      </c>
      <c r="E158" s="26" t="s">
        <v>263</v>
      </c>
      <c r="F158" s="85">
        <v>360</v>
      </c>
      <c r="G158" s="26" t="s">
        <v>253</v>
      </c>
      <c r="H158" s="26" t="s">
        <v>254</v>
      </c>
      <c r="I158" s="26" t="s">
        <v>65</v>
      </c>
      <c r="J158" s="26">
        <v>360</v>
      </c>
      <c r="K158" s="26">
        <v>7571362</v>
      </c>
      <c r="L158" s="26" t="s">
        <v>271</v>
      </c>
      <c r="M158" s="26" t="s">
        <v>270</v>
      </c>
      <c r="N158" s="48">
        <f>IF(_Shipments[[#This Row],[Embalagem]]="Big Bag",_Shipments[[#This Row],[Qtd.]]*_Shipments[[#This Row],[Qtde. sacos/palete]],_Shipments[[#This Row],[Qtd.]])</f>
        <v>360</v>
      </c>
      <c r="O158" s="49">
        <f>_xlfn.XLOOKUP(_Shipments[[#This Row],[CLN]],[2]Dados!$D:$D,[2]Dados!$R:$R,"-")</f>
        <v>70</v>
      </c>
      <c r="P158" s="49" t="str" cm="1">
        <f t="array" ref="P158">_xlfn.LET(_xlpm.t,_xlfn.XLOOKUP(_Shipments[[#This Row],[CLN]],[2]Dados!$D:$D,[2]Dados!$Q:$Q,"-"),_xlfn.IFS(LEFT(_xlpm.t,3)="PAS","Saco",LEFT(_xlpm.t,3)="PBT","Big Bag",TRUE,"-"))</f>
        <v>Saco</v>
      </c>
      <c r="Q158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13.85</v>
      </c>
      <c r="R158" s="89">
        <f>IF(_Shipments[[#This Row],[Embalagem]]="Big Bag",_Shipments[[#This Row],[Qtd.]],ROUNDUP(_Shipments[[#This Row],[Qtd.]]/_Shipments[[#This Row],[Qtde. sacos/palete]],0))</f>
        <v>6</v>
      </c>
      <c r="S158" s="26" t="s">
        <v>225</v>
      </c>
      <c r="T158" s="51">
        <v>34991337791</v>
      </c>
      <c r="U158" s="26" t="s">
        <v>120</v>
      </c>
      <c r="V158" s="26" t="s">
        <v>121</v>
      </c>
      <c r="W158" s="26" t="s">
        <v>126</v>
      </c>
    </row>
    <row r="159" spans="1:23" x14ac:dyDescent="0.25">
      <c r="A159" s="47">
        <f>_xlfn.XLOOKUP(_Shipments[[#This Row],[Shipment]],[1]Report!$G:$G,[1]Report!$B:$B,"-")</f>
        <v>46288.333333333336</v>
      </c>
      <c r="B159" s="26">
        <v>7244338</v>
      </c>
      <c r="C159" s="26">
        <v>5541985990</v>
      </c>
      <c r="D159" s="26">
        <v>1</v>
      </c>
      <c r="E159" s="26" t="s">
        <v>263</v>
      </c>
      <c r="F159" s="85">
        <v>1100</v>
      </c>
      <c r="G159" s="26" t="s">
        <v>253</v>
      </c>
      <c r="H159" s="26" t="s">
        <v>254</v>
      </c>
      <c r="I159" s="26" t="s">
        <v>65</v>
      </c>
      <c r="J159" s="26">
        <v>1100</v>
      </c>
      <c r="K159" s="26">
        <v>7571371</v>
      </c>
      <c r="L159" s="26" t="s">
        <v>272</v>
      </c>
      <c r="M159" s="26" t="s">
        <v>270</v>
      </c>
      <c r="N159" s="48">
        <f>IF(_Shipments[[#This Row],[Embalagem]]="Big Bag",_Shipments[[#This Row],[Qtd.]]*_Shipments[[#This Row],[Qtde. sacos/palete]],_Shipments[[#This Row],[Qtd.]])</f>
        <v>1100</v>
      </c>
      <c r="O159" s="49">
        <f>_xlfn.XLOOKUP(_Shipments[[#This Row],[CLN]],[2]Dados!$D:$D,[2]Dados!$R:$R,"-")</f>
        <v>70</v>
      </c>
      <c r="P159" s="49" t="str" cm="1">
        <f t="array" ref="P159">_xlfn.LET(_xlpm.t,_xlfn.XLOOKUP(_Shipments[[#This Row],[CLN]],[2]Dados!$D:$D,[2]Dados!$Q:$Q,"-"),_xlfn.IFS(LEFT(_xlpm.t,3)="PAS","Saco",LEFT(_xlpm.t,3)="PBT","Big Bag",TRUE,"-"))</f>
        <v>Saco</v>
      </c>
      <c r="Q159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13.57</v>
      </c>
      <c r="R159" s="89">
        <f>IF(_Shipments[[#This Row],[Embalagem]]="Big Bag",_Shipments[[#This Row],[Qtd.]],ROUNDUP(_Shipments[[#This Row],[Qtd.]]/_Shipments[[#This Row],[Qtde. sacos/palete]],0))</f>
        <v>16</v>
      </c>
      <c r="S159" s="26" t="s">
        <v>249</v>
      </c>
      <c r="T159" s="51">
        <v>34996968579</v>
      </c>
      <c r="U159" s="26" t="s">
        <v>250</v>
      </c>
      <c r="V159" s="26" t="s">
        <v>251</v>
      </c>
      <c r="W159" s="26" t="s">
        <v>126</v>
      </c>
    </row>
    <row r="160" spans="1:23" x14ac:dyDescent="0.25">
      <c r="A160" s="47">
        <f>_xlfn.XLOOKUP(_Shipments[[#This Row],[Shipment]],[1]Report!$G:$G,[1]Report!$B:$B,"-")</f>
        <v>46288.333333333336</v>
      </c>
      <c r="B160" s="26">
        <v>7244338</v>
      </c>
      <c r="C160" s="26">
        <v>5541985990</v>
      </c>
      <c r="D160" s="26">
        <v>2</v>
      </c>
      <c r="E160" s="26" t="s">
        <v>263</v>
      </c>
      <c r="F160" s="85">
        <v>300</v>
      </c>
      <c r="G160" s="26" t="s">
        <v>253</v>
      </c>
      <c r="H160" s="26" t="s">
        <v>254</v>
      </c>
      <c r="I160" s="26" t="s">
        <v>65</v>
      </c>
      <c r="J160" s="26">
        <v>300</v>
      </c>
      <c r="K160" s="26">
        <v>7571362</v>
      </c>
      <c r="L160" s="26" t="s">
        <v>271</v>
      </c>
      <c r="M160" s="26" t="s">
        <v>270</v>
      </c>
      <c r="N160" s="48">
        <f>IF(_Shipments[[#This Row],[Embalagem]]="Big Bag",_Shipments[[#This Row],[Qtd.]]*_Shipments[[#This Row],[Qtde. sacos/palete]],_Shipments[[#This Row],[Qtd.]])</f>
        <v>300</v>
      </c>
      <c r="O160" s="49">
        <f>_xlfn.XLOOKUP(_Shipments[[#This Row],[CLN]],[2]Dados!$D:$D,[2]Dados!$R:$R,"-")</f>
        <v>70</v>
      </c>
      <c r="P160" s="49" t="str" cm="1">
        <f t="array" ref="P160">_xlfn.LET(_xlpm.t,_xlfn.XLOOKUP(_Shipments[[#This Row],[CLN]],[2]Dados!$D:$D,[2]Dados!$Q:$Q,"-"),_xlfn.IFS(LEFT(_xlpm.t,3)="PAS","Saco",LEFT(_xlpm.t,3)="PBT","Big Bag",TRUE,"-"))</f>
        <v>Saco</v>
      </c>
      <c r="Q160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13.85</v>
      </c>
      <c r="R160" s="89">
        <f>IF(_Shipments[[#This Row],[Embalagem]]="Big Bag",_Shipments[[#This Row],[Qtd.]],ROUNDUP(_Shipments[[#This Row],[Qtd.]]/_Shipments[[#This Row],[Qtde. sacos/palete]],0))</f>
        <v>5</v>
      </c>
      <c r="S160" s="26" t="s">
        <v>249</v>
      </c>
      <c r="T160" s="51">
        <v>34996968579</v>
      </c>
      <c r="U160" s="26" t="s">
        <v>250</v>
      </c>
      <c r="V160" s="26" t="s">
        <v>251</v>
      </c>
      <c r="W160" s="26" t="s">
        <v>126</v>
      </c>
    </row>
    <row r="161" spans="1:23" x14ac:dyDescent="0.25">
      <c r="A161" s="47">
        <f>_xlfn.XLOOKUP(_Shipments[[#This Row],[Shipment]],[1]Report!$G:$G,[1]Report!$B:$B,"-")</f>
        <v>46288.333333333336</v>
      </c>
      <c r="B161" s="26">
        <v>7244339</v>
      </c>
      <c r="C161" s="26">
        <v>5541985991</v>
      </c>
      <c r="D161" s="26">
        <v>1</v>
      </c>
      <c r="E161" s="26" t="s">
        <v>263</v>
      </c>
      <c r="F161" s="85">
        <v>263</v>
      </c>
      <c r="G161" s="26" t="s">
        <v>253</v>
      </c>
      <c r="H161" s="26" t="s">
        <v>254</v>
      </c>
      <c r="I161" s="26" t="s">
        <v>65</v>
      </c>
      <c r="J161" s="26">
        <v>263</v>
      </c>
      <c r="K161" s="26">
        <v>7571362</v>
      </c>
      <c r="L161" s="26" t="s">
        <v>271</v>
      </c>
      <c r="M161" s="26" t="s">
        <v>270</v>
      </c>
      <c r="N161" s="48">
        <f>IF(_Shipments[[#This Row],[Embalagem]]="Big Bag",_Shipments[[#This Row],[Qtd.]]*_Shipments[[#This Row],[Qtde. sacos/palete]],_Shipments[[#This Row],[Qtd.]])</f>
        <v>263</v>
      </c>
      <c r="O161" s="49">
        <f>_xlfn.XLOOKUP(_Shipments[[#This Row],[CLN]],[2]Dados!$D:$D,[2]Dados!$R:$R,"-")</f>
        <v>70</v>
      </c>
      <c r="P161" s="49" t="str" cm="1">
        <f t="array" ref="P161">_xlfn.LET(_xlpm.t,_xlfn.XLOOKUP(_Shipments[[#This Row],[CLN]],[2]Dados!$D:$D,[2]Dados!$Q:$Q,"-"),_xlfn.IFS(LEFT(_xlpm.t,3)="PAS","Saco",LEFT(_xlpm.t,3)="PBT","Big Bag",TRUE,"-"))</f>
        <v>Saco</v>
      </c>
      <c r="Q161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13.85</v>
      </c>
      <c r="R161" s="89">
        <f>IF(_Shipments[[#This Row],[Embalagem]]="Big Bag",_Shipments[[#This Row],[Qtd.]],ROUNDUP(_Shipments[[#This Row],[Qtd.]]/_Shipments[[#This Row],[Qtde. sacos/palete]],0))</f>
        <v>4</v>
      </c>
      <c r="S161" s="26" t="s">
        <v>131</v>
      </c>
      <c r="T161" s="51">
        <v>34999248710</v>
      </c>
      <c r="U161" s="26" t="s">
        <v>132</v>
      </c>
      <c r="V161" s="26" t="s">
        <v>133</v>
      </c>
      <c r="W161" s="26" t="s">
        <v>126</v>
      </c>
    </row>
    <row r="162" spans="1:23" x14ac:dyDescent="0.25">
      <c r="A162" s="47">
        <f>_xlfn.XLOOKUP(_Shipments[[#This Row],[Shipment]],[1]Report!$G:$G,[1]Report!$B:$B,"-")</f>
        <v>46288.333333333336</v>
      </c>
      <c r="B162" s="26">
        <v>7244339</v>
      </c>
      <c r="C162" s="26">
        <v>5541985991</v>
      </c>
      <c r="D162" s="26">
        <v>2</v>
      </c>
      <c r="E162" s="26" t="s">
        <v>263</v>
      </c>
      <c r="F162" s="85">
        <v>952</v>
      </c>
      <c r="G162" s="26" t="s">
        <v>253</v>
      </c>
      <c r="H162" s="26" t="s">
        <v>254</v>
      </c>
      <c r="I162" s="26" t="s">
        <v>65</v>
      </c>
      <c r="J162" s="26">
        <v>952</v>
      </c>
      <c r="K162" s="26">
        <v>7571366</v>
      </c>
      <c r="L162" s="26" t="s">
        <v>273</v>
      </c>
      <c r="M162" s="26" t="s">
        <v>270</v>
      </c>
      <c r="N162" s="48">
        <f>IF(_Shipments[[#This Row],[Embalagem]]="Big Bag",_Shipments[[#This Row],[Qtd.]]*_Shipments[[#This Row],[Qtde. sacos/palete]],_Shipments[[#This Row],[Qtd.]])</f>
        <v>952</v>
      </c>
      <c r="O162" s="49">
        <f>_xlfn.XLOOKUP(_Shipments[[#This Row],[CLN]],[2]Dados!$D:$D,[2]Dados!$R:$R,"-")</f>
        <v>70</v>
      </c>
      <c r="P162" s="49" t="str" cm="1">
        <f t="array" ref="P162">_xlfn.LET(_xlpm.t,_xlfn.XLOOKUP(_Shipments[[#This Row],[CLN]],[2]Dados!$D:$D,[2]Dados!$Q:$Q,"-"),_xlfn.IFS(LEFT(_xlpm.t,3)="PAS","Saco",LEFT(_xlpm.t,3)="PBT","Big Bag",TRUE,"-"))</f>
        <v>Saco</v>
      </c>
      <c r="Q162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13.77</v>
      </c>
      <c r="R162" s="89">
        <f>IF(_Shipments[[#This Row],[Embalagem]]="Big Bag",_Shipments[[#This Row],[Qtd.]],ROUNDUP(_Shipments[[#This Row],[Qtd.]]/_Shipments[[#This Row],[Qtde. sacos/palete]],0))</f>
        <v>14</v>
      </c>
      <c r="S162" s="26" t="s">
        <v>131</v>
      </c>
      <c r="T162" s="51">
        <v>34999248710</v>
      </c>
      <c r="U162" s="26" t="s">
        <v>132</v>
      </c>
      <c r="V162" s="26" t="s">
        <v>133</v>
      </c>
      <c r="W162" s="26" t="s">
        <v>126</v>
      </c>
    </row>
    <row r="163" spans="1:23" x14ac:dyDescent="0.25">
      <c r="A163" s="47">
        <f>_xlfn.XLOOKUP(_Shipments[[#This Row],[Shipment]],[1]Report!$G:$G,[1]Report!$B:$B,"-")</f>
        <v>46288.375</v>
      </c>
      <c r="B163" s="26">
        <v>7244340</v>
      </c>
      <c r="C163" s="26">
        <v>5541985993</v>
      </c>
      <c r="D163" s="26">
        <v>1</v>
      </c>
      <c r="E163" s="26" t="s">
        <v>258</v>
      </c>
      <c r="F163" s="85">
        <v>836</v>
      </c>
      <c r="G163" s="26" t="s">
        <v>253</v>
      </c>
      <c r="H163" s="26" t="s">
        <v>254</v>
      </c>
      <c r="I163" s="26" t="s">
        <v>65</v>
      </c>
      <c r="J163" s="26">
        <v>836</v>
      </c>
      <c r="K163" s="26">
        <v>7571413</v>
      </c>
      <c r="L163" s="26" t="s">
        <v>274</v>
      </c>
      <c r="M163" s="26" t="s">
        <v>29</v>
      </c>
      <c r="N163" s="48">
        <f>IF(_Shipments[[#This Row],[Embalagem]]="Big Bag",_Shipments[[#This Row],[Qtd.]]*_Shipments[[#This Row],[Qtde. sacos/palete]],_Shipments[[#This Row],[Qtd.]])</f>
        <v>836</v>
      </c>
      <c r="O163" s="49">
        <f>_xlfn.XLOOKUP(_Shipments[[#This Row],[CLN]],[2]Dados!$D:$D,[2]Dados!$R:$R,"-")</f>
        <v>70</v>
      </c>
      <c r="P163" s="49" t="str" cm="1">
        <f t="array" ref="P163">_xlfn.LET(_xlpm.t,_xlfn.XLOOKUP(_Shipments[[#This Row],[CLN]],[2]Dados!$D:$D,[2]Dados!$Q:$Q,"-"),_xlfn.IFS(LEFT(_xlpm.t,3)="PAS","Saco",LEFT(_xlpm.t,3)="PBT","Big Bag",TRUE,"-"))</f>
        <v>Saco</v>
      </c>
      <c r="Q163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14.19</v>
      </c>
      <c r="R163" s="89">
        <f>IF(_Shipments[[#This Row],[Embalagem]]="Big Bag",_Shipments[[#This Row],[Qtd.]],ROUNDUP(_Shipments[[#This Row],[Qtd.]]/_Shipments[[#This Row],[Qtde. sacos/palete]],0))</f>
        <v>12</v>
      </c>
      <c r="S163" s="26" t="s">
        <v>158</v>
      </c>
      <c r="T163" s="51">
        <v>34992119997</v>
      </c>
      <c r="U163" s="26" t="s">
        <v>134</v>
      </c>
      <c r="V163" s="26" t="s">
        <v>135</v>
      </c>
      <c r="W163" s="26" t="s">
        <v>126</v>
      </c>
    </row>
    <row r="164" spans="1:23" x14ac:dyDescent="0.25">
      <c r="A164" s="47">
        <f>_xlfn.XLOOKUP(_Shipments[[#This Row],[Shipment]],[1]Report!$G:$G,[1]Report!$B:$B,"-")</f>
        <v>46288.375</v>
      </c>
      <c r="B164" s="26">
        <v>7244340</v>
      </c>
      <c r="C164" s="26">
        <v>5541985993</v>
      </c>
      <c r="D164" s="26">
        <v>2</v>
      </c>
      <c r="E164" s="26" t="s">
        <v>260</v>
      </c>
      <c r="F164" s="85">
        <v>600</v>
      </c>
      <c r="G164" s="26" t="s">
        <v>253</v>
      </c>
      <c r="H164" s="26" t="s">
        <v>254</v>
      </c>
      <c r="I164" s="26" t="s">
        <v>65</v>
      </c>
      <c r="J164" s="26">
        <v>600</v>
      </c>
      <c r="K164" s="26">
        <v>7571430</v>
      </c>
      <c r="L164" s="26" t="s">
        <v>275</v>
      </c>
      <c r="M164" s="26" t="s">
        <v>262</v>
      </c>
      <c r="N164" s="48">
        <f>IF(_Shipments[[#This Row],[Embalagem]]="Big Bag",_Shipments[[#This Row],[Qtd.]]*_Shipments[[#This Row],[Qtde. sacos/palete]],_Shipments[[#This Row],[Qtd.]])</f>
        <v>600</v>
      </c>
      <c r="O164" s="49">
        <f>_xlfn.XLOOKUP(_Shipments[[#This Row],[CLN]],[2]Dados!$D:$D,[2]Dados!$R:$R,"-")</f>
        <v>75</v>
      </c>
      <c r="P164" s="49" t="str" cm="1">
        <f t="array" ref="P164">_xlfn.LET(_xlpm.t,_xlfn.XLOOKUP(_Shipments[[#This Row],[CLN]],[2]Dados!$D:$D,[2]Dados!$Q:$Q,"-"),_xlfn.IFS(LEFT(_xlpm.t,3)="PAS","Saco",LEFT(_xlpm.t,3)="PBT","Big Bag",TRUE,"-"))</f>
        <v>Saco</v>
      </c>
      <c r="Q164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12.25</v>
      </c>
      <c r="R164" s="89">
        <f>IF(_Shipments[[#This Row],[Embalagem]]="Big Bag",_Shipments[[#This Row],[Qtd.]],ROUNDUP(_Shipments[[#This Row],[Qtd.]]/_Shipments[[#This Row],[Qtde. sacos/palete]],0))</f>
        <v>8</v>
      </c>
      <c r="S164" s="26" t="s">
        <v>158</v>
      </c>
      <c r="T164" s="51">
        <v>34992119997</v>
      </c>
      <c r="U164" s="26" t="s">
        <v>134</v>
      </c>
      <c r="V164" s="26" t="s">
        <v>135</v>
      </c>
      <c r="W164" s="26" t="s">
        <v>126</v>
      </c>
    </row>
    <row r="165" spans="1:23" x14ac:dyDescent="0.25">
      <c r="A165" s="47">
        <f>_xlfn.XLOOKUP(_Shipments[[#This Row],[Shipment]],[1]Report!$G:$G,[1]Report!$B:$B,"-")</f>
        <v>46288.375</v>
      </c>
      <c r="B165" s="26">
        <v>7244341</v>
      </c>
      <c r="C165" s="26">
        <v>5541985994</v>
      </c>
      <c r="D165" s="26">
        <v>1</v>
      </c>
      <c r="E165" s="26" t="s">
        <v>260</v>
      </c>
      <c r="F165" s="85">
        <v>327</v>
      </c>
      <c r="G165" s="26" t="s">
        <v>253</v>
      </c>
      <c r="H165" s="26" t="s">
        <v>254</v>
      </c>
      <c r="I165" s="26" t="s">
        <v>65</v>
      </c>
      <c r="J165" s="26">
        <v>327</v>
      </c>
      <c r="K165" s="26">
        <v>7571430</v>
      </c>
      <c r="L165" s="26" t="s">
        <v>275</v>
      </c>
      <c r="M165" s="26" t="s">
        <v>262</v>
      </c>
      <c r="N165" s="48">
        <f>IF(_Shipments[[#This Row],[Embalagem]]="Big Bag",_Shipments[[#This Row],[Qtd.]]*_Shipments[[#This Row],[Qtde. sacos/palete]],_Shipments[[#This Row],[Qtd.]])</f>
        <v>327</v>
      </c>
      <c r="O165" s="49">
        <f>_xlfn.XLOOKUP(_Shipments[[#This Row],[CLN]],[2]Dados!$D:$D,[2]Dados!$R:$R,"-")</f>
        <v>75</v>
      </c>
      <c r="P165" s="49" t="str" cm="1">
        <f t="array" ref="P165">_xlfn.LET(_xlpm.t,_xlfn.XLOOKUP(_Shipments[[#This Row],[CLN]],[2]Dados!$D:$D,[2]Dados!$Q:$Q,"-"),_xlfn.IFS(LEFT(_xlpm.t,3)="PAS","Saco",LEFT(_xlpm.t,3)="PBT","Big Bag",TRUE,"-"))</f>
        <v>Saco</v>
      </c>
      <c r="Q165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12.25</v>
      </c>
      <c r="R165" s="89">
        <f>IF(_Shipments[[#This Row],[Embalagem]]="Big Bag",_Shipments[[#This Row],[Qtd.]],ROUNDUP(_Shipments[[#This Row],[Qtd.]]/_Shipments[[#This Row],[Qtde. sacos/palete]],0))</f>
        <v>5</v>
      </c>
      <c r="S165" s="26" t="s">
        <v>128</v>
      </c>
      <c r="T165" s="51">
        <v>34997330803</v>
      </c>
      <c r="U165" s="26" t="s">
        <v>129</v>
      </c>
      <c r="V165" s="26" t="s">
        <v>130</v>
      </c>
      <c r="W165" s="26" t="s">
        <v>126</v>
      </c>
    </row>
    <row r="166" spans="1:23" x14ac:dyDescent="0.25">
      <c r="A166" s="47">
        <f>_xlfn.XLOOKUP(_Shipments[[#This Row],[Shipment]],[1]Report!$G:$G,[1]Report!$B:$B,"-")</f>
        <v>46288.375</v>
      </c>
      <c r="B166" s="26">
        <v>7244341</v>
      </c>
      <c r="C166" s="26">
        <v>5541985994</v>
      </c>
      <c r="D166" s="26">
        <v>2</v>
      </c>
      <c r="E166" s="26" t="s">
        <v>260</v>
      </c>
      <c r="F166" s="85">
        <v>1128</v>
      </c>
      <c r="G166" s="26" t="s">
        <v>253</v>
      </c>
      <c r="H166" s="26" t="s">
        <v>254</v>
      </c>
      <c r="I166" s="26" t="s">
        <v>65</v>
      </c>
      <c r="J166" s="26">
        <v>1128</v>
      </c>
      <c r="K166" s="26">
        <v>7571431</v>
      </c>
      <c r="L166" s="26" t="s">
        <v>276</v>
      </c>
      <c r="M166" s="26" t="s">
        <v>262</v>
      </c>
      <c r="N166" s="48">
        <f>IF(_Shipments[[#This Row],[Embalagem]]="Big Bag",_Shipments[[#This Row],[Qtd.]]*_Shipments[[#This Row],[Qtde. sacos/palete]],_Shipments[[#This Row],[Qtd.]])</f>
        <v>1128</v>
      </c>
      <c r="O166" s="49">
        <f>_xlfn.XLOOKUP(_Shipments[[#This Row],[CLN]],[2]Dados!$D:$D,[2]Dados!$R:$R,"-")</f>
        <v>75</v>
      </c>
      <c r="P166" s="49" t="str" cm="1">
        <f t="array" ref="P166">_xlfn.LET(_xlpm.t,_xlfn.XLOOKUP(_Shipments[[#This Row],[CLN]],[2]Dados!$D:$D,[2]Dados!$Q:$Q,"-"),_xlfn.IFS(LEFT(_xlpm.t,3)="PAS","Saco",LEFT(_xlpm.t,3)="PBT","Big Bag",TRUE,"-"))</f>
        <v>Saco</v>
      </c>
      <c r="Q166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12.14</v>
      </c>
      <c r="R166" s="89">
        <f>IF(_Shipments[[#This Row],[Embalagem]]="Big Bag",_Shipments[[#This Row],[Qtd.]],ROUNDUP(_Shipments[[#This Row],[Qtd.]]/_Shipments[[#This Row],[Qtde. sacos/palete]],0))</f>
        <v>16</v>
      </c>
      <c r="S166" s="26" t="s">
        <v>128</v>
      </c>
      <c r="T166" s="51">
        <v>34997330803</v>
      </c>
      <c r="U166" s="26" t="s">
        <v>129</v>
      </c>
      <c r="V166" s="26" t="s">
        <v>130</v>
      </c>
      <c r="W166" s="26" t="s">
        <v>126</v>
      </c>
    </row>
    <row r="167" spans="1:23" x14ac:dyDescent="0.25">
      <c r="A167" s="47">
        <f>_xlfn.XLOOKUP(_Shipments[[#This Row],[Shipment]],[1]Report!$G:$G,[1]Report!$B:$B,"-")</f>
        <v>46290.333333333336</v>
      </c>
      <c r="B167" s="26">
        <v>7244342</v>
      </c>
      <c r="C167" s="26">
        <v>5541985995</v>
      </c>
      <c r="D167" s="26">
        <v>1</v>
      </c>
      <c r="E167" s="26" t="s">
        <v>263</v>
      </c>
      <c r="F167" s="85">
        <v>1299</v>
      </c>
      <c r="G167" s="26" t="s">
        <v>253</v>
      </c>
      <c r="H167" s="26" t="s">
        <v>254</v>
      </c>
      <c r="I167" s="26" t="s">
        <v>65</v>
      </c>
      <c r="J167" s="26">
        <v>1299</v>
      </c>
      <c r="K167" s="26">
        <v>7571369</v>
      </c>
      <c r="L167" s="26" t="s">
        <v>277</v>
      </c>
      <c r="M167" s="26" t="s">
        <v>270</v>
      </c>
      <c r="N167" s="48">
        <f>IF(_Shipments[[#This Row],[Embalagem]]="Big Bag",_Shipments[[#This Row],[Qtd.]]*_Shipments[[#This Row],[Qtde. sacos/palete]],_Shipments[[#This Row],[Qtd.]])</f>
        <v>1299</v>
      </c>
      <c r="O167" s="49">
        <f>_xlfn.XLOOKUP(_Shipments[[#This Row],[CLN]],[2]Dados!$D:$D,[2]Dados!$R:$R,"-")</f>
        <v>70</v>
      </c>
      <c r="P167" s="49" t="str" cm="1">
        <f t="array" ref="P167">_xlfn.LET(_xlpm.t,_xlfn.XLOOKUP(_Shipments[[#This Row],[CLN]],[2]Dados!$D:$D,[2]Dados!$Q:$Q,"-"),_xlfn.IFS(LEFT(_xlpm.t,3)="PAS","Saco",LEFT(_xlpm.t,3)="PBT","Big Bag",TRUE,"-"))</f>
        <v>Saco</v>
      </c>
      <c r="Q167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13.76</v>
      </c>
      <c r="R167" s="89">
        <f>IF(_Shipments[[#This Row],[Embalagem]]="Big Bag",_Shipments[[#This Row],[Qtd.]],ROUNDUP(_Shipments[[#This Row],[Qtd.]]/_Shipments[[#This Row],[Qtde. sacos/palete]],0))</f>
        <v>19</v>
      </c>
      <c r="S167" s="26" t="s">
        <v>225</v>
      </c>
      <c r="T167" s="51">
        <v>34991337791</v>
      </c>
      <c r="U167" s="26" t="s">
        <v>120</v>
      </c>
      <c r="V167" s="26" t="s">
        <v>121</v>
      </c>
      <c r="W167" s="26" t="s">
        <v>126</v>
      </c>
    </row>
    <row r="168" spans="1:23" x14ac:dyDescent="0.25">
      <c r="A168" s="47">
        <f>_xlfn.XLOOKUP(_Shipments[[#This Row],[Shipment]],[1]Report!$G:$G,[1]Report!$B:$B,"-")</f>
        <v>46290.333333333336</v>
      </c>
      <c r="B168" s="26">
        <v>7244343</v>
      </c>
      <c r="C168" s="26">
        <v>5541985996</v>
      </c>
      <c r="D168" s="26">
        <v>1</v>
      </c>
      <c r="E168" s="26" t="s">
        <v>263</v>
      </c>
      <c r="F168" s="85">
        <v>326</v>
      </c>
      <c r="G168" s="26" t="s">
        <v>253</v>
      </c>
      <c r="H168" s="26" t="s">
        <v>254</v>
      </c>
      <c r="I168" s="26" t="s">
        <v>65</v>
      </c>
      <c r="J168" s="26">
        <v>326</v>
      </c>
      <c r="K168" s="26">
        <v>7571368</v>
      </c>
      <c r="L168" s="26" t="s">
        <v>278</v>
      </c>
      <c r="M168" s="26" t="s">
        <v>270</v>
      </c>
      <c r="N168" s="48">
        <f>IF(_Shipments[[#This Row],[Embalagem]]="Big Bag",_Shipments[[#This Row],[Qtd.]]*_Shipments[[#This Row],[Qtde. sacos/palete]],_Shipments[[#This Row],[Qtd.]])</f>
        <v>326</v>
      </c>
      <c r="O168" s="49">
        <f>_xlfn.XLOOKUP(_Shipments[[#This Row],[CLN]],[2]Dados!$D:$D,[2]Dados!$R:$R,"-")</f>
        <v>70</v>
      </c>
      <c r="P168" s="49" t="str" cm="1">
        <f t="array" ref="P168">_xlfn.LET(_xlpm.t,_xlfn.XLOOKUP(_Shipments[[#This Row],[CLN]],[2]Dados!$D:$D,[2]Dados!$Q:$Q,"-"),_xlfn.IFS(LEFT(_xlpm.t,3)="PAS","Saco",LEFT(_xlpm.t,3)="PBT","Big Bag",TRUE,"-"))</f>
        <v>Saco</v>
      </c>
      <c r="Q168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13.8</v>
      </c>
      <c r="R168" s="89">
        <f>IF(_Shipments[[#This Row],[Embalagem]]="Big Bag",_Shipments[[#This Row],[Qtd.]],ROUNDUP(_Shipments[[#This Row],[Qtd.]]/_Shipments[[#This Row],[Qtde. sacos/palete]],0))</f>
        <v>5</v>
      </c>
      <c r="S168" s="26" t="s">
        <v>316</v>
      </c>
      <c r="T168" s="51">
        <v>43998471112</v>
      </c>
      <c r="U168" s="26" t="s">
        <v>317</v>
      </c>
      <c r="V168" s="26" t="s">
        <v>318</v>
      </c>
      <c r="W168" s="26" t="s">
        <v>126</v>
      </c>
    </row>
    <row r="169" spans="1:23" x14ac:dyDescent="0.25">
      <c r="A169" s="47">
        <f>_xlfn.XLOOKUP(_Shipments[[#This Row],[Shipment]],[1]Report!$G:$G,[1]Report!$B:$B,"-")</f>
        <v>46290.333333333336</v>
      </c>
      <c r="B169" s="26">
        <v>7244343</v>
      </c>
      <c r="C169" s="26">
        <v>5541985996</v>
      </c>
      <c r="D169" s="26">
        <v>2</v>
      </c>
      <c r="E169" s="26" t="s">
        <v>258</v>
      </c>
      <c r="F169" s="85">
        <v>1000</v>
      </c>
      <c r="G169" s="26" t="s">
        <v>253</v>
      </c>
      <c r="H169" s="26" t="s">
        <v>254</v>
      </c>
      <c r="I169" s="26" t="s">
        <v>65</v>
      </c>
      <c r="J169" s="26">
        <v>1000</v>
      </c>
      <c r="K169" s="26">
        <v>7571414</v>
      </c>
      <c r="L169" s="26" t="s">
        <v>279</v>
      </c>
      <c r="M169" s="26" t="s">
        <v>29</v>
      </c>
      <c r="N169" s="48">
        <f>IF(_Shipments[[#This Row],[Embalagem]]="Big Bag",_Shipments[[#This Row],[Qtd.]]*_Shipments[[#This Row],[Qtde. sacos/palete]],_Shipments[[#This Row],[Qtd.]])</f>
        <v>1000</v>
      </c>
      <c r="O169" s="49">
        <f>_xlfn.XLOOKUP(_Shipments[[#This Row],[CLN]],[2]Dados!$D:$D,[2]Dados!$R:$R,"-")</f>
        <v>70</v>
      </c>
      <c r="P169" s="49" t="str" cm="1">
        <f t="array" ref="P169">_xlfn.LET(_xlpm.t,_xlfn.XLOOKUP(_Shipments[[#This Row],[CLN]],[2]Dados!$D:$D,[2]Dados!$Q:$Q,"-"),_xlfn.IFS(LEFT(_xlpm.t,3)="PAS","Saco",LEFT(_xlpm.t,3)="PBT","Big Bag",TRUE,"-"))</f>
        <v>Saco</v>
      </c>
      <c r="Q169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14.06</v>
      </c>
      <c r="R169" s="89">
        <f>IF(_Shipments[[#This Row],[Embalagem]]="Big Bag",_Shipments[[#This Row],[Qtd.]],ROUNDUP(_Shipments[[#This Row],[Qtd.]]/_Shipments[[#This Row],[Qtde. sacos/palete]],0))</f>
        <v>15</v>
      </c>
      <c r="S169" s="26" t="s">
        <v>316</v>
      </c>
      <c r="T169" s="51">
        <v>43998471112</v>
      </c>
      <c r="U169" s="26" t="s">
        <v>317</v>
      </c>
      <c r="V169" s="26" t="s">
        <v>318</v>
      </c>
      <c r="W169" s="26" t="s">
        <v>126</v>
      </c>
    </row>
    <row r="170" spans="1:23" x14ac:dyDescent="0.25">
      <c r="A170" s="47">
        <f>_xlfn.XLOOKUP(_Shipments[[#This Row],[Shipment]],[1]Report!$G:$G,[1]Report!$B:$B,"-")</f>
        <v>46293.333333333336</v>
      </c>
      <c r="B170" s="26">
        <v>7246790</v>
      </c>
      <c r="C170" s="26">
        <v>5541989395</v>
      </c>
      <c r="D170" s="26">
        <v>1</v>
      </c>
      <c r="E170" s="26" t="s">
        <v>299</v>
      </c>
      <c r="F170" s="85">
        <v>8</v>
      </c>
      <c r="G170" s="26" t="s">
        <v>283</v>
      </c>
      <c r="H170" s="26" t="s">
        <v>64</v>
      </c>
      <c r="I170" s="26" t="s">
        <v>65</v>
      </c>
      <c r="J170" s="26">
        <v>8</v>
      </c>
      <c r="K170" s="26">
        <v>7573800</v>
      </c>
      <c r="L170" s="26" t="s">
        <v>303</v>
      </c>
      <c r="M170" s="26" t="s">
        <v>29</v>
      </c>
      <c r="N170" s="48">
        <f>IF(_Shipments[[#This Row],[Embalagem]]="Big Bag",_Shipments[[#This Row],[Qtd.]]*_Shipments[[#This Row],[Qtde. sacos/palete]],_Shipments[[#This Row],[Qtd.]])</f>
        <v>320</v>
      </c>
      <c r="O170" s="49">
        <f>_xlfn.XLOOKUP(_Shipments[[#This Row],[CLN]],[2]Dados!$D:$D,[2]Dados!$R:$R,"-")</f>
        <v>40</v>
      </c>
      <c r="P170" s="49" t="str" cm="1">
        <f t="array" ref="P170">_xlfn.LET(_xlpm.t,_xlfn.XLOOKUP(_Shipments[[#This Row],[CLN]],[2]Dados!$D:$D,[2]Dados!$Q:$Q,"-"),_xlfn.IFS(LEFT(_xlpm.t,3)="PAS","Saco",LEFT(_xlpm.t,3)="PBT","Big Bag",TRUE,"-"))</f>
        <v>Big Bag</v>
      </c>
      <c r="Q170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567.6</v>
      </c>
      <c r="R170" s="89">
        <f>IF(_Shipments[[#This Row],[Embalagem]]="Big Bag",_Shipments[[#This Row],[Qtd.]],ROUNDUP(_Shipments[[#This Row],[Qtd.]]/_Shipments[[#This Row],[Qtde. sacos/palete]],0))</f>
        <v>8</v>
      </c>
      <c r="S170" s="26" t="s">
        <v>225</v>
      </c>
      <c r="T170" s="51">
        <v>34991337791</v>
      </c>
      <c r="U170" s="26" t="s">
        <v>120</v>
      </c>
      <c r="V170" s="26" t="s">
        <v>121</v>
      </c>
      <c r="W170" s="26" t="s">
        <v>126</v>
      </c>
    </row>
    <row r="171" spans="1:23" x14ac:dyDescent="0.25">
      <c r="A171" s="47">
        <f>_xlfn.XLOOKUP(_Shipments[[#This Row],[Shipment]],[1]Report!$G:$G,[1]Report!$B:$B,"-")</f>
        <v>46293.333333333336</v>
      </c>
      <c r="B171" s="26">
        <v>7246790</v>
      </c>
      <c r="C171" s="26">
        <v>5541989395</v>
      </c>
      <c r="D171" s="26">
        <v>2</v>
      </c>
      <c r="E171" s="26" t="s">
        <v>252</v>
      </c>
      <c r="F171" s="85">
        <v>736</v>
      </c>
      <c r="G171" s="26" t="s">
        <v>283</v>
      </c>
      <c r="H171" s="26" t="s">
        <v>64</v>
      </c>
      <c r="I171" s="26" t="s">
        <v>65</v>
      </c>
      <c r="J171" s="26">
        <v>736</v>
      </c>
      <c r="K171" s="26">
        <v>7571353</v>
      </c>
      <c r="L171" s="26" t="s">
        <v>302</v>
      </c>
      <c r="M171" s="26" t="s">
        <v>32</v>
      </c>
      <c r="N171" s="48">
        <f>IF(_Shipments[[#This Row],[Embalagem]]="Big Bag",_Shipments[[#This Row],[Qtd.]]*_Shipments[[#This Row],[Qtde. sacos/palete]],_Shipments[[#This Row],[Qtd.]])</f>
        <v>736</v>
      </c>
      <c r="O171" s="49">
        <f>_xlfn.XLOOKUP(_Shipments[[#This Row],[CLN]],[2]Dados!$D:$D,[2]Dados!$R:$R,"-")</f>
        <v>60</v>
      </c>
      <c r="P171" s="49" t="str" cm="1">
        <f t="array" ref="P171">_xlfn.LET(_xlpm.t,_xlfn.XLOOKUP(_Shipments[[#This Row],[CLN]],[2]Dados!$D:$D,[2]Dados!$Q:$Q,"-"),_xlfn.IFS(LEFT(_xlpm.t,3)="PAS","Saco",LEFT(_xlpm.t,3)="PBT","Big Bag",TRUE,"-"))</f>
        <v>Saco</v>
      </c>
      <c r="Q171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16.29</v>
      </c>
      <c r="R171" s="89">
        <f>IF(_Shipments[[#This Row],[Embalagem]]="Big Bag",_Shipments[[#This Row],[Qtd.]],ROUNDUP(_Shipments[[#This Row],[Qtd.]]/_Shipments[[#This Row],[Qtde. sacos/palete]],0))</f>
        <v>13</v>
      </c>
      <c r="S171" s="26" t="s">
        <v>225</v>
      </c>
      <c r="T171" s="51">
        <v>34991337791</v>
      </c>
      <c r="U171" s="26" t="s">
        <v>120</v>
      </c>
      <c r="V171" s="26" t="s">
        <v>121</v>
      </c>
      <c r="W171" s="26" t="s">
        <v>126</v>
      </c>
    </row>
    <row r="172" spans="1:23" x14ac:dyDescent="0.25">
      <c r="A172" s="47">
        <f>_xlfn.XLOOKUP(_Shipments[[#This Row],[Shipment]],[1]Report!$G:$G,[1]Report!$B:$B,"-")</f>
        <v>46293.333333333336</v>
      </c>
      <c r="B172" s="26">
        <v>7246858</v>
      </c>
      <c r="C172" s="26">
        <v>5541988057</v>
      </c>
      <c r="D172" s="26">
        <v>1</v>
      </c>
      <c r="E172" s="26" t="s">
        <v>263</v>
      </c>
      <c r="F172" s="85">
        <v>480</v>
      </c>
      <c r="G172" s="26" t="s">
        <v>253</v>
      </c>
      <c r="H172" s="26" t="s">
        <v>254</v>
      </c>
      <c r="I172" s="26" t="s">
        <v>65</v>
      </c>
      <c r="J172" s="26">
        <v>480</v>
      </c>
      <c r="K172" s="26">
        <v>7571368</v>
      </c>
      <c r="L172" s="26" t="s">
        <v>278</v>
      </c>
      <c r="M172" s="26" t="s">
        <v>270</v>
      </c>
      <c r="N172" s="48">
        <f>IF(_Shipments[[#This Row],[Embalagem]]="Big Bag",_Shipments[[#This Row],[Qtd.]]*_Shipments[[#This Row],[Qtde. sacos/palete]],_Shipments[[#This Row],[Qtd.]])</f>
        <v>480</v>
      </c>
      <c r="O172" s="49">
        <f>_xlfn.XLOOKUP(_Shipments[[#This Row],[CLN]],[2]Dados!$D:$D,[2]Dados!$R:$R,"-")</f>
        <v>70</v>
      </c>
      <c r="P172" s="49" t="str" cm="1">
        <f t="array" ref="P172">_xlfn.LET(_xlpm.t,_xlfn.XLOOKUP(_Shipments[[#This Row],[CLN]],[2]Dados!$D:$D,[2]Dados!$Q:$Q,"-"),_xlfn.IFS(LEFT(_xlpm.t,3)="PAS","Saco",LEFT(_xlpm.t,3)="PBT","Big Bag",TRUE,"-"))</f>
        <v>Saco</v>
      </c>
      <c r="Q172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13.8</v>
      </c>
      <c r="R172" s="89">
        <f>IF(_Shipments[[#This Row],[Embalagem]]="Big Bag",_Shipments[[#This Row],[Qtd.]],ROUNDUP(_Shipments[[#This Row],[Qtd.]]/_Shipments[[#This Row],[Qtde. sacos/palete]],0))</f>
        <v>7</v>
      </c>
      <c r="S172" s="26" t="s">
        <v>136</v>
      </c>
      <c r="T172" s="51">
        <v>34991030020</v>
      </c>
      <c r="U172" s="26" t="s">
        <v>137</v>
      </c>
      <c r="V172" s="26" t="s">
        <v>220</v>
      </c>
      <c r="W172" s="26" t="s">
        <v>126</v>
      </c>
    </row>
    <row r="173" spans="1:23" x14ac:dyDescent="0.25">
      <c r="A173" s="47">
        <f>_xlfn.XLOOKUP(_Shipments[[#This Row],[Shipment]],[1]Report!$G:$G,[1]Report!$B:$B,"-")</f>
        <v>46293.333333333336</v>
      </c>
      <c r="B173" s="26">
        <v>7246858</v>
      </c>
      <c r="C173" s="26">
        <v>5541988057</v>
      </c>
      <c r="D173" s="26">
        <v>2</v>
      </c>
      <c r="E173" s="26" t="s">
        <v>263</v>
      </c>
      <c r="F173" s="85">
        <v>70</v>
      </c>
      <c r="G173" s="26" t="s">
        <v>253</v>
      </c>
      <c r="H173" s="26" t="s">
        <v>254</v>
      </c>
      <c r="I173" s="26" t="s">
        <v>65</v>
      </c>
      <c r="J173" s="26">
        <v>70</v>
      </c>
      <c r="K173" s="26">
        <v>7571373</v>
      </c>
      <c r="L173" s="26" t="s">
        <v>305</v>
      </c>
      <c r="M173" s="26" t="s">
        <v>270</v>
      </c>
      <c r="N173" s="48">
        <f>IF(_Shipments[[#This Row],[Embalagem]]="Big Bag",_Shipments[[#This Row],[Qtd.]]*_Shipments[[#This Row],[Qtde. sacos/palete]],_Shipments[[#This Row],[Qtd.]])</f>
        <v>70</v>
      </c>
      <c r="O173" s="49">
        <f>_xlfn.XLOOKUP(_Shipments[[#This Row],[CLN]],[2]Dados!$D:$D,[2]Dados!$R:$R,"-")</f>
        <v>70</v>
      </c>
      <c r="P173" s="49" t="str" cm="1">
        <f t="array" ref="P173">_xlfn.LET(_xlpm.t,_xlfn.XLOOKUP(_Shipments[[#This Row],[CLN]],[2]Dados!$D:$D,[2]Dados!$Q:$Q,"-"),_xlfn.IFS(LEFT(_xlpm.t,3)="PAS","Saco",LEFT(_xlpm.t,3)="PBT","Big Bag",TRUE,"-"))</f>
        <v>Saco</v>
      </c>
      <c r="Q173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13.68</v>
      </c>
      <c r="R173" s="89">
        <f>IF(_Shipments[[#This Row],[Embalagem]]="Big Bag",_Shipments[[#This Row],[Qtd.]],ROUNDUP(_Shipments[[#This Row],[Qtd.]]/_Shipments[[#This Row],[Qtde. sacos/palete]],0))</f>
        <v>1</v>
      </c>
      <c r="S173" s="26" t="s">
        <v>136</v>
      </c>
      <c r="T173" s="51">
        <v>34991030020</v>
      </c>
      <c r="U173" s="26" t="s">
        <v>137</v>
      </c>
      <c r="V173" s="26" t="s">
        <v>220</v>
      </c>
      <c r="W173" s="26" t="s">
        <v>126</v>
      </c>
    </row>
    <row r="174" spans="1:23" x14ac:dyDescent="0.25">
      <c r="A174" s="47">
        <f>_xlfn.XLOOKUP(_Shipments[[#This Row],[Shipment]],[1]Report!$G:$G,[1]Report!$B:$B,"-")</f>
        <v>46293.333333333336</v>
      </c>
      <c r="B174" s="26">
        <v>7246858</v>
      </c>
      <c r="C174" s="26">
        <v>5541988057</v>
      </c>
      <c r="D174" s="26">
        <v>3</v>
      </c>
      <c r="E174" s="26" t="s">
        <v>263</v>
      </c>
      <c r="F174" s="85">
        <v>737</v>
      </c>
      <c r="G174" s="26" t="s">
        <v>253</v>
      </c>
      <c r="H174" s="26" t="s">
        <v>254</v>
      </c>
      <c r="I174" s="26" t="s">
        <v>65</v>
      </c>
      <c r="J174" s="26">
        <v>737</v>
      </c>
      <c r="K174" s="26">
        <v>7571376</v>
      </c>
      <c r="L174" s="26" t="s">
        <v>306</v>
      </c>
      <c r="M174" s="26" t="s">
        <v>270</v>
      </c>
      <c r="N174" s="48">
        <f>IF(_Shipments[[#This Row],[Embalagem]]="Big Bag",_Shipments[[#This Row],[Qtd.]]*_Shipments[[#This Row],[Qtde. sacos/palete]],_Shipments[[#This Row],[Qtd.]])</f>
        <v>737</v>
      </c>
      <c r="O174" s="49">
        <f>_xlfn.XLOOKUP(_Shipments[[#This Row],[CLN]],[2]Dados!$D:$D,[2]Dados!$R:$R,"-")</f>
        <v>70</v>
      </c>
      <c r="P174" s="49" t="str" cm="1">
        <f t="array" ref="P174">_xlfn.LET(_xlpm.t,_xlfn.XLOOKUP(_Shipments[[#This Row],[CLN]],[2]Dados!$D:$D,[2]Dados!$Q:$Q,"-"),_xlfn.IFS(LEFT(_xlpm.t,3)="PAS","Saco",LEFT(_xlpm.t,3)="PBT","Big Bag",TRUE,"-"))</f>
        <v>Saco</v>
      </c>
      <c r="Q174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13.63</v>
      </c>
      <c r="R174" s="89">
        <f>IF(_Shipments[[#This Row],[Embalagem]]="Big Bag",_Shipments[[#This Row],[Qtd.]],ROUNDUP(_Shipments[[#This Row],[Qtd.]]/_Shipments[[#This Row],[Qtde. sacos/palete]],0))</f>
        <v>11</v>
      </c>
      <c r="S174" s="26" t="s">
        <v>136</v>
      </c>
      <c r="T174" s="51">
        <v>34991030020</v>
      </c>
      <c r="U174" s="26" t="s">
        <v>137</v>
      </c>
      <c r="V174" s="26" t="s">
        <v>220</v>
      </c>
      <c r="W174" s="26" t="s">
        <v>126</v>
      </c>
    </row>
    <row r="175" spans="1:23" x14ac:dyDescent="0.25">
      <c r="A175" s="47">
        <f>_xlfn.XLOOKUP(_Shipments[[#This Row],[Shipment]],[1]Report!$G:$G,[1]Report!$B:$B,"-")</f>
        <v>46293.333333333336</v>
      </c>
      <c r="B175" s="26">
        <v>7246859</v>
      </c>
      <c r="C175" s="26">
        <v>5541988058</v>
      </c>
      <c r="D175" s="26">
        <v>1</v>
      </c>
      <c r="E175" s="26" t="s">
        <v>263</v>
      </c>
      <c r="F175" s="85">
        <v>819</v>
      </c>
      <c r="G175" s="26" t="s">
        <v>253</v>
      </c>
      <c r="H175" s="26" t="s">
        <v>254</v>
      </c>
      <c r="I175" s="26" t="s">
        <v>65</v>
      </c>
      <c r="J175" s="26">
        <v>819</v>
      </c>
      <c r="K175" s="26">
        <v>7571373</v>
      </c>
      <c r="L175" s="26" t="s">
        <v>305</v>
      </c>
      <c r="M175" s="26" t="s">
        <v>270</v>
      </c>
      <c r="N175" s="48">
        <f>IF(_Shipments[[#This Row],[Embalagem]]="Big Bag",_Shipments[[#This Row],[Qtd.]]*_Shipments[[#This Row],[Qtde. sacos/palete]],_Shipments[[#This Row],[Qtd.]])</f>
        <v>819</v>
      </c>
      <c r="O175" s="49">
        <f>_xlfn.XLOOKUP(_Shipments[[#This Row],[CLN]],[2]Dados!$D:$D,[2]Dados!$R:$R,"-")</f>
        <v>70</v>
      </c>
      <c r="P175" s="49" t="str" cm="1">
        <f t="array" ref="P175">_xlfn.LET(_xlpm.t,_xlfn.XLOOKUP(_Shipments[[#This Row],[CLN]],[2]Dados!$D:$D,[2]Dados!$Q:$Q,"-"),_xlfn.IFS(LEFT(_xlpm.t,3)="PAS","Saco",LEFT(_xlpm.t,3)="PBT","Big Bag",TRUE,"-"))</f>
        <v>Saco</v>
      </c>
      <c r="Q175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13.68</v>
      </c>
      <c r="R175" s="89">
        <f>IF(_Shipments[[#This Row],[Embalagem]]="Big Bag",_Shipments[[#This Row],[Qtd.]],ROUNDUP(_Shipments[[#This Row],[Qtd.]]/_Shipments[[#This Row],[Qtde. sacos/palete]],0))</f>
        <v>12</v>
      </c>
      <c r="S175" s="26" t="s">
        <v>249</v>
      </c>
      <c r="T175" s="51">
        <v>34996968579</v>
      </c>
      <c r="U175" s="26" t="s">
        <v>250</v>
      </c>
      <c r="V175" s="26" t="s">
        <v>251</v>
      </c>
      <c r="W175" s="26" t="s">
        <v>126</v>
      </c>
    </row>
    <row r="176" spans="1:23" x14ac:dyDescent="0.25">
      <c r="A176" s="47">
        <f>_xlfn.XLOOKUP(_Shipments[[#This Row],[Shipment]],[1]Report!$G:$G,[1]Report!$B:$B,"-")</f>
        <v>46293.333333333336</v>
      </c>
      <c r="B176" s="26">
        <v>7246859</v>
      </c>
      <c r="C176" s="26">
        <v>5541988058</v>
      </c>
      <c r="D176" s="26">
        <v>2</v>
      </c>
      <c r="E176" s="26" t="s">
        <v>263</v>
      </c>
      <c r="F176" s="85">
        <v>592</v>
      </c>
      <c r="G176" s="26" t="s">
        <v>253</v>
      </c>
      <c r="H176" s="26" t="s">
        <v>254</v>
      </c>
      <c r="I176" s="26" t="s">
        <v>65</v>
      </c>
      <c r="J176" s="26">
        <v>592</v>
      </c>
      <c r="K176" s="26">
        <v>7571518</v>
      </c>
      <c r="L176" s="26" t="s">
        <v>307</v>
      </c>
      <c r="M176" s="26" t="s">
        <v>265</v>
      </c>
      <c r="N176" s="48">
        <f>IF(_Shipments[[#This Row],[Embalagem]]="Big Bag",_Shipments[[#This Row],[Qtd.]]*_Shipments[[#This Row],[Qtde. sacos/palete]],_Shipments[[#This Row],[Qtd.]])</f>
        <v>592</v>
      </c>
      <c r="O176" s="49">
        <f>_xlfn.XLOOKUP(_Shipments[[#This Row],[CLN]],[2]Dados!$D:$D,[2]Dados!$R:$R,"-")</f>
        <v>70</v>
      </c>
      <c r="P176" s="49" t="str" cm="1">
        <f t="array" ref="P176">_xlfn.LET(_xlpm.t,_xlfn.XLOOKUP(_Shipments[[#This Row],[CLN]],[2]Dados!$D:$D,[2]Dados!$Q:$Q,"-"),_xlfn.IFS(LEFT(_xlpm.t,3)="PAS","Saco",LEFT(_xlpm.t,3)="PBT","Big Bag",TRUE,"-"))</f>
        <v>Saco</v>
      </c>
      <c r="Q176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12.56</v>
      </c>
      <c r="R176" s="89">
        <f>IF(_Shipments[[#This Row],[Embalagem]]="Big Bag",_Shipments[[#This Row],[Qtd.]],ROUNDUP(_Shipments[[#This Row],[Qtd.]]/_Shipments[[#This Row],[Qtde. sacos/palete]],0))</f>
        <v>9</v>
      </c>
      <c r="S176" s="26" t="s">
        <v>249</v>
      </c>
      <c r="T176" s="51">
        <v>34996968579</v>
      </c>
      <c r="U176" s="26" t="s">
        <v>250</v>
      </c>
      <c r="V176" s="26" t="s">
        <v>251</v>
      </c>
      <c r="W176" s="26" t="s">
        <v>126</v>
      </c>
    </row>
    <row r="177" spans="1:23" x14ac:dyDescent="0.25">
      <c r="A177" s="47">
        <f>_xlfn.XLOOKUP(_Shipments[[#This Row],[Shipment]],[1]Report!$G:$G,[1]Report!$B:$B,"-")</f>
        <v>46293.375</v>
      </c>
      <c r="B177" s="26">
        <v>7246860</v>
      </c>
      <c r="C177" s="26">
        <v>5541988059</v>
      </c>
      <c r="D177" s="26">
        <v>1</v>
      </c>
      <c r="E177" s="26" t="s">
        <v>260</v>
      </c>
      <c r="F177" s="85">
        <v>1497</v>
      </c>
      <c r="G177" s="26" t="s">
        <v>253</v>
      </c>
      <c r="H177" s="26" t="s">
        <v>254</v>
      </c>
      <c r="I177" s="26" t="s">
        <v>65</v>
      </c>
      <c r="J177" s="26">
        <v>1497</v>
      </c>
      <c r="K177" s="26">
        <v>7571433</v>
      </c>
      <c r="L177" s="26" t="s">
        <v>308</v>
      </c>
      <c r="M177" s="26" t="s">
        <v>262</v>
      </c>
      <c r="N177" s="48">
        <f>IF(_Shipments[[#This Row],[Embalagem]]="Big Bag",_Shipments[[#This Row],[Qtd.]]*_Shipments[[#This Row],[Qtde. sacos/palete]],_Shipments[[#This Row],[Qtd.]])</f>
        <v>1497</v>
      </c>
      <c r="O177" s="49">
        <f>_xlfn.XLOOKUP(_Shipments[[#This Row],[CLN]],[2]Dados!$D:$D,[2]Dados!$R:$R,"-")</f>
        <v>75</v>
      </c>
      <c r="P177" s="49" t="str" cm="1">
        <f t="array" ref="P177">_xlfn.LET(_xlpm.t,_xlfn.XLOOKUP(_Shipments[[#This Row],[CLN]],[2]Dados!$D:$D,[2]Dados!$Q:$Q,"-"),_xlfn.IFS(LEFT(_xlpm.t,3)="PAS","Saco",LEFT(_xlpm.t,3)="PBT","Big Bag",TRUE,"-"))</f>
        <v>Saco</v>
      </c>
      <c r="Q177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11.76</v>
      </c>
      <c r="R177" s="89">
        <f>IF(_Shipments[[#This Row],[Embalagem]]="Big Bag",_Shipments[[#This Row],[Qtd.]],ROUNDUP(_Shipments[[#This Row],[Qtd.]]/_Shipments[[#This Row],[Qtde. sacos/palete]],0))</f>
        <v>20</v>
      </c>
      <c r="S177" s="26" t="s">
        <v>338</v>
      </c>
      <c r="T177" s="51">
        <v>34991525469</v>
      </c>
      <c r="U177" s="26" t="s">
        <v>340</v>
      </c>
      <c r="V177" s="26" t="s">
        <v>339</v>
      </c>
      <c r="W177" s="26" t="s">
        <v>126</v>
      </c>
    </row>
    <row r="178" spans="1:23" x14ac:dyDescent="0.25">
      <c r="A178" s="47">
        <f>_xlfn.XLOOKUP(_Shipments[[#This Row],[Shipment]],[1]Report!$G:$G,[1]Report!$B:$B,"-")</f>
        <v>46294.333333333336</v>
      </c>
      <c r="B178" s="26">
        <v>7246861</v>
      </c>
      <c r="C178" s="26">
        <v>5541988060</v>
      </c>
      <c r="D178" s="26">
        <v>1</v>
      </c>
      <c r="E178" s="26" t="s">
        <v>263</v>
      </c>
      <c r="F178" s="85">
        <v>637</v>
      </c>
      <c r="G178" s="26" t="s">
        <v>253</v>
      </c>
      <c r="H178" s="26" t="s">
        <v>254</v>
      </c>
      <c r="I178" s="26" t="s">
        <v>65</v>
      </c>
      <c r="J178" s="26">
        <v>637</v>
      </c>
      <c r="K178" s="26">
        <v>7571375</v>
      </c>
      <c r="L178" s="26" t="s">
        <v>309</v>
      </c>
      <c r="M178" s="26" t="s">
        <v>270</v>
      </c>
      <c r="N178" s="48">
        <f>IF(_Shipments[[#This Row],[Embalagem]]="Big Bag",_Shipments[[#This Row],[Qtd.]]*_Shipments[[#This Row],[Qtde. sacos/palete]],_Shipments[[#This Row],[Qtd.]])</f>
        <v>637</v>
      </c>
      <c r="O178" s="49">
        <f>_xlfn.XLOOKUP(_Shipments[[#This Row],[CLN]],[2]Dados!$D:$D,[2]Dados!$R:$R,"-")</f>
        <v>70</v>
      </c>
      <c r="P178" s="49" t="str" cm="1">
        <f t="array" ref="P178">_xlfn.LET(_xlpm.t,_xlfn.XLOOKUP(_Shipments[[#This Row],[CLN]],[2]Dados!$D:$D,[2]Dados!$Q:$Q,"-"),_xlfn.IFS(LEFT(_xlpm.t,3)="PAS","Saco",LEFT(_xlpm.t,3)="PBT","Big Bag",TRUE,"-"))</f>
        <v>Saco</v>
      </c>
      <c r="Q178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13.59</v>
      </c>
      <c r="R178" s="89">
        <f>IF(_Shipments[[#This Row],[Embalagem]]="Big Bag",_Shipments[[#This Row],[Qtd.]],ROUNDUP(_Shipments[[#This Row],[Qtd.]]/_Shipments[[#This Row],[Qtde. sacos/palete]],0))</f>
        <v>10</v>
      </c>
      <c r="S178" s="26" t="s">
        <v>249</v>
      </c>
      <c r="T178" s="51">
        <v>34996968579</v>
      </c>
      <c r="U178" s="26" t="s">
        <v>250</v>
      </c>
      <c r="V178" s="26" t="s">
        <v>251</v>
      </c>
      <c r="W178" s="26" t="s">
        <v>126</v>
      </c>
    </row>
    <row r="179" spans="1:23" x14ac:dyDescent="0.25">
      <c r="A179" s="47">
        <f>_xlfn.XLOOKUP(_Shipments[[#This Row],[Shipment]],[1]Report!$G:$G,[1]Report!$B:$B,"-")</f>
        <v>46294.333333333336</v>
      </c>
      <c r="B179" s="26">
        <v>7246861</v>
      </c>
      <c r="C179" s="26">
        <v>5541988060</v>
      </c>
      <c r="D179" s="26">
        <v>2</v>
      </c>
      <c r="E179" s="26" t="s">
        <v>310</v>
      </c>
      <c r="F179" s="85">
        <v>658</v>
      </c>
      <c r="G179" s="26" t="s">
        <v>253</v>
      </c>
      <c r="H179" s="26" t="s">
        <v>254</v>
      </c>
      <c r="I179" s="26" t="s">
        <v>65</v>
      </c>
      <c r="J179" s="26">
        <v>658</v>
      </c>
      <c r="K179" s="26">
        <v>7571391</v>
      </c>
      <c r="L179" s="26" t="s">
        <v>311</v>
      </c>
      <c r="M179" s="26" t="s">
        <v>38</v>
      </c>
      <c r="N179" s="48">
        <f>IF(_Shipments[[#This Row],[Embalagem]]="Big Bag",_Shipments[[#This Row],[Qtd.]]*_Shipments[[#This Row],[Qtde. sacos/palete]],_Shipments[[#This Row],[Qtd.]])</f>
        <v>658</v>
      </c>
      <c r="O179" s="49">
        <f>_xlfn.XLOOKUP(_Shipments[[#This Row],[CLN]],[2]Dados!$D:$D,[2]Dados!$R:$R,"-")</f>
        <v>60</v>
      </c>
      <c r="P179" s="49" t="str" cm="1">
        <f t="array" ref="P179">_xlfn.LET(_xlpm.t,_xlfn.XLOOKUP(_Shipments[[#This Row],[CLN]],[2]Dados!$D:$D,[2]Dados!$Q:$Q,"-"),_xlfn.IFS(LEFT(_xlpm.t,3)="PAS","Saco",LEFT(_xlpm.t,3)="PBT","Big Bag",TRUE,"-"))</f>
        <v>Saco</v>
      </c>
      <c r="Q179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16.739999999999998</v>
      </c>
      <c r="R179" s="89">
        <f>IF(_Shipments[[#This Row],[Embalagem]]="Big Bag",_Shipments[[#This Row],[Qtd.]],ROUNDUP(_Shipments[[#This Row],[Qtd.]]/_Shipments[[#This Row],[Qtde. sacos/palete]],0))</f>
        <v>11</v>
      </c>
      <c r="S179" s="26" t="s">
        <v>249</v>
      </c>
      <c r="T179" s="51">
        <v>34996968579</v>
      </c>
      <c r="U179" s="26" t="s">
        <v>250</v>
      </c>
      <c r="V179" s="26" t="s">
        <v>251</v>
      </c>
      <c r="W179" s="26" t="s">
        <v>126</v>
      </c>
    </row>
    <row r="180" spans="1:23" x14ac:dyDescent="0.25">
      <c r="A180" s="47">
        <f>_xlfn.XLOOKUP(_Shipments[[#This Row],[Shipment]],[1]Report!$G:$G,[1]Report!$B:$B,"-")</f>
        <v>46294.375</v>
      </c>
      <c r="B180" s="26">
        <v>7246862</v>
      </c>
      <c r="C180" s="26">
        <v>5541988061</v>
      </c>
      <c r="D180" s="26">
        <v>1</v>
      </c>
      <c r="E180" s="26" t="s">
        <v>258</v>
      </c>
      <c r="F180" s="85">
        <v>544</v>
      </c>
      <c r="G180" s="26" t="s">
        <v>253</v>
      </c>
      <c r="H180" s="26" t="s">
        <v>254</v>
      </c>
      <c r="I180" s="26" t="s">
        <v>65</v>
      </c>
      <c r="J180" s="26">
        <v>544</v>
      </c>
      <c r="K180" s="26">
        <v>7571422</v>
      </c>
      <c r="L180" s="26" t="s">
        <v>312</v>
      </c>
      <c r="M180" s="26" t="s">
        <v>29</v>
      </c>
      <c r="N180" s="48">
        <f>IF(_Shipments[[#This Row],[Embalagem]]="Big Bag",_Shipments[[#This Row],[Qtd.]]*_Shipments[[#This Row],[Qtde. sacos/palete]],_Shipments[[#This Row],[Qtd.]])</f>
        <v>544</v>
      </c>
      <c r="O180" s="49">
        <f>_xlfn.XLOOKUP(_Shipments[[#This Row],[CLN]],[2]Dados!$D:$D,[2]Dados!$R:$R,"-")</f>
        <v>70</v>
      </c>
      <c r="P180" s="49" t="str" cm="1">
        <f t="array" ref="P180">_xlfn.LET(_xlpm.t,_xlfn.XLOOKUP(_Shipments[[#This Row],[CLN]],[2]Dados!$D:$D,[2]Dados!$Q:$Q,"-"),_xlfn.IFS(LEFT(_xlpm.t,3)="PAS","Saco",LEFT(_xlpm.t,3)="PBT","Big Bag",TRUE,"-"))</f>
        <v>Saco</v>
      </c>
      <c r="Q180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14.06</v>
      </c>
      <c r="R180" s="89">
        <f>IF(_Shipments[[#This Row],[Embalagem]]="Big Bag",_Shipments[[#This Row],[Qtd.]],ROUNDUP(_Shipments[[#This Row],[Qtd.]]/_Shipments[[#This Row],[Qtde. sacos/palete]],0))</f>
        <v>8</v>
      </c>
      <c r="S180" s="26" t="s">
        <v>136</v>
      </c>
      <c r="T180" s="51">
        <v>34991030020</v>
      </c>
      <c r="U180" s="26" t="s">
        <v>137</v>
      </c>
      <c r="V180" s="26" t="s">
        <v>220</v>
      </c>
      <c r="W180" s="26" t="s">
        <v>126</v>
      </c>
    </row>
    <row r="181" spans="1:23" x14ac:dyDescent="0.25">
      <c r="A181" s="47">
        <f>_xlfn.XLOOKUP(_Shipments[[#This Row],[Shipment]],[1]Report!$G:$G,[1]Report!$B:$B,"-")</f>
        <v>46294.375</v>
      </c>
      <c r="B181" s="26">
        <v>7246862</v>
      </c>
      <c r="C181" s="26">
        <v>5541988061</v>
      </c>
      <c r="D181" s="26">
        <v>2</v>
      </c>
      <c r="E181" s="26" t="s">
        <v>258</v>
      </c>
      <c r="F181" s="85">
        <v>695</v>
      </c>
      <c r="G181" s="26" t="s">
        <v>253</v>
      </c>
      <c r="H181" s="26" t="s">
        <v>254</v>
      </c>
      <c r="I181" s="26" t="s">
        <v>65</v>
      </c>
      <c r="J181" s="26">
        <v>695</v>
      </c>
      <c r="K181" s="26">
        <v>7571423</v>
      </c>
      <c r="L181" s="26" t="s">
        <v>313</v>
      </c>
      <c r="M181" s="26" t="s">
        <v>29</v>
      </c>
      <c r="N181" s="48">
        <f>IF(_Shipments[[#This Row],[Embalagem]]="Big Bag",_Shipments[[#This Row],[Qtd.]]*_Shipments[[#This Row],[Qtde. sacos/palete]],_Shipments[[#This Row],[Qtd.]])</f>
        <v>695</v>
      </c>
      <c r="O181" s="49">
        <f>_xlfn.XLOOKUP(_Shipments[[#This Row],[CLN]],[2]Dados!$D:$D,[2]Dados!$R:$R,"-")</f>
        <v>70</v>
      </c>
      <c r="P181" s="49" t="str" cm="1">
        <f t="array" ref="P181">_xlfn.LET(_xlpm.t,_xlfn.XLOOKUP(_Shipments[[#This Row],[CLN]],[2]Dados!$D:$D,[2]Dados!$Q:$Q,"-"),_xlfn.IFS(LEFT(_xlpm.t,3)="PAS","Saco",LEFT(_xlpm.t,3)="PBT","Big Bag",TRUE,"-"))</f>
        <v>Saco</v>
      </c>
      <c r="Q181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14.23</v>
      </c>
      <c r="R181" s="89">
        <f>IF(_Shipments[[#This Row],[Embalagem]]="Big Bag",_Shipments[[#This Row],[Qtd.]],ROUNDUP(_Shipments[[#This Row],[Qtd.]]/_Shipments[[#This Row],[Qtde. sacos/palete]],0))</f>
        <v>10</v>
      </c>
      <c r="S181" s="26" t="s">
        <v>136</v>
      </c>
      <c r="T181" s="51">
        <v>34991030020</v>
      </c>
      <c r="U181" s="26" t="s">
        <v>137</v>
      </c>
      <c r="V181" s="26" t="s">
        <v>220</v>
      </c>
      <c r="W181" s="26" t="s">
        <v>126</v>
      </c>
    </row>
    <row r="182" spans="1:23" x14ac:dyDescent="0.25">
      <c r="A182" s="47">
        <f>_xlfn.XLOOKUP(_Shipments[[#This Row],[Shipment]],[1]Report!$G:$G,[1]Report!$B:$B,"-")</f>
        <v>46294.375</v>
      </c>
      <c r="B182" s="26">
        <v>7246862</v>
      </c>
      <c r="C182" s="26">
        <v>5541988061</v>
      </c>
      <c r="D182" s="26">
        <v>3</v>
      </c>
      <c r="E182" s="26" t="s">
        <v>263</v>
      </c>
      <c r="F182" s="85">
        <v>189</v>
      </c>
      <c r="G182" s="26" t="s">
        <v>253</v>
      </c>
      <c r="H182" s="26" t="s">
        <v>254</v>
      </c>
      <c r="I182" s="26" t="s">
        <v>65</v>
      </c>
      <c r="J182" s="26">
        <v>189</v>
      </c>
      <c r="K182" s="26">
        <v>7602423</v>
      </c>
      <c r="L182" s="26" t="s">
        <v>314</v>
      </c>
      <c r="M182" s="26" t="s">
        <v>270</v>
      </c>
      <c r="N182" s="48">
        <f>IF(_Shipments[[#This Row],[Embalagem]]="Big Bag",_Shipments[[#This Row],[Qtd.]]*_Shipments[[#This Row],[Qtde. sacos/palete]],_Shipments[[#This Row],[Qtd.]])</f>
        <v>189</v>
      </c>
      <c r="O182" s="49">
        <f>_xlfn.XLOOKUP(_Shipments[[#This Row],[CLN]],[2]Dados!$D:$D,[2]Dados!$R:$R,"-")</f>
        <v>70</v>
      </c>
      <c r="P182" s="49" t="str" cm="1">
        <f t="array" ref="P182">_xlfn.LET(_xlpm.t,_xlfn.XLOOKUP(_Shipments[[#This Row],[CLN]],[2]Dados!$D:$D,[2]Dados!$Q:$Q,"-"),_xlfn.IFS(LEFT(_xlpm.t,3)="PAS","Saco",LEFT(_xlpm.t,3)="PBT","Big Bag",TRUE,"-"))</f>
        <v>Saco</v>
      </c>
      <c r="Q182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13.54</v>
      </c>
      <c r="R182" s="89">
        <f>IF(_Shipments[[#This Row],[Embalagem]]="Big Bag",_Shipments[[#This Row],[Qtd.]],ROUNDUP(_Shipments[[#This Row],[Qtd.]]/_Shipments[[#This Row],[Qtde. sacos/palete]],0))</f>
        <v>3</v>
      </c>
      <c r="S182" s="26" t="s">
        <v>136</v>
      </c>
      <c r="T182" s="51">
        <v>34991030020</v>
      </c>
      <c r="U182" s="26" t="s">
        <v>137</v>
      </c>
      <c r="V182" s="26" t="s">
        <v>220</v>
      </c>
      <c r="W182" s="26" t="s">
        <v>126</v>
      </c>
    </row>
    <row r="183" spans="1:23" x14ac:dyDescent="0.25">
      <c r="A183" s="47">
        <f>_xlfn.XLOOKUP(_Shipments[[#This Row],[Shipment]],[1]Report!$G:$G,[1]Report!$B:$B,"-")</f>
        <v>46294.375</v>
      </c>
      <c r="B183" s="26">
        <v>7246864</v>
      </c>
      <c r="C183" s="26">
        <v>5541988062</v>
      </c>
      <c r="D183" s="26">
        <v>1</v>
      </c>
      <c r="E183" s="26" t="s">
        <v>260</v>
      </c>
      <c r="F183" s="85">
        <v>1080</v>
      </c>
      <c r="G183" s="26" t="s">
        <v>253</v>
      </c>
      <c r="H183" s="26" t="s">
        <v>254</v>
      </c>
      <c r="I183" s="26" t="s">
        <v>65</v>
      </c>
      <c r="J183" s="26">
        <v>1080</v>
      </c>
      <c r="K183" s="26">
        <v>7571432</v>
      </c>
      <c r="L183" s="26" t="s">
        <v>315</v>
      </c>
      <c r="M183" s="26" t="s">
        <v>262</v>
      </c>
      <c r="N183" s="48">
        <f>IF(_Shipments[[#This Row],[Embalagem]]="Big Bag",_Shipments[[#This Row],[Qtd.]]*_Shipments[[#This Row],[Qtde. sacos/palete]],_Shipments[[#This Row],[Qtd.]])</f>
        <v>1080</v>
      </c>
      <c r="O183" s="49">
        <f>_xlfn.XLOOKUP(_Shipments[[#This Row],[CLN]],[2]Dados!$D:$D,[2]Dados!$R:$R,"-")</f>
        <v>75</v>
      </c>
      <c r="P183" s="49" t="str" cm="1">
        <f t="array" ref="P183">_xlfn.LET(_xlpm.t,_xlfn.XLOOKUP(_Shipments[[#This Row],[CLN]],[2]Dados!$D:$D,[2]Dados!$Q:$Q,"-"),_xlfn.IFS(LEFT(_xlpm.t,3)="PAS","Saco",LEFT(_xlpm.t,3)="PBT","Big Bag",TRUE,"-"))</f>
        <v>Saco</v>
      </c>
      <c r="Q183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12.17</v>
      </c>
      <c r="R183" s="89">
        <f>IF(_Shipments[[#This Row],[Embalagem]]="Big Bag",_Shipments[[#This Row],[Qtd.]],ROUNDUP(_Shipments[[#This Row],[Qtd.]]/_Shipments[[#This Row],[Qtde. sacos/palete]],0))</f>
        <v>15</v>
      </c>
      <c r="S183" s="26" t="s">
        <v>225</v>
      </c>
      <c r="T183" s="51">
        <v>34991337791</v>
      </c>
      <c r="U183" s="26" t="s">
        <v>120</v>
      </c>
      <c r="V183" s="26" t="s">
        <v>121</v>
      </c>
      <c r="W183" s="26" t="s">
        <v>126</v>
      </c>
    </row>
    <row r="184" spans="1:23" x14ac:dyDescent="0.25">
      <c r="A184" s="47">
        <f>_xlfn.XLOOKUP(_Shipments[[#This Row],[Shipment]],[1]Report!$G:$G,[1]Report!$B:$B,"-")</f>
        <v>46294.375</v>
      </c>
      <c r="B184" s="26">
        <v>7246864</v>
      </c>
      <c r="C184" s="26">
        <v>5541988062</v>
      </c>
      <c r="D184" s="26">
        <v>2</v>
      </c>
      <c r="E184" s="26" t="s">
        <v>263</v>
      </c>
      <c r="F184" s="85">
        <v>420</v>
      </c>
      <c r="G184" s="26" t="s">
        <v>253</v>
      </c>
      <c r="H184" s="26" t="s">
        <v>254</v>
      </c>
      <c r="I184" s="26" t="s">
        <v>65</v>
      </c>
      <c r="J184" s="26">
        <v>420</v>
      </c>
      <c r="K184" s="26">
        <v>7602423</v>
      </c>
      <c r="L184" s="26" t="s">
        <v>314</v>
      </c>
      <c r="M184" s="26" t="s">
        <v>270</v>
      </c>
      <c r="N184" s="48">
        <f>IF(_Shipments[[#This Row],[Embalagem]]="Big Bag",_Shipments[[#This Row],[Qtd.]]*_Shipments[[#This Row],[Qtde. sacos/palete]],_Shipments[[#This Row],[Qtd.]])</f>
        <v>420</v>
      </c>
      <c r="O184" s="49">
        <f>_xlfn.XLOOKUP(_Shipments[[#This Row],[CLN]],[2]Dados!$D:$D,[2]Dados!$R:$R,"-")</f>
        <v>70</v>
      </c>
      <c r="P184" s="49" t="str" cm="1">
        <f t="array" ref="P184">_xlfn.LET(_xlpm.t,_xlfn.XLOOKUP(_Shipments[[#This Row],[CLN]],[2]Dados!$D:$D,[2]Dados!$Q:$Q,"-"),_xlfn.IFS(LEFT(_xlpm.t,3)="PAS","Saco",LEFT(_xlpm.t,3)="PBT","Big Bag",TRUE,"-"))</f>
        <v>Saco</v>
      </c>
      <c r="Q184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13.54</v>
      </c>
      <c r="R184" s="89">
        <f>IF(_Shipments[[#This Row],[Embalagem]]="Big Bag",_Shipments[[#This Row],[Qtd.]],ROUNDUP(_Shipments[[#This Row],[Qtd.]]/_Shipments[[#This Row],[Qtde. sacos/palete]],0))</f>
        <v>6</v>
      </c>
      <c r="S184" s="26" t="s">
        <v>225</v>
      </c>
      <c r="T184" s="51">
        <v>34991337791</v>
      </c>
      <c r="U184" s="26" t="s">
        <v>120</v>
      </c>
      <c r="V184" s="26" t="s">
        <v>121</v>
      </c>
      <c r="W184" s="26" t="s">
        <v>126</v>
      </c>
    </row>
    <row r="185" spans="1:23" x14ac:dyDescent="0.25">
      <c r="A185" s="47">
        <f>_xlfn.XLOOKUP(_Shipments[[#This Row],[Shipment]],[1]Report!$G:$G,[1]Report!$B:$B,"-")</f>
        <v>46295.333333333336</v>
      </c>
      <c r="B185" s="26">
        <v>7246865</v>
      </c>
      <c r="C185" s="26">
        <v>5541988063</v>
      </c>
      <c r="D185" s="26">
        <v>1</v>
      </c>
      <c r="E185" s="26" t="s">
        <v>252</v>
      </c>
      <c r="F185" s="85">
        <v>272</v>
      </c>
      <c r="G185" s="26" t="s">
        <v>253</v>
      </c>
      <c r="H185" s="26" t="s">
        <v>254</v>
      </c>
      <c r="I185" s="26" t="s">
        <v>65</v>
      </c>
      <c r="J185" s="26">
        <v>272</v>
      </c>
      <c r="K185" s="26">
        <v>7571352</v>
      </c>
      <c r="L185" s="26" t="s">
        <v>319</v>
      </c>
      <c r="M185" s="26" t="s">
        <v>32</v>
      </c>
      <c r="N185" s="48">
        <f>IF(_Shipments[[#This Row],[Embalagem]]="Big Bag",_Shipments[[#This Row],[Qtd.]]*_Shipments[[#This Row],[Qtde. sacos/palete]],_Shipments[[#This Row],[Qtd.]])</f>
        <v>272</v>
      </c>
      <c r="O185" s="49">
        <f>_xlfn.XLOOKUP(_Shipments[[#This Row],[CLN]],[2]Dados!$D:$D,[2]Dados!$R:$R,"-")</f>
        <v>60</v>
      </c>
      <c r="P185" s="49" t="str" cm="1">
        <f t="array" ref="P185">_xlfn.LET(_xlpm.t,_xlfn.XLOOKUP(_Shipments[[#This Row],[CLN]],[2]Dados!$D:$D,[2]Dados!$Q:$Q,"-"),_xlfn.IFS(LEFT(_xlpm.t,3)="PAS","Saco",LEFT(_xlpm.t,3)="PBT","Big Bag",TRUE,"-"))</f>
        <v>Saco</v>
      </c>
      <c r="Q185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16.12</v>
      </c>
      <c r="R185" s="89">
        <f>IF(_Shipments[[#This Row],[Embalagem]]="Big Bag",_Shipments[[#This Row],[Qtd.]],ROUNDUP(_Shipments[[#This Row],[Qtd.]]/_Shipments[[#This Row],[Qtde. sacos/palete]],0))</f>
        <v>5</v>
      </c>
      <c r="S185" s="26" t="s">
        <v>136</v>
      </c>
      <c r="T185" s="51">
        <v>34991030020</v>
      </c>
      <c r="U185" s="26" t="s">
        <v>137</v>
      </c>
      <c r="V185" s="26" t="s">
        <v>220</v>
      </c>
      <c r="W185" s="26" t="s">
        <v>126</v>
      </c>
    </row>
    <row r="186" spans="1:23" x14ac:dyDescent="0.25">
      <c r="A186" s="47">
        <f>_xlfn.XLOOKUP(_Shipments[[#This Row],[Shipment]],[1]Report!$G:$G,[1]Report!$B:$B,"-")</f>
        <v>46295.333333333336</v>
      </c>
      <c r="B186" s="26">
        <v>7246865</v>
      </c>
      <c r="C186" s="26">
        <v>5541988063</v>
      </c>
      <c r="D186" s="26">
        <v>2</v>
      </c>
      <c r="E186" s="26" t="s">
        <v>263</v>
      </c>
      <c r="F186" s="85">
        <v>1112</v>
      </c>
      <c r="G186" s="26" t="s">
        <v>253</v>
      </c>
      <c r="H186" s="26" t="s">
        <v>254</v>
      </c>
      <c r="I186" s="26" t="s">
        <v>65</v>
      </c>
      <c r="J186" s="26">
        <v>1112</v>
      </c>
      <c r="K186" s="26">
        <v>7571374</v>
      </c>
      <c r="L186" s="26" t="s">
        <v>320</v>
      </c>
      <c r="M186" s="26" t="s">
        <v>270</v>
      </c>
      <c r="N186" s="48">
        <f>IF(_Shipments[[#This Row],[Embalagem]]="Big Bag",_Shipments[[#This Row],[Qtd.]]*_Shipments[[#This Row],[Qtde. sacos/palete]],_Shipments[[#This Row],[Qtd.]])</f>
        <v>1112</v>
      </c>
      <c r="O186" s="49">
        <f>_xlfn.XLOOKUP(_Shipments[[#This Row],[CLN]],[2]Dados!$D:$D,[2]Dados!$R:$R,"-")</f>
        <v>70</v>
      </c>
      <c r="P186" s="49" t="str" cm="1">
        <f t="array" ref="P186">_xlfn.LET(_xlpm.t,_xlfn.XLOOKUP(_Shipments[[#This Row],[CLN]],[2]Dados!$D:$D,[2]Dados!$Q:$Q,"-"),_xlfn.IFS(LEFT(_xlpm.t,3)="PAS","Saco",LEFT(_xlpm.t,3)="PBT","Big Bag",TRUE,"-"))</f>
        <v>Saco</v>
      </c>
      <c r="Q186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13.65</v>
      </c>
      <c r="R186" s="89">
        <f>IF(_Shipments[[#This Row],[Embalagem]]="Big Bag",_Shipments[[#This Row],[Qtd.]],ROUNDUP(_Shipments[[#This Row],[Qtd.]]/_Shipments[[#This Row],[Qtde. sacos/palete]],0))</f>
        <v>16</v>
      </c>
      <c r="S186" s="26" t="s">
        <v>136</v>
      </c>
      <c r="T186" s="51">
        <v>34991030020</v>
      </c>
      <c r="U186" s="26" t="s">
        <v>137</v>
      </c>
      <c r="V186" s="26" t="s">
        <v>220</v>
      </c>
      <c r="W186" s="26" t="s">
        <v>126</v>
      </c>
    </row>
    <row r="187" spans="1:23" x14ac:dyDescent="0.25">
      <c r="A187" s="47">
        <f>_xlfn.XLOOKUP(_Shipments[[#This Row],[Shipment]],[1]Report!$G:$G,[1]Report!$B:$B,"-")</f>
        <v>46295.375</v>
      </c>
      <c r="B187" s="26">
        <v>7248673</v>
      </c>
      <c r="C187" s="26">
        <v>5541989627</v>
      </c>
      <c r="D187" s="26">
        <v>1</v>
      </c>
      <c r="E187" s="26" t="s">
        <v>321</v>
      </c>
      <c r="F187" s="85">
        <v>20</v>
      </c>
      <c r="G187" s="26" t="s">
        <v>283</v>
      </c>
      <c r="H187" s="26" t="s">
        <v>64</v>
      </c>
      <c r="I187" s="26" t="s">
        <v>65</v>
      </c>
      <c r="J187" s="26">
        <v>20</v>
      </c>
      <c r="K187" s="26">
        <v>7600784</v>
      </c>
      <c r="L187" s="26" t="s">
        <v>322</v>
      </c>
      <c r="M187" s="26" t="s">
        <v>29</v>
      </c>
      <c r="N187" s="48">
        <f>IF(_Shipments[[#This Row],[Embalagem]]="Big Bag",_Shipments[[#This Row],[Qtd.]]*_Shipments[[#This Row],[Qtde. sacos/palete]],_Shipments[[#This Row],[Qtd.]])</f>
        <v>1000</v>
      </c>
      <c r="O187" s="49">
        <f>_xlfn.XLOOKUP(_Shipments[[#This Row],[CLN]],[2]Dados!$D:$D,[2]Dados!$R:$R,"-")</f>
        <v>50</v>
      </c>
      <c r="P187" s="49" t="str" cm="1">
        <f t="array" ref="P187">_xlfn.LET(_xlpm.t,_xlfn.XLOOKUP(_Shipments[[#This Row],[CLN]],[2]Dados!$D:$D,[2]Dados!$Q:$Q,"-"),_xlfn.IFS(LEFT(_xlpm.t,3)="PAS","Saco",LEFT(_xlpm.t,3)="PBT","Big Bag",TRUE,"-"))</f>
        <v>Big Bag</v>
      </c>
      <c r="Q187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674</v>
      </c>
      <c r="R187" s="89">
        <f>IF(_Shipments[[#This Row],[Embalagem]]="Big Bag",_Shipments[[#This Row],[Qtd.]],ROUNDUP(_Shipments[[#This Row],[Qtd.]]/_Shipments[[#This Row],[Qtde. sacos/palete]],0))</f>
        <v>20</v>
      </c>
      <c r="S187" s="26" t="s">
        <v>249</v>
      </c>
      <c r="T187" s="51">
        <v>34996968579</v>
      </c>
      <c r="U187" s="26" t="s">
        <v>250</v>
      </c>
      <c r="V187" s="26" t="s">
        <v>251</v>
      </c>
      <c r="W187" s="26" t="s">
        <v>126</v>
      </c>
    </row>
    <row r="188" spans="1:23" x14ac:dyDescent="0.25">
      <c r="A188" s="47">
        <f>_xlfn.XLOOKUP(_Shipments[[#This Row],[Shipment]],[1]Report!$G:$G,[1]Report!$B:$B,"-")</f>
        <v>46295.375</v>
      </c>
      <c r="B188" s="26">
        <v>7248679</v>
      </c>
      <c r="C188" s="26">
        <v>5541989628</v>
      </c>
      <c r="D188" s="26">
        <v>1</v>
      </c>
      <c r="E188" s="26" t="s">
        <v>321</v>
      </c>
      <c r="F188" s="85">
        <v>21</v>
      </c>
      <c r="G188" s="26" t="s">
        <v>283</v>
      </c>
      <c r="H188" s="26" t="s">
        <v>64</v>
      </c>
      <c r="I188" s="26" t="s">
        <v>65</v>
      </c>
      <c r="J188" s="26">
        <v>21</v>
      </c>
      <c r="K188" s="26">
        <v>7600780</v>
      </c>
      <c r="L188" s="26" t="s">
        <v>323</v>
      </c>
      <c r="M188" s="26" t="s">
        <v>29</v>
      </c>
      <c r="N188" s="48">
        <f>IF(_Shipments[[#This Row],[Embalagem]]="Big Bag",_Shipments[[#This Row],[Qtd.]]*_Shipments[[#This Row],[Qtde. sacos/palete]],_Shipments[[#This Row],[Qtd.]])</f>
        <v>1050</v>
      </c>
      <c r="O188" s="49">
        <f>_xlfn.XLOOKUP(_Shipments[[#This Row],[CLN]],[2]Dados!$D:$D,[2]Dados!$R:$R,"-")</f>
        <v>50</v>
      </c>
      <c r="P188" s="49" t="str" cm="1">
        <f t="array" ref="P188">_xlfn.LET(_xlpm.t,_xlfn.XLOOKUP(_Shipments[[#This Row],[CLN]],[2]Dados!$D:$D,[2]Dados!$Q:$Q,"-"),_xlfn.IFS(LEFT(_xlpm.t,3)="PAS","Saco",LEFT(_xlpm.t,3)="PBT","Big Bag",TRUE,"-"))</f>
        <v>Big Bag</v>
      </c>
      <c r="Q188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676.5</v>
      </c>
      <c r="R188" s="89">
        <f>IF(_Shipments[[#This Row],[Embalagem]]="Big Bag",_Shipments[[#This Row],[Qtd.]],ROUNDUP(_Shipments[[#This Row],[Qtd.]]/_Shipments[[#This Row],[Qtde. sacos/palete]],0))</f>
        <v>21</v>
      </c>
      <c r="S188" s="26" t="s">
        <v>141</v>
      </c>
      <c r="T188" s="51">
        <v>34999810409</v>
      </c>
      <c r="U188" s="26" t="s">
        <v>142</v>
      </c>
      <c r="V188" s="26" t="s">
        <v>143</v>
      </c>
      <c r="W188" s="26" t="s">
        <v>126</v>
      </c>
    </row>
    <row r="189" spans="1:23" x14ac:dyDescent="0.25">
      <c r="A189" s="47">
        <f>_xlfn.XLOOKUP(_Shipments[[#This Row],[Shipment]],[1]Report!$G:$G,[1]Report!$B:$B,"-")</f>
        <v>46296.333333333336</v>
      </c>
      <c r="B189" s="26">
        <v>7248680</v>
      </c>
      <c r="C189" s="26">
        <v>5541989629</v>
      </c>
      <c r="D189" s="26">
        <v>1</v>
      </c>
      <c r="E189" s="26" t="s">
        <v>321</v>
      </c>
      <c r="F189" s="85">
        <v>18</v>
      </c>
      <c r="G189" s="26" t="s">
        <v>283</v>
      </c>
      <c r="H189" s="26" t="s">
        <v>64</v>
      </c>
      <c r="I189" s="26" t="s">
        <v>65</v>
      </c>
      <c r="J189" s="26">
        <v>18</v>
      </c>
      <c r="K189" s="26">
        <v>7600782</v>
      </c>
      <c r="L189" s="26" t="s">
        <v>324</v>
      </c>
      <c r="M189" s="26" t="s">
        <v>29</v>
      </c>
      <c r="N189" s="48">
        <f>IF(_Shipments[[#This Row],[Embalagem]]="Big Bag",_Shipments[[#This Row],[Qtd.]]*_Shipments[[#This Row],[Qtde. sacos/palete]],_Shipments[[#This Row],[Qtd.]])</f>
        <v>900</v>
      </c>
      <c r="O189" s="49">
        <f>_xlfn.XLOOKUP(_Shipments[[#This Row],[CLN]],[2]Dados!$D:$D,[2]Dados!$R:$R,"-")</f>
        <v>50</v>
      </c>
      <c r="P189" s="49" t="str" cm="1">
        <f t="array" ref="P189">_xlfn.LET(_xlpm.t,_xlfn.XLOOKUP(_Shipments[[#This Row],[CLN]],[2]Dados!$D:$D,[2]Dados!$Q:$Q,"-"),_xlfn.IFS(LEFT(_xlpm.t,3)="PAS","Saco",LEFT(_xlpm.t,3)="PBT","Big Bag",TRUE,"-"))</f>
        <v>Big Bag</v>
      </c>
      <c r="Q189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680.5</v>
      </c>
      <c r="R189" s="89">
        <f>IF(_Shipments[[#This Row],[Embalagem]]="Big Bag",_Shipments[[#This Row],[Qtd.]],ROUNDUP(_Shipments[[#This Row],[Qtd.]]/_Shipments[[#This Row],[Qtde. sacos/palete]],0))</f>
        <v>18</v>
      </c>
      <c r="S189" s="26" t="s">
        <v>225</v>
      </c>
      <c r="T189" s="51">
        <v>34991337791</v>
      </c>
      <c r="U189" s="26" t="s">
        <v>120</v>
      </c>
      <c r="V189" s="26" t="s">
        <v>121</v>
      </c>
      <c r="W189" s="26" t="s">
        <v>126</v>
      </c>
    </row>
    <row r="190" spans="1:23" x14ac:dyDescent="0.25">
      <c r="A190" s="47">
        <f>_xlfn.XLOOKUP(_Shipments[[#This Row],[Shipment]],[1]Report!$G:$G,[1]Report!$B:$B,"-")</f>
        <v>46296.333333333336</v>
      </c>
      <c r="B190" s="26">
        <v>7248680</v>
      </c>
      <c r="C190" s="26">
        <v>5541989629</v>
      </c>
      <c r="D190" s="26">
        <v>2</v>
      </c>
      <c r="E190" s="26" t="s">
        <v>325</v>
      </c>
      <c r="F190" s="85">
        <v>11</v>
      </c>
      <c r="G190" s="26" t="s">
        <v>283</v>
      </c>
      <c r="H190" s="26" t="s">
        <v>64</v>
      </c>
      <c r="I190" s="26" t="s">
        <v>65</v>
      </c>
      <c r="J190" s="26">
        <v>11</v>
      </c>
      <c r="K190" s="26">
        <v>7609023</v>
      </c>
      <c r="L190" s="26" t="s">
        <v>326</v>
      </c>
      <c r="M190" s="26" t="s">
        <v>270</v>
      </c>
      <c r="N190" s="48">
        <f>IF(_Shipments[[#This Row],[Embalagem]]="Big Bag",_Shipments[[#This Row],[Qtd.]]*_Shipments[[#This Row],[Qtde. sacos/palete]],_Shipments[[#This Row],[Qtd.]])</f>
        <v>11</v>
      </c>
      <c r="O190" s="49">
        <f>_xlfn.XLOOKUP(_Shipments[[#This Row],[CLN]],[2]Dados!$D:$D,[2]Dados!$R:$R,"-")</f>
        <v>70</v>
      </c>
      <c r="P190" s="49" t="str" cm="1">
        <f t="array" ref="P190">_xlfn.LET(_xlpm.t,_xlfn.XLOOKUP(_Shipments[[#This Row],[CLN]],[2]Dados!$D:$D,[2]Dados!$Q:$Q,"-"),_xlfn.IFS(LEFT(_xlpm.t,3)="PAS","Saco",LEFT(_xlpm.t,3)="PBT","Big Bag",TRUE,"-"))</f>
        <v>Saco</v>
      </c>
      <c r="Q190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13.74</v>
      </c>
      <c r="R190" s="89">
        <f>IF(_Shipments[[#This Row],[Embalagem]]="Big Bag",_Shipments[[#This Row],[Qtd.]],ROUNDUP(_Shipments[[#This Row],[Qtd.]]/_Shipments[[#This Row],[Qtde. sacos/palete]],0))</f>
        <v>1</v>
      </c>
      <c r="S190" s="26" t="s">
        <v>225</v>
      </c>
      <c r="T190" s="51">
        <v>34991337791</v>
      </c>
      <c r="U190" s="26" t="s">
        <v>120</v>
      </c>
      <c r="V190" s="26" t="s">
        <v>121</v>
      </c>
      <c r="W190" s="26" t="s">
        <v>126</v>
      </c>
    </row>
    <row r="191" spans="1:23" x14ac:dyDescent="0.25">
      <c r="A191" s="47">
        <f>_xlfn.XLOOKUP(_Shipments[[#This Row],[Shipment]],[1]Report!$G:$G,[1]Report!$B:$B,"-")</f>
        <v>46296.333333333336</v>
      </c>
      <c r="B191" s="26">
        <v>7248682</v>
      </c>
      <c r="C191" s="26">
        <v>5541989630</v>
      </c>
      <c r="D191" s="26">
        <v>1</v>
      </c>
      <c r="E191" s="26" t="s">
        <v>327</v>
      </c>
      <c r="F191" s="85">
        <v>17</v>
      </c>
      <c r="G191" s="26" t="s">
        <v>283</v>
      </c>
      <c r="H191" s="26" t="s">
        <v>64</v>
      </c>
      <c r="I191" s="26" t="s">
        <v>65</v>
      </c>
      <c r="J191" s="26">
        <v>17</v>
      </c>
      <c r="K191" s="26">
        <v>7600705</v>
      </c>
      <c r="L191" s="26" t="s">
        <v>328</v>
      </c>
      <c r="M191" s="26" t="s">
        <v>32</v>
      </c>
      <c r="N191" s="48">
        <f>IF(_Shipments[[#This Row],[Embalagem]]="Big Bag",_Shipments[[#This Row],[Qtd.]]*_Shipments[[#This Row],[Qtde. sacos/palete]],_Shipments[[#This Row],[Qtd.]])</f>
        <v>850</v>
      </c>
      <c r="O191" s="49">
        <f>_xlfn.XLOOKUP(_Shipments[[#This Row],[CLN]],[2]Dados!$D:$D,[2]Dados!$R:$R,"-")</f>
        <v>50</v>
      </c>
      <c r="P191" s="49" t="str" cm="1">
        <f t="array" ref="P191">_xlfn.LET(_xlpm.t,_xlfn.XLOOKUP(_Shipments[[#This Row],[CLN]],[2]Dados!$D:$D,[2]Dados!$Q:$Q,"-"),_xlfn.IFS(LEFT(_xlpm.t,3)="PAS","Saco",LEFT(_xlpm.t,3)="PBT","Big Bag",TRUE,"-"))</f>
        <v>Big Bag</v>
      </c>
      <c r="Q191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760</v>
      </c>
      <c r="R191" s="89">
        <f>IF(_Shipments[[#This Row],[Embalagem]]="Big Bag",_Shipments[[#This Row],[Qtd.]],ROUNDUP(_Shipments[[#This Row],[Qtd.]]/_Shipments[[#This Row],[Qtde. sacos/palete]],0))</f>
        <v>17</v>
      </c>
      <c r="T191" s="51"/>
      <c r="W191" s="26" t="s">
        <v>126</v>
      </c>
    </row>
    <row r="192" spans="1:23" x14ac:dyDescent="0.25">
      <c r="A192" s="47">
        <f>_xlfn.XLOOKUP(_Shipments[[#This Row],[Shipment]],[1]Report!$G:$G,[1]Report!$B:$B,"-")</f>
        <v>46296.375</v>
      </c>
      <c r="B192" s="26">
        <v>7248684</v>
      </c>
      <c r="C192" s="26">
        <v>5541989631</v>
      </c>
      <c r="D192" s="26">
        <v>1</v>
      </c>
      <c r="E192" s="26" t="s">
        <v>329</v>
      </c>
      <c r="F192" s="85">
        <v>14</v>
      </c>
      <c r="G192" s="26" t="s">
        <v>283</v>
      </c>
      <c r="H192" s="26" t="s">
        <v>64</v>
      </c>
      <c r="I192" s="26" t="s">
        <v>65</v>
      </c>
      <c r="J192" s="26">
        <v>14</v>
      </c>
      <c r="K192" s="26">
        <v>7600741</v>
      </c>
      <c r="L192" s="26" t="s">
        <v>330</v>
      </c>
      <c r="M192" s="26" t="s">
        <v>270</v>
      </c>
      <c r="N192" s="48">
        <f>IF(_Shipments[[#This Row],[Embalagem]]="Big Bag",_Shipments[[#This Row],[Qtd.]]*_Shipments[[#This Row],[Qtde. sacos/palete]],_Shipments[[#This Row],[Qtd.]])</f>
        <v>700</v>
      </c>
      <c r="O192" s="49">
        <f>_xlfn.XLOOKUP(_Shipments[[#This Row],[CLN]],[2]Dados!$D:$D,[2]Dados!$R:$R,"-")</f>
        <v>50</v>
      </c>
      <c r="P192" s="49" t="str" cm="1">
        <f t="array" ref="P192">_xlfn.LET(_xlpm.t,_xlfn.XLOOKUP(_Shipments[[#This Row],[CLN]],[2]Dados!$D:$D,[2]Dados!$Q:$Q,"-"),_xlfn.IFS(LEFT(_xlpm.t,3)="PAS","Saco",LEFT(_xlpm.t,3)="PBT","Big Bag",TRUE,"-"))</f>
        <v>Big Bag</v>
      </c>
      <c r="Q192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687</v>
      </c>
      <c r="R192" s="89">
        <f>IF(_Shipments[[#This Row],[Embalagem]]="Big Bag",_Shipments[[#This Row],[Qtd.]],ROUNDUP(_Shipments[[#This Row],[Qtd.]]/_Shipments[[#This Row],[Qtde. sacos/palete]],0))</f>
        <v>14</v>
      </c>
      <c r="S192" s="26" t="s">
        <v>141</v>
      </c>
      <c r="T192" s="51">
        <v>34999810409</v>
      </c>
      <c r="U192" s="26" t="s">
        <v>142</v>
      </c>
      <c r="V192" s="26" t="s">
        <v>143</v>
      </c>
      <c r="W192" s="26" t="s">
        <v>126</v>
      </c>
    </row>
    <row r="193" spans="1:23" x14ac:dyDescent="0.25">
      <c r="A193" s="47">
        <f>_xlfn.XLOOKUP(_Shipments[[#This Row],[Shipment]],[1]Report!$G:$G,[1]Report!$B:$B,"-")</f>
        <v>46296.375</v>
      </c>
      <c r="B193" s="26">
        <v>7248684</v>
      </c>
      <c r="C193" s="26">
        <v>5541989631</v>
      </c>
      <c r="D193" s="26">
        <v>2</v>
      </c>
      <c r="E193" s="26" t="s">
        <v>331</v>
      </c>
      <c r="F193" s="85">
        <v>4</v>
      </c>
      <c r="G193" s="26" t="s">
        <v>283</v>
      </c>
      <c r="H193" s="26" t="s">
        <v>64</v>
      </c>
      <c r="I193" s="26" t="s">
        <v>65</v>
      </c>
      <c r="J193" s="26">
        <v>4</v>
      </c>
      <c r="K193" s="26">
        <v>7600765</v>
      </c>
      <c r="L193" s="26" t="s">
        <v>332</v>
      </c>
      <c r="M193" s="26" t="s">
        <v>38</v>
      </c>
      <c r="N193" s="48">
        <f>IF(_Shipments[[#This Row],[Embalagem]]="Big Bag",_Shipments[[#This Row],[Qtd.]]*_Shipments[[#This Row],[Qtde. sacos/palete]],_Shipments[[#This Row],[Qtd.]])</f>
        <v>200</v>
      </c>
      <c r="O193" s="49">
        <f>_xlfn.XLOOKUP(_Shipments[[#This Row],[CLN]],[2]Dados!$D:$D,[2]Dados!$R:$R,"-")</f>
        <v>50</v>
      </c>
      <c r="P193" s="49" t="str" cm="1">
        <f t="array" ref="P193">_xlfn.LET(_xlpm.t,_xlfn.XLOOKUP(_Shipments[[#This Row],[CLN]],[2]Dados!$D:$D,[2]Dados!$Q:$Q,"-"),_xlfn.IFS(LEFT(_xlpm.t,3)="PAS","Saco",LEFT(_xlpm.t,3)="PBT","Big Bag",TRUE,"-"))</f>
        <v>Big Bag</v>
      </c>
      <c r="Q193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756.5</v>
      </c>
      <c r="R193" s="89">
        <f>IF(_Shipments[[#This Row],[Embalagem]]="Big Bag",_Shipments[[#This Row],[Qtd.]],ROUNDUP(_Shipments[[#This Row],[Qtd.]]/_Shipments[[#This Row],[Qtde. sacos/palete]],0))</f>
        <v>4</v>
      </c>
      <c r="S193" s="26" t="s">
        <v>141</v>
      </c>
      <c r="T193" s="51">
        <v>34999810409</v>
      </c>
      <c r="U193" s="26" t="s">
        <v>142</v>
      </c>
      <c r="V193" s="26" t="s">
        <v>143</v>
      </c>
      <c r="W193" s="26" t="s">
        <v>126</v>
      </c>
    </row>
    <row r="194" spans="1:23" x14ac:dyDescent="0.25">
      <c r="A194" s="47">
        <f>_xlfn.XLOOKUP(_Shipments[[#This Row],[Shipment]],[1]Report!$G:$G,[1]Report!$B:$B,"-")</f>
        <v>46296.375</v>
      </c>
      <c r="B194" s="26">
        <v>7248685</v>
      </c>
      <c r="C194" s="26">
        <v>5541989632</v>
      </c>
      <c r="D194" s="26">
        <v>1</v>
      </c>
      <c r="E194" s="26" t="s">
        <v>331</v>
      </c>
      <c r="F194" s="85">
        <v>7</v>
      </c>
      <c r="G194" s="26" t="s">
        <v>283</v>
      </c>
      <c r="H194" s="26" t="s">
        <v>64</v>
      </c>
      <c r="I194" s="26" t="s">
        <v>65</v>
      </c>
      <c r="J194" s="26">
        <v>7</v>
      </c>
      <c r="K194" s="26">
        <v>7600765</v>
      </c>
      <c r="L194" s="26" t="s">
        <v>332</v>
      </c>
      <c r="M194" s="26" t="s">
        <v>38</v>
      </c>
      <c r="N194" s="48">
        <f>IF(_Shipments[[#This Row],[Embalagem]]="Big Bag",_Shipments[[#This Row],[Qtd.]]*_Shipments[[#This Row],[Qtde. sacos/palete]],_Shipments[[#This Row],[Qtd.]])</f>
        <v>350</v>
      </c>
      <c r="O194" s="49">
        <f>_xlfn.XLOOKUP(_Shipments[[#This Row],[CLN]],[2]Dados!$D:$D,[2]Dados!$R:$R,"-")</f>
        <v>50</v>
      </c>
      <c r="P194" s="49" t="str" cm="1">
        <f t="array" ref="P194">_xlfn.LET(_xlpm.t,_xlfn.XLOOKUP(_Shipments[[#This Row],[CLN]],[2]Dados!$D:$D,[2]Dados!$Q:$Q,"-"),_xlfn.IFS(LEFT(_xlpm.t,3)="PAS","Saco",LEFT(_xlpm.t,3)="PBT","Big Bag",TRUE,"-"))</f>
        <v>Big Bag</v>
      </c>
      <c r="Q194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756.5</v>
      </c>
      <c r="R194" s="89">
        <f>IF(_Shipments[[#This Row],[Embalagem]]="Big Bag",_Shipments[[#This Row],[Qtd.]],ROUNDUP(_Shipments[[#This Row],[Qtd.]]/_Shipments[[#This Row],[Qtde. sacos/palete]],0))</f>
        <v>7</v>
      </c>
      <c r="S194" s="26" t="s">
        <v>360</v>
      </c>
      <c r="T194" s="51">
        <v>34998133614</v>
      </c>
      <c r="U194" s="26" t="s">
        <v>361</v>
      </c>
      <c r="V194" s="26" t="s">
        <v>362</v>
      </c>
      <c r="W194" s="26" t="s">
        <v>126</v>
      </c>
    </row>
    <row r="195" spans="1:23" x14ac:dyDescent="0.25">
      <c r="A195" s="47">
        <f>_xlfn.XLOOKUP(_Shipments[[#This Row],[Shipment]],[1]Report!$G:$G,[1]Report!$B:$B,"-")</f>
        <v>46296.375</v>
      </c>
      <c r="B195" s="26">
        <v>7248685</v>
      </c>
      <c r="C195" s="26">
        <v>5541989632</v>
      </c>
      <c r="D195" s="26">
        <v>2</v>
      </c>
      <c r="E195" s="26" t="s">
        <v>321</v>
      </c>
      <c r="F195" s="85">
        <v>11</v>
      </c>
      <c r="G195" s="26" t="s">
        <v>283</v>
      </c>
      <c r="H195" s="26" t="s">
        <v>64</v>
      </c>
      <c r="I195" s="26" t="s">
        <v>65</v>
      </c>
      <c r="J195" s="26">
        <v>11</v>
      </c>
      <c r="K195" s="26">
        <v>7600779</v>
      </c>
      <c r="L195" s="26" t="s">
        <v>333</v>
      </c>
      <c r="M195" s="26" t="s">
        <v>29</v>
      </c>
      <c r="N195" s="48">
        <f>IF(_Shipments[[#This Row],[Embalagem]]="Big Bag",_Shipments[[#This Row],[Qtd.]]*_Shipments[[#This Row],[Qtde. sacos/palete]],_Shipments[[#This Row],[Qtd.]])</f>
        <v>550</v>
      </c>
      <c r="O195" s="49">
        <f>_xlfn.XLOOKUP(_Shipments[[#This Row],[CLN]],[2]Dados!$D:$D,[2]Dados!$R:$R,"-")</f>
        <v>50</v>
      </c>
      <c r="P195" s="49" t="str" cm="1">
        <f t="array" ref="P195">_xlfn.LET(_xlpm.t,_xlfn.XLOOKUP(_Shipments[[#This Row],[CLN]],[2]Dados!$D:$D,[2]Dados!$Q:$Q,"-"),_xlfn.IFS(LEFT(_xlpm.t,3)="PAS","Saco",LEFT(_xlpm.t,3)="PBT","Big Bag",TRUE,"-"))</f>
        <v>Big Bag</v>
      </c>
      <c r="Q195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678.5</v>
      </c>
      <c r="R195" s="89">
        <f>IF(_Shipments[[#This Row],[Embalagem]]="Big Bag",_Shipments[[#This Row],[Qtd.]],ROUNDUP(_Shipments[[#This Row],[Qtd.]]/_Shipments[[#This Row],[Qtde. sacos/palete]],0))</f>
        <v>11</v>
      </c>
      <c r="S195" s="26" t="s">
        <v>360</v>
      </c>
      <c r="T195" s="51">
        <v>34998133614</v>
      </c>
      <c r="U195" s="26" t="s">
        <v>361</v>
      </c>
      <c r="V195" s="26" t="s">
        <v>362</v>
      </c>
      <c r="W195" s="26" t="s">
        <v>126</v>
      </c>
    </row>
    <row r="196" spans="1:23" x14ac:dyDescent="0.25">
      <c r="A196" s="47">
        <f>_xlfn.XLOOKUP(_Shipments[[#This Row],[Shipment]],[1]Report!$G:$G,[1]Report!$B:$B,"-")</f>
        <v>46296.375</v>
      </c>
      <c r="B196" s="26">
        <v>7248685</v>
      </c>
      <c r="C196" s="26">
        <v>5541989632</v>
      </c>
      <c r="D196" s="26">
        <v>3</v>
      </c>
      <c r="E196" s="26" t="s">
        <v>334</v>
      </c>
      <c r="F196" s="85">
        <v>42</v>
      </c>
      <c r="G196" s="26" t="s">
        <v>283</v>
      </c>
      <c r="H196" s="26" t="s">
        <v>64</v>
      </c>
      <c r="I196" s="26" t="s">
        <v>65</v>
      </c>
      <c r="J196" s="26">
        <v>42</v>
      </c>
      <c r="K196" s="26">
        <v>7609082</v>
      </c>
      <c r="L196" s="26" t="s">
        <v>335</v>
      </c>
      <c r="M196" s="26" t="s">
        <v>29</v>
      </c>
      <c r="N196" s="48">
        <f>IF(_Shipments[[#This Row],[Embalagem]]="Big Bag",_Shipments[[#This Row],[Qtd.]]*_Shipments[[#This Row],[Qtde. sacos/palete]],_Shipments[[#This Row],[Qtd.]])</f>
        <v>42</v>
      </c>
      <c r="O196" s="49">
        <f>_xlfn.XLOOKUP(_Shipments[[#This Row],[CLN]],[2]Dados!$D:$D,[2]Dados!$R:$R,"-")</f>
        <v>70</v>
      </c>
      <c r="P196" s="49" t="str" cm="1">
        <f t="array" ref="P196">_xlfn.LET(_xlpm.t,_xlfn.XLOOKUP(_Shipments[[#This Row],[CLN]],[2]Dados!$D:$D,[2]Dados!$Q:$Q,"-"),_xlfn.IFS(LEFT(_xlpm.t,3)="PAS","Saco",LEFT(_xlpm.t,3)="PBT","Big Bag",TRUE,"-"))</f>
        <v>Saco</v>
      </c>
      <c r="Q196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13.57</v>
      </c>
      <c r="R196" s="89">
        <f>IF(_Shipments[[#This Row],[Embalagem]]="Big Bag",_Shipments[[#This Row],[Qtd.]],ROUNDUP(_Shipments[[#This Row],[Qtd.]]/_Shipments[[#This Row],[Qtde. sacos/palete]],0))</f>
        <v>1</v>
      </c>
      <c r="S196" s="26" t="s">
        <v>360</v>
      </c>
      <c r="T196" s="51">
        <v>34998133614</v>
      </c>
      <c r="U196" s="26" t="s">
        <v>361</v>
      </c>
      <c r="V196" s="26" t="s">
        <v>362</v>
      </c>
      <c r="W196" s="26" t="s">
        <v>126</v>
      </c>
    </row>
    <row r="197" spans="1:23" x14ac:dyDescent="0.25">
      <c r="A197" s="47">
        <f>_xlfn.XLOOKUP(_Shipments[[#This Row],[Shipment]],[1]Report!$G:$G,[1]Report!$B:$B,"-")</f>
        <v>46295.333333333336</v>
      </c>
      <c r="B197" s="26">
        <v>7248712</v>
      </c>
      <c r="C197" s="26">
        <v>5541989199</v>
      </c>
      <c r="D197" s="26">
        <v>1</v>
      </c>
      <c r="E197" s="26" t="s">
        <v>252</v>
      </c>
      <c r="F197" s="85">
        <v>600</v>
      </c>
      <c r="G197" s="26" t="s">
        <v>253</v>
      </c>
      <c r="H197" s="26" t="s">
        <v>254</v>
      </c>
      <c r="I197" s="26" t="s">
        <v>65</v>
      </c>
      <c r="J197" s="26">
        <v>600</v>
      </c>
      <c r="K197" s="26">
        <v>7571352</v>
      </c>
      <c r="L197" s="26" t="s">
        <v>319</v>
      </c>
      <c r="M197" s="26" t="s">
        <v>32</v>
      </c>
      <c r="N197" s="48">
        <f>IF(_Shipments[[#This Row],[Embalagem]]="Big Bag",_Shipments[[#This Row],[Qtd.]]*_Shipments[[#This Row],[Qtde. sacos/palete]],_Shipments[[#This Row],[Qtd.]])</f>
        <v>600</v>
      </c>
      <c r="O197" s="49">
        <f>_xlfn.XLOOKUP(_Shipments[[#This Row],[CLN]],[2]Dados!$D:$D,[2]Dados!$R:$R,"-")</f>
        <v>60</v>
      </c>
      <c r="P197" s="49" t="str" cm="1">
        <f t="array" ref="P197">_xlfn.LET(_xlpm.t,_xlfn.XLOOKUP(_Shipments[[#This Row],[CLN]],[2]Dados!$D:$D,[2]Dados!$Q:$Q,"-"),_xlfn.IFS(LEFT(_xlpm.t,3)="PAS","Saco",LEFT(_xlpm.t,3)="PBT","Big Bag",TRUE,"-"))</f>
        <v>Saco</v>
      </c>
      <c r="Q197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16.12</v>
      </c>
      <c r="R197" s="89">
        <f>IF(_Shipments[[#This Row],[Embalagem]]="Big Bag",_Shipments[[#This Row],[Qtd.]],ROUNDUP(_Shipments[[#This Row],[Qtd.]]/_Shipments[[#This Row],[Qtde. sacos/palete]],0))</f>
        <v>10</v>
      </c>
      <c r="S197" s="26" t="s">
        <v>338</v>
      </c>
      <c r="T197" s="51">
        <v>34991525469</v>
      </c>
      <c r="U197" s="26" t="s">
        <v>340</v>
      </c>
      <c r="V197" s="26" t="s">
        <v>339</v>
      </c>
      <c r="W197" s="26" t="s">
        <v>126</v>
      </c>
    </row>
    <row r="198" spans="1:23" x14ac:dyDescent="0.25">
      <c r="A198" s="47">
        <f>_xlfn.XLOOKUP(_Shipments[[#This Row],[Shipment]],[1]Report!$G:$G,[1]Report!$B:$B,"-")</f>
        <v>46295.333333333336</v>
      </c>
      <c r="B198" s="26">
        <v>7248712</v>
      </c>
      <c r="C198" s="26">
        <v>5541989199</v>
      </c>
      <c r="D198" s="26">
        <v>2</v>
      </c>
      <c r="E198" s="26" t="s">
        <v>327</v>
      </c>
      <c r="F198" s="85">
        <v>10</v>
      </c>
      <c r="G198" s="26" t="s">
        <v>253</v>
      </c>
      <c r="H198" s="26" t="s">
        <v>254</v>
      </c>
      <c r="I198" s="26" t="s">
        <v>65</v>
      </c>
      <c r="J198" s="26">
        <v>10</v>
      </c>
      <c r="K198" s="26">
        <v>7600823</v>
      </c>
      <c r="L198" s="26" t="s">
        <v>336</v>
      </c>
      <c r="M198" s="26" t="s">
        <v>43</v>
      </c>
      <c r="N198" s="48">
        <f>IF(_Shipments[[#This Row],[Embalagem]]="Big Bag",_Shipments[[#This Row],[Qtd.]]*_Shipments[[#This Row],[Qtde. sacos/palete]],_Shipments[[#This Row],[Qtd.]])</f>
        <v>500</v>
      </c>
      <c r="O198" s="49">
        <f>_xlfn.XLOOKUP(_Shipments[[#This Row],[CLN]],[2]Dados!$D:$D,[2]Dados!$R:$R,"-")</f>
        <v>50</v>
      </c>
      <c r="P198" s="49" t="str" cm="1">
        <f t="array" ref="P198">_xlfn.LET(_xlpm.t,_xlfn.XLOOKUP(_Shipments[[#This Row],[CLN]],[2]Dados!$D:$D,[2]Dados!$Q:$Q,"-"),_xlfn.IFS(LEFT(_xlpm.t,3)="PAS","Saco",LEFT(_xlpm.t,3)="PBT","Big Bag",TRUE,"-"))</f>
        <v>Big Bag</v>
      </c>
      <c r="Q198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707.5</v>
      </c>
      <c r="R198" s="89">
        <f>IF(_Shipments[[#This Row],[Embalagem]]="Big Bag",_Shipments[[#This Row],[Qtd.]],ROUNDUP(_Shipments[[#This Row],[Qtd.]]/_Shipments[[#This Row],[Qtde. sacos/palete]],0))</f>
        <v>10</v>
      </c>
      <c r="S198" s="26" t="s">
        <v>338</v>
      </c>
      <c r="T198" s="51">
        <v>34991525469</v>
      </c>
      <c r="U198" s="26" t="s">
        <v>340</v>
      </c>
      <c r="V198" s="26" t="s">
        <v>339</v>
      </c>
      <c r="W198" s="26" t="s">
        <v>126</v>
      </c>
    </row>
    <row r="199" spans="1:23" x14ac:dyDescent="0.25">
      <c r="A199" s="47">
        <f>_xlfn.XLOOKUP(_Shipments[[#This Row],[Shipment]],[1]Report!$G:$G,[1]Report!$B:$B,"-")</f>
        <v>46294.333333333336</v>
      </c>
      <c r="B199" s="26">
        <v>7251557</v>
      </c>
      <c r="C199" s="26">
        <v>5541991011</v>
      </c>
      <c r="D199" s="26">
        <v>1</v>
      </c>
      <c r="E199" s="26" t="s">
        <v>252</v>
      </c>
      <c r="F199" s="85">
        <v>1177</v>
      </c>
      <c r="G199" s="26" t="s">
        <v>253</v>
      </c>
      <c r="H199" s="26" t="s">
        <v>254</v>
      </c>
      <c r="I199" s="26" t="s">
        <v>65</v>
      </c>
      <c r="J199" s="26">
        <v>1177</v>
      </c>
      <c r="K199" s="26">
        <v>7571351</v>
      </c>
      <c r="L199" s="26" t="s">
        <v>337</v>
      </c>
      <c r="M199" s="26" t="s">
        <v>32</v>
      </c>
      <c r="N199" s="48">
        <f>IF(_Shipments[[#This Row],[Embalagem]]="Big Bag",_Shipments[[#This Row],[Qtd.]]*_Shipments[[#This Row],[Qtde. sacos/palete]],_Shipments[[#This Row],[Qtd.]])</f>
        <v>1177</v>
      </c>
      <c r="O199" s="49">
        <f>_xlfn.XLOOKUP(_Shipments[[#This Row],[CLN]],[2]Dados!$D:$D,[2]Dados!$R:$R,"-")</f>
        <v>60</v>
      </c>
      <c r="P199" s="49" t="str" cm="1">
        <f t="array" ref="P199">_xlfn.LET(_xlpm.t,_xlfn.XLOOKUP(_Shipments[[#This Row],[CLN]],[2]Dados!$D:$D,[2]Dados!$Q:$Q,"-"),_xlfn.IFS(LEFT(_xlpm.t,3)="PAS","Saco",LEFT(_xlpm.t,3)="PBT","Big Bag",TRUE,"-"))</f>
        <v>Saco</v>
      </c>
      <c r="Q199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15.87</v>
      </c>
      <c r="R199" s="89">
        <f>IF(_Shipments[[#This Row],[Embalagem]]="Big Bag",_Shipments[[#This Row],[Qtd.]],ROUNDUP(_Shipments[[#This Row],[Qtd.]]/_Shipments[[#This Row],[Qtde. sacos/palete]],0))</f>
        <v>20</v>
      </c>
      <c r="S199" s="26" t="s">
        <v>141</v>
      </c>
      <c r="T199" s="51">
        <v>34999810409</v>
      </c>
      <c r="U199" s="26" t="s">
        <v>142</v>
      </c>
      <c r="V199" s="26" t="s">
        <v>143</v>
      </c>
      <c r="W199" s="26" t="s">
        <v>126</v>
      </c>
    </row>
    <row r="200" spans="1:23" x14ac:dyDescent="0.25">
      <c r="A200" s="47">
        <f>_xlfn.XLOOKUP(_Shipments[[#This Row],[Shipment]],[1]Report!$G:$G,[1]Report!$B:$B,"-")</f>
        <v>46297.333333333336</v>
      </c>
      <c r="B200" s="26">
        <v>7253432</v>
      </c>
      <c r="C200" s="26">
        <v>5541992131</v>
      </c>
      <c r="D200" s="26">
        <v>1</v>
      </c>
      <c r="E200" s="26" t="s">
        <v>331</v>
      </c>
      <c r="F200" s="26">
        <v>5</v>
      </c>
      <c r="G200" s="26" t="s">
        <v>283</v>
      </c>
      <c r="H200" s="26" t="s">
        <v>64</v>
      </c>
      <c r="I200" s="26" t="s">
        <v>65</v>
      </c>
      <c r="J200" s="26">
        <v>5</v>
      </c>
      <c r="K200" s="26">
        <v>7600752</v>
      </c>
      <c r="L200" s="26" t="s">
        <v>341</v>
      </c>
      <c r="M200" s="26" t="s">
        <v>46</v>
      </c>
      <c r="N200" s="48">
        <f>IF(_Shipments[[#This Row],[Embalagem]]="Big Bag",_Shipments[[#This Row],[Qtd.]]*_Shipments[[#This Row],[Qtde. sacos/palete]],_Shipments[[#This Row],[Qtd.]])</f>
        <v>250</v>
      </c>
      <c r="O200" s="49">
        <f>_xlfn.XLOOKUP(_Shipments[[#This Row],[CLN]],[2]Dados!$D:$D,[2]Dados!$R:$R,"-")</f>
        <v>50</v>
      </c>
      <c r="P200" s="49" t="str" cm="1">
        <f t="array" ref="P200">_xlfn.LET(_xlpm.t,_xlfn.XLOOKUP(_Shipments[[#This Row],[CLN]],[2]Dados!$D:$D,[2]Dados!$Q:$Q,"-"),_xlfn.IFS(LEFT(_xlpm.t,3)="PAS","Saco",LEFT(_xlpm.t,3)="PBT","Big Bag",TRUE,"-"))</f>
        <v>Big Bag</v>
      </c>
      <c r="Q200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834.50000000000011</v>
      </c>
      <c r="R200" s="89">
        <f>IF(_Shipments[[#This Row],[Embalagem]]="Big Bag",_Shipments[[#This Row],[Qtd.]],ROUNDUP(_Shipments[[#This Row],[Qtd.]]/_Shipments[[#This Row],[Qtde. sacos/palete]],0))</f>
        <v>5</v>
      </c>
      <c r="W200" s="26" t="s">
        <v>126</v>
      </c>
    </row>
    <row r="201" spans="1:23" x14ac:dyDescent="0.25">
      <c r="A201" s="47">
        <f>_xlfn.XLOOKUP(_Shipments[[#This Row],[Shipment]],[1]Report!$G:$G,[1]Report!$B:$B,"-")</f>
        <v>46297.333333333336</v>
      </c>
      <c r="B201" s="26">
        <v>7253432</v>
      </c>
      <c r="C201" s="26">
        <v>5541992131</v>
      </c>
      <c r="D201" s="26">
        <v>2</v>
      </c>
      <c r="E201" s="26" t="s">
        <v>331</v>
      </c>
      <c r="F201" s="26">
        <v>16</v>
      </c>
      <c r="G201" s="26" t="s">
        <v>283</v>
      </c>
      <c r="H201" s="26" t="s">
        <v>64</v>
      </c>
      <c r="I201" s="26" t="s">
        <v>65</v>
      </c>
      <c r="J201" s="26">
        <v>16</v>
      </c>
      <c r="K201" s="26">
        <v>7600767</v>
      </c>
      <c r="L201" s="26" t="s">
        <v>342</v>
      </c>
      <c r="M201" s="26" t="s">
        <v>38</v>
      </c>
      <c r="N201" s="48">
        <f>IF(_Shipments[[#This Row],[Embalagem]]="Big Bag",_Shipments[[#This Row],[Qtd.]]*_Shipments[[#This Row],[Qtde. sacos/palete]],_Shipments[[#This Row],[Qtd.]])</f>
        <v>800</v>
      </c>
      <c r="O201" s="49">
        <f>_xlfn.XLOOKUP(_Shipments[[#This Row],[CLN]],[2]Dados!$D:$D,[2]Dados!$R:$R,"-")</f>
        <v>50</v>
      </c>
      <c r="P201" s="49" t="str" cm="1">
        <f t="array" ref="P201">_xlfn.LET(_xlpm.t,_xlfn.XLOOKUP(_Shipments[[#This Row],[CLN]],[2]Dados!$D:$D,[2]Dados!$Q:$Q,"-"),_xlfn.IFS(LEFT(_xlpm.t,3)="PAS","Saco",LEFT(_xlpm.t,3)="PBT","Big Bag",TRUE,"-"))</f>
        <v>Big Bag</v>
      </c>
      <c r="Q201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753</v>
      </c>
      <c r="R201" s="89">
        <f>IF(_Shipments[[#This Row],[Embalagem]]="Big Bag",_Shipments[[#This Row],[Qtd.]],ROUNDUP(_Shipments[[#This Row],[Qtd.]]/_Shipments[[#This Row],[Qtde. sacos/palete]],0))</f>
        <v>16</v>
      </c>
      <c r="W201" s="26" t="s">
        <v>126</v>
      </c>
    </row>
    <row r="202" spans="1:23" x14ac:dyDescent="0.25">
      <c r="A202" s="47">
        <f>_xlfn.XLOOKUP(_Shipments[[#This Row],[Shipment]],[1]Report!$G:$G,[1]Report!$B:$B,"-")</f>
        <v>46297.333333333336</v>
      </c>
      <c r="B202" s="26">
        <v>7248688</v>
      </c>
      <c r="C202" s="26">
        <v>5541989633</v>
      </c>
      <c r="D202" s="26">
        <v>1</v>
      </c>
      <c r="E202" s="26" t="s">
        <v>321</v>
      </c>
      <c r="F202" s="26">
        <v>13</v>
      </c>
      <c r="G202" s="26" t="s">
        <v>283</v>
      </c>
      <c r="H202" s="26" t="s">
        <v>64</v>
      </c>
      <c r="I202" s="26" t="s">
        <v>65</v>
      </c>
      <c r="J202" s="26">
        <v>13</v>
      </c>
      <c r="K202" s="26">
        <v>7600779</v>
      </c>
      <c r="L202" s="26" t="s">
        <v>333</v>
      </c>
      <c r="M202" s="26" t="s">
        <v>29</v>
      </c>
      <c r="N202" s="48">
        <f>IF(_Shipments[[#This Row],[Embalagem]]="Big Bag",_Shipments[[#This Row],[Qtd.]]*_Shipments[[#This Row],[Qtde. sacos/palete]],_Shipments[[#This Row],[Qtd.]])</f>
        <v>650</v>
      </c>
      <c r="O202" s="49">
        <f>_xlfn.XLOOKUP(_Shipments[[#This Row],[CLN]],[2]Dados!$D:$D,[2]Dados!$R:$R,"-")</f>
        <v>50</v>
      </c>
      <c r="P202" s="49" t="str" cm="1">
        <f t="array" ref="P202">_xlfn.LET(_xlpm.t,_xlfn.XLOOKUP(_Shipments[[#This Row],[CLN]],[2]Dados!$D:$D,[2]Dados!$Q:$Q,"-"),_xlfn.IFS(LEFT(_xlpm.t,3)="PAS","Saco",LEFT(_xlpm.t,3)="PBT","Big Bag",TRUE,"-"))</f>
        <v>Big Bag</v>
      </c>
      <c r="Q202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678.5</v>
      </c>
      <c r="R202" s="89">
        <f>IF(_Shipments[[#This Row],[Embalagem]]="Big Bag",_Shipments[[#This Row],[Qtd.]],ROUNDUP(_Shipments[[#This Row],[Qtd.]]/_Shipments[[#This Row],[Qtde. sacos/palete]],0))</f>
        <v>13</v>
      </c>
      <c r="W202" s="26" t="s">
        <v>126</v>
      </c>
    </row>
    <row r="203" spans="1:23" x14ac:dyDescent="0.25">
      <c r="A203" s="47">
        <f>_xlfn.XLOOKUP(_Shipments[[#This Row],[Shipment]],[1]Report!$G:$G,[1]Report!$B:$B,"-")</f>
        <v>46297.333333333336</v>
      </c>
      <c r="B203" s="26">
        <v>7248688</v>
      </c>
      <c r="C203" s="26">
        <v>5541989633</v>
      </c>
      <c r="D203" s="26">
        <v>2</v>
      </c>
      <c r="E203" s="26" t="s">
        <v>343</v>
      </c>
      <c r="F203" s="26">
        <v>13</v>
      </c>
      <c r="G203" s="26" t="s">
        <v>283</v>
      </c>
      <c r="H203" s="26" t="s">
        <v>64</v>
      </c>
      <c r="I203" s="26" t="s">
        <v>65</v>
      </c>
      <c r="J203" s="26">
        <v>13</v>
      </c>
      <c r="K203" s="26">
        <v>7609046</v>
      </c>
      <c r="L203" s="26" t="s">
        <v>344</v>
      </c>
      <c r="M203" s="26" t="s">
        <v>32</v>
      </c>
      <c r="N203" s="48">
        <f>IF(_Shipments[[#This Row],[Embalagem]]="Big Bag",_Shipments[[#This Row],[Qtd.]]*_Shipments[[#This Row],[Qtde. sacos/palete]],_Shipments[[#This Row],[Qtd.]])</f>
        <v>13</v>
      </c>
      <c r="O203" s="49">
        <f>_xlfn.XLOOKUP(_Shipments[[#This Row],[CLN]],[2]Dados!$D:$D,[2]Dados!$R:$R,"-")</f>
        <v>60</v>
      </c>
      <c r="P203" s="49" t="str" cm="1">
        <f t="array" ref="P203">_xlfn.LET(_xlpm.t,_xlfn.XLOOKUP(_Shipments[[#This Row],[CLN]],[2]Dados!$D:$D,[2]Dados!$Q:$Q,"-"),_xlfn.IFS(LEFT(_xlpm.t,3)="PAS","Saco",LEFT(_xlpm.t,3)="PBT","Big Bag",TRUE,"-"))</f>
        <v>Saco</v>
      </c>
      <c r="Q203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15.2</v>
      </c>
      <c r="R203" s="89">
        <f>IF(_Shipments[[#This Row],[Embalagem]]="Big Bag",_Shipments[[#This Row],[Qtd.]],ROUNDUP(_Shipments[[#This Row],[Qtd.]]/_Shipments[[#This Row],[Qtde. sacos/palete]],0))</f>
        <v>1</v>
      </c>
      <c r="W203" s="26" t="s">
        <v>126</v>
      </c>
    </row>
    <row r="204" spans="1:23" x14ac:dyDescent="0.25">
      <c r="A204" s="47">
        <f>_xlfn.XLOOKUP(_Shipments[[#This Row],[Shipment]],[1]Report!$G:$G,[1]Report!$B:$B,"-")</f>
        <v>46297.333333333336</v>
      </c>
      <c r="B204" s="26">
        <v>7248688</v>
      </c>
      <c r="C204" s="26">
        <v>5541989633</v>
      </c>
      <c r="D204" s="26">
        <v>3</v>
      </c>
      <c r="E204" s="26" t="s">
        <v>345</v>
      </c>
      <c r="F204" s="26">
        <v>18</v>
      </c>
      <c r="G204" s="26" t="s">
        <v>283</v>
      </c>
      <c r="H204" s="26" t="s">
        <v>64</v>
      </c>
      <c r="I204" s="26" t="s">
        <v>65</v>
      </c>
      <c r="J204" s="26">
        <v>18</v>
      </c>
      <c r="K204" s="26">
        <v>7609070</v>
      </c>
      <c r="L204" s="26" t="s">
        <v>346</v>
      </c>
      <c r="M204" s="26" t="s">
        <v>38</v>
      </c>
      <c r="N204" s="48">
        <f>IF(_Shipments[[#This Row],[Embalagem]]="Big Bag",_Shipments[[#This Row],[Qtd.]]*_Shipments[[#This Row],[Qtde. sacos/palete]],_Shipments[[#This Row],[Qtd.]])</f>
        <v>18</v>
      </c>
      <c r="O204" s="49">
        <f>_xlfn.XLOOKUP(_Shipments[[#This Row],[CLN]],[2]Dados!$D:$D,[2]Dados!$R:$R,"-")</f>
        <v>60</v>
      </c>
      <c r="P204" s="49" t="str" cm="1">
        <f t="array" ref="P204">_xlfn.LET(_xlpm.t,_xlfn.XLOOKUP(_Shipments[[#This Row],[CLN]],[2]Dados!$D:$D,[2]Dados!$Q:$Q,"-"),_xlfn.IFS(LEFT(_xlpm.t,3)="PAS","Saco",LEFT(_xlpm.t,3)="PBT","Big Bag",TRUE,"-"))</f>
        <v>Saco</v>
      </c>
      <c r="Q204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15.13</v>
      </c>
      <c r="R204" s="89">
        <f>IF(_Shipments[[#This Row],[Embalagem]]="Big Bag",_Shipments[[#This Row],[Qtd.]],ROUNDUP(_Shipments[[#This Row],[Qtd.]]/_Shipments[[#This Row],[Qtde. sacos/palete]],0))</f>
        <v>1</v>
      </c>
      <c r="W204" s="26" t="s">
        <v>126</v>
      </c>
    </row>
    <row r="205" spans="1:23" x14ac:dyDescent="0.25">
      <c r="A205" s="47">
        <f>_xlfn.XLOOKUP(_Shipments[[#This Row],[Shipment]],[1]Report!$G:$G,[1]Report!$B:$B,"-")</f>
        <v>46297.333333333336</v>
      </c>
      <c r="B205" s="26">
        <v>7248688</v>
      </c>
      <c r="C205" s="26">
        <v>5541989633</v>
      </c>
      <c r="D205" s="26">
        <v>4</v>
      </c>
      <c r="E205" s="26" t="s">
        <v>334</v>
      </c>
      <c r="F205" s="26">
        <v>23</v>
      </c>
      <c r="G205" s="26" t="s">
        <v>283</v>
      </c>
      <c r="H205" s="26" t="s">
        <v>64</v>
      </c>
      <c r="I205" s="26" t="s">
        <v>65</v>
      </c>
      <c r="J205" s="26">
        <v>23</v>
      </c>
      <c r="K205" s="26">
        <v>7609089</v>
      </c>
      <c r="L205" s="26" t="s">
        <v>347</v>
      </c>
      <c r="M205" s="26" t="s">
        <v>29</v>
      </c>
      <c r="N205" s="48">
        <f>IF(_Shipments[[#This Row],[Embalagem]]="Big Bag",_Shipments[[#This Row],[Qtd.]]*_Shipments[[#This Row],[Qtde. sacos/palete]],_Shipments[[#This Row],[Qtd.]])</f>
        <v>23</v>
      </c>
      <c r="O205" s="49">
        <f>_xlfn.XLOOKUP(_Shipments[[#This Row],[CLN]],[2]Dados!$D:$D,[2]Dados!$R:$R,"-")</f>
        <v>70</v>
      </c>
      <c r="P205" s="49" t="str" cm="1">
        <f t="array" ref="P205">_xlfn.LET(_xlpm.t,_xlfn.XLOOKUP(_Shipments[[#This Row],[CLN]],[2]Dados!$D:$D,[2]Dados!$Q:$Q,"-"),_xlfn.IFS(LEFT(_xlpm.t,3)="PAS","Saco",LEFT(_xlpm.t,3)="PBT","Big Bag",TRUE,"-"))</f>
        <v>Saco</v>
      </c>
      <c r="Q205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13.53</v>
      </c>
      <c r="R205" s="89">
        <f>IF(_Shipments[[#This Row],[Embalagem]]="Big Bag",_Shipments[[#This Row],[Qtd.]],ROUNDUP(_Shipments[[#This Row],[Qtd.]]/_Shipments[[#This Row],[Qtde. sacos/palete]],0))</f>
        <v>1</v>
      </c>
      <c r="W205" s="26" t="s">
        <v>126</v>
      </c>
    </row>
    <row r="206" spans="1:23" x14ac:dyDescent="0.25">
      <c r="A206" s="47">
        <f>_xlfn.XLOOKUP(_Shipments[[#This Row],[Shipment]],[1]Report!$G:$G,[1]Report!$B:$B,"-")</f>
        <v>46297.333333333336</v>
      </c>
      <c r="B206" s="26">
        <v>7248688</v>
      </c>
      <c r="C206" s="26">
        <v>5541989633</v>
      </c>
      <c r="D206" s="26">
        <v>5</v>
      </c>
      <c r="E206" s="26" t="s">
        <v>334</v>
      </c>
      <c r="F206" s="26">
        <v>41</v>
      </c>
      <c r="G206" s="26" t="s">
        <v>283</v>
      </c>
      <c r="H206" s="26" t="s">
        <v>64</v>
      </c>
      <c r="I206" s="26" t="s">
        <v>65</v>
      </c>
      <c r="J206" s="26">
        <v>41</v>
      </c>
      <c r="K206" s="26">
        <v>7609093</v>
      </c>
      <c r="L206" s="26" t="s">
        <v>348</v>
      </c>
      <c r="M206" s="26" t="s">
        <v>29</v>
      </c>
      <c r="N206" s="48">
        <f>IF(_Shipments[[#This Row],[Embalagem]]="Big Bag",_Shipments[[#This Row],[Qtd.]]*_Shipments[[#This Row],[Qtde. sacos/palete]],_Shipments[[#This Row],[Qtd.]])</f>
        <v>41</v>
      </c>
      <c r="O206" s="49">
        <f>_xlfn.XLOOKUP(_Shipments[[#This Row],[CLN]],[2]Dados!$D:$D,[2]Dados!$R:$R,"-")</f>
        <v>70</v>
      </c>
      <c r="P206" s="49" t="str" cm="1">
        <f t="array" ref="P206">_xlfn.LET(_xlpm.t,_xlfn.XLOOKUP(_Shipments[[#This Row],[CLN]],[2]Dados!$D:$D,[2]Dados!$Q:$Q,"-"),_xlfn.IFS(LEFT(_xlpm.t,3)="PAS","Saco",LEFT(_xlpm.t,3)="PBT","Big Bag",TRUE,"-"))</f>
        <v>Saco</v>
      </c>
      <c r="Q206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13.61</v>
      </c>
      <c r="R206" s="89">
        <f>IF(_Shipments[[#This Row],[Embalagem]]="Big Bag",_Shipments[[#This Row],[Qtd.]],ROUNDUP(_Shipments[[#This Row],[Qtd.]]/_Shipments[[#This Row],[Qtde. sacos/palete]],0))</f>
        <v>1</v>
      </c>
      <c r="W206" s="26" t="s">
        <v>126</v>
      </c>
    </row>
    <row r="207" spans="1:23" x14ac:dyDescent="0.25">
      <c r="A207" s="47">
        <f>_xlfn.XLOOKUP(_Shipments[[#This Row],[Shipment]],[1]Report!$G:$G,[1]Report!$B:$B,"-")</f>
        <v>46297.333333333336</v>
      </c>
      <c r="B207" s="26">
        <v>7248688</v>
      </c>
      <c r="C207" s="26">
        <v>5541989633</v>
      </c>
      <c r="D207" s="26">
        <v>6</v>
      </c>
      <c r="E207" s="26" t="s">
        <v>334</v>
      </c>
      <c r="F207" s="26">
        <v>33</v>
      </c>
      <c r="G207" s="26" t="s">
        <v>283</v>
      </c>
      <c r="H207" s="26" t="s">
        <v>64</v>
      </c>
      <c r="I207" s="26" t="s">
        <v>65</v>
      </c>
      <c r="J207" s="26">
        <v>33</v>
      </c>
      <c r="K207" s="26">
        <v>7609094</v>
      </c>
      <c r="L207" s="26" t="s">
        <v>349</v>
      </c>
      <c r="M207" s="26" t="s">
        <v>29</v>
      </c>
      <c r="N207" s="48">
        <f>IF(_Shipments[[#This Row],[Embalagem]]="Big Bag",_Shipments[[#This Row],[Qtd.]]*_Shipments[[#This Row],[Qtde. sacos/palete]],_Shipments[[#This Row],[Qtd.]])</f>
        <v>33</v>
      </c>
      <c r="O207" s="49">
        <f>_xlfn.XLOOKUP(_Shipments[[#This Row],[CLN]],[2]Dados!$D:$D,[2]Dados!$R:$R,"-")</f>
        <v>70</v>
      </c>
      <c r="P207" s="49" t="str" cm="1">
        <f t="array" ref="P207">_xlfn.LET(_xlpm.t,_xlfn.XLOOKUP(_Shipments[[#This Row],[CLN]],[2]Dados!$D:$D,[2]Dados!$Q:$Q,"-"),_xlfn.IFS(LEFT(_xlpm.t,3)="PAS","Saco",LEFT(_xlpm.t,3)="PBT","Big Bag",TRUE,"-"))</f>
        <v>Saco</v>
      </c>
      <c r="Q207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13.48</v>
      </c>
      <c r="R207" s="89">
        <f>IF(_Shipments[[#This Row],[Embalagem]]="Big Bag",_Shipments[[#This Row],[Qtd.]],ROUNDUP(_Shipments[[#This Row],[Qtd.]]/_Shipments[[#This Row],[Qtde. sacos/palete]],0))</f>
        <v>1</v>
      </c>
      <c r="W207" s="26" t="s">
        <v>126</v>
      </c>
    </row>
    <row r="208" spans="1:23" x14ac:dyDescent="0.25">
      <c r="A208" s="47">
        <f>_xlfn.XLOOKUP(_Shipments[[#This Row],[Shipment]],[1]Report!$G:$G,[1]Report!$B:$B,"-")</f>
        <v>46297.333333333336</v>
      </c>
      <c r="B208" s="26">
        <v>7248688</v>
      </c>
      <c r="C208" s="26">
        <v>5541989633</v>
      </c>
      <c r="D208" s="26">
        <v>7</v>
      </c>
      <c r="E208" s="26" t="s">
        <v>343</v>
      </c>
      <c r="F208" s="26">
        <v>9</v>
      </c>
      <c r="G208" s="26" t="s">
        <v>283</v>
      </c>
      <c r="H208" s="26" t="s">
        <v>64</v>
      </c>
      <c r="I208" s="26" t="s">
        <v>65</v>
      </c>
      <c r="J208" s="26">
        <v>9</v>
      </c>
      <c r="K208" s="26">
        <v>7609117</v>
      </c>
      <c r="L208" s="26" t="s">
        <v>350</v>
      </c>
      <c r="M208" s="26" t="s">
        <v>43</v>
      </c>
      <c r="N208" s="48">
        <f>IF(_Shipments[[#This Row],[Embalagem]]="Big Bag",_Shipments[[#This Row],[Qtd.]]*_Shipments[[#This Row],[Qtde. sacos/palete]],_Shipments[[#This Row],[Qtd.]])</f>
        <v>9</v>
      </c>
      <c r="O208" s="49">
        <f>_xlfn.XLOOKUP(_Shipments[[#This Row],[CLN]],[2]Dados!$D:$D,[2]Dados!$R:$R,"-")</f>
        <v>70</v>
      </c>
      <c r="P208" s="49" t="str" cm="1">
        <f t="array" ref="P208">_xlfn.LET(_xlpm.t,_xlfn.XLOOKUP(_Shipments[[#This Row],[CLN]],[2]Dados!$D:$D,[2]Dados!$Q:$Q,"-"),_xlfn.IFS(LEFT(_xlpm.t,3)="PAS","Saco",LEFT(_xlpm.t,3)="PBT","Big Bag",TRUE,"-"))</f>
        <v>Saco</v>
      </c>
      <c r="Q208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14.15</v>
      </c>
      <c r="R208" s="89">
        <f>IF(_Shipments[[#This Row],[Embalagem]]="Big Bag",_Shipments[[#This Row],[Qtd.]],ROUNDUP(_Shipments[[#This Row],[Qtd.]]/_Shipments[[#This Row],[Qtde. sacos/palete]],0))</f>
        <v>1</v>
      </c>
      <c r="W208" s="26" t="s">
        <v>126</v>
      </c>
    </row>
    <row r="209" spans="1:23" x14ac:dyDescent="0.25">
      <c r="A209" s="47">
        <f>_xlfn.XLOOKUP(_Shipments[[#This Row],[Shipment]],[1]Report!$G:$G,[1]Report!$B:$B,"-")</f>
        <v>46297.375</v>
      </c>
      <c r="B209" s="26">
        <v>7253434</v>
      </c>
      <c r="C209" s="26">
        <v>5541992134</v>
      </c>
      <c r="D209" s="26">
        <v>1</v>
      </c>
      <c r="E209" s="26" t="s">
        <v>327</v>
      </c>
      <c r="F209" s="26">
        <v>17</v>
      </c>
      <c r="G209" s="26" t="s">
        <v>283</v>
      </c>
      <c r="H209" s="26" t="s">
        <v>64</v>
      </c>
      <c r="I209" s="26" t="s">
        <v>65</v>
      </c>
      <c r="J209" s="26">
        <v>17</v>
      </c>
      <c r="K209" s="26">
        <v>7600730</v>
      </c>
      <c r="L209" s="26" t="s">
        <v>351</v>
      </c>
      <c r="M209" s="26" t="s">
        <v>32</v>
      </c>
      <c r="N209" s="48">
        <f>IF(_Shipments[[#This Row],[Embalagem]]="Big Bag",_Shipments[[#This Row],[Qtd.]]*_Shipments[[#This Row],[Qtde. sacos/palete]],_Shipments[[#This Row],[Qtd.]])</f>
        <v>850</v>
      </c>
      <c r="O209" s="49">
        <f>_xlfn.XLOOKUP(_Shipments[[#This Row],[CLN]],[2]Dados!$D:$D,[2]Dados!$R:$R,"-")</f>
        <v>50</v>
      </c>
      <c r="P209" s="49" t="str" cm="1">
        <f t="array" ref="P209">_xlfn.LET(_xlpm.t,_xlfn.XLOOKUP(_Shipments[[#This Row],[CLN]],[2]Dados!$D:$D,[2]Dados!$Q:$Q,"-"),_xlfn.IFS(LEFT(_xlpm.t,3)="PAS","Saco",LEFT(_xlpm.t,3)="PBT","Big Bag",TRUE,"-"))</f>
        <v>Big Bag</v>
      </c>
      <c r="Q209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748.5</v>
      </c>
      <c r="R209" s="89">
        <f>IF(_Shipments[[#This Row],[Embalagem]]="Big Bag",_Shipments[[#This Row],[Qtd.]],ROUNDUP(_Shipments[[#This Row],[Qtd.]]/_Shipments[[#This Row],[Qtde. sacos/palete]],0))</f>
        <v>17</v>
      </c>
      <c r="W209" s="26" t="s">
        <v>126</v>
      </c>
    </row>
    <row r="210" spans="1:23" x14ac:dyDescent="0.25">
      <c r="A210" s="47">
        <f>_xlfn.XLOOKUP(_Shipments[[#This Row],[Shipment]],[1]Report!$G:$G,[1]Report!$B:$B,"-")</f>
        <v>46297.375</v>
      </c>
      <c r="B210" s="26">
        <v>7253434</v>
      </c>
      <c r="C210" s="26">
        <v>5541992134</v>
      </c>
      <c r="D210" s="26">
        <v>2</v>
      </c>
      <c r="E210" s="26" t="s">
        <v>327</v>
      </c>
      <c r="F210" s="26">
        <v>3</v>
      </c>
      <c r="G210" s="26" t="s">
        <v>283</v>
      </c>
      <c r="H210" s="26" t="s">
        <v>64</v>
      </c>
      <c r="I210" s="26" t="s">
        <v>65</v>
      </c>
      <c r="J210" s="26">
        <v>3</v>
      </c>
      <c r="K210" s="26">
        <v>7600731</v>
      </c>
      <c r="L210" s="26" t="s">
        <v>352</v>
      </c>
      <c r="M210" s="26" t="s">
        <v>32</v>
      </c>
      <c r="N210" s="48">
        <f>IF(_Shipments[[#This Row],[Embalagem]]="Big Bag",_Shipments[[#This Row],[Qtd.]]*_Shipments[[#This Row],[Qtde. sacos/palete]],_Shipments[[#This Row],[Qtd.]])</f>
        <v>150</v>
      </c>
      <c r="O210" s="49">
        <f>_xlfn.XLOOKUP(_Shipments[[#This Row],[CLN]],[2]Dados!$D:$D,[2]Dados!$R:$R,"-")</f>
        <v>50</v>
      </c>
      <c r="P210" s="49" t="str" cm="1">
        <f t="array" ref="P210">_xlfn.LET(_xlpm.t,_xlfn.XLOOKUP(_Shipments[[#This Row],[CLN]],[2]Dados!$D:$D,[2]Dados!$Q:$Q,"-"),_xlfn.IFS(LEFT(_xlpm.t,3)="PAS","Saco",LEFT(_xlpm.t,3)="PBT","Big Bag",TRUE,"-"))</f>
        <v>Big Bag</v>
      </c>
      <c r="Q210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748.5</v>
      </c>
      <c r="R210" s="89">
        <f>IF(_Shipments[[#This Row],[Embalagem]]="Big Bag",_Shipments[[#This Row],[Qtd.]],ROUNDUP(_Shipments[[#This Row],[Qtd.]]/_Shipments[[#This Row],[Qtde. sacos/palete]],0))</f>
        <v>3</v>
      </c>
      <c r="W210" s="26" t="s">
        <v>126</v>
      </c>
    </row>
    <row r="211" spans="1:23" x14ac:dyDescent="0.25">
      <c r="A211" s="47">
        <f>_xlfn.XLOOKUP(_Shipments[[#This Row],[Shipment]],[1]Report!$G:$G,[1]Report!$B:$B,"-")</f>
        <v>46297.375</v>
      </c>
      <c r="B211" s="26">
        <v>7253434</v>
      </c>
      <c r="C211" s="26">
        <v>5541992134</v>
      </c>
      <c r="D211" s="26">
        <v>3</v>
      </c>
      <c r="E211" s="26" t="s">
        <v>345</v>
      </c>
      <c r="F211" s="26">
        <v>15</v>
      </c>
      <c r="G211" s="26" t="s">
        <v>283</v>
      </c>
      <c r="H211" s="26" t="s">
        <v>64</v>
      </c>
      <c r="I211" s="26" t="s">
        <v>65</v>
      </c>
      <c r="J211" s="26">
        <v>15</v>
      </c>
      <c r="K211" s="26">
        <v>7609073</v>
      </c>
      <c r="L211" s="26" t="s">
        <v>353</v>
      </c>
      <c r="M211" s="26" t="s">
        <v>38</v>
      </c>
      <c r="N211" s="48">
        <f>IF(_Shipments[[#This Row],[Embalagem]]="Big Bag",_Shipments[[#This Row],[Qtd.]]*_Shipments[[#This Row],[Qtde. sacos/palete]],_Shipments[[#This Row],[Qtd.]])</f>
        <v>15</v>
      </c>
      <c r="O211" s="49">
        <f>_xlfn.XLOOKUP(_Shipments[[#This Row],[CLN]],[2]Dados!$D:$D,[2]Dados!$R:$R,"-")</f>
        <v>60</v>
      </c>
      <c r="P211" s="49" t="str" cm="1">
        <f t="array" ref="P211">_xlfn.LET(_xlpm.t,_xlfn.XLOOKUP(_Shipments[[#This Row],[CLN]],[2]Dados!$D:$D,[2]Dados!$Q:$Q,"-"),_xlfn.IFS(LEFT(_xlpm.t,3)="PAS","Saco",LEFT(_xlpm.t,3)="PBT","Big Bag",TRUE,"-"))</f>
        <v>Saco</v>
      </c>
      <c r="Q211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15.06</v>
      </c>
      <c r="R211" s="89">
        <f>IF(_Shipments[[#This Row],[Embalagem]]="Big Bag",_Shipments[[#This Row],[Qtd.]],ROUNDUP(_Shipments[[#This Row],[Qtd.]]/_Shipments[[#This Row],[Qtde. sacos/palete]],0))</f>
        <v>1</v>
      </c>
      <c r="W211" s="26" t="s">
        <v>126</v>
      </c>
    </row>
    <row r="212" spans="1:23" x14ac:dyDescent="0.25">
      <c r="A212" s="47">
        <f>_xlfn.XLOOKUP(_Shipments[[#This Row],[Shipment]],[1]Report!$G:$G,[1]Report!$B:$B,"-")</f>
        <v>46297.375</v>
      </c>
      <c r="B212" s="26">
        <v>7253436</v>
      </c>
      <c r="C212" s="26">
        <v>5541992141</v>
      </c>
      <c r="D212" s="26">
        <v>1</v>
      </c>
      <c r="E212" s="26" t="s">
        <v>345</v>
      </c>
      <c r="F212" s="26">
        <v>11</v>
      </c>
      <c r="G212" s="26" t="s">
        <v>283</v>
      </c>
      <c r="H212" s="26" t="s">
        <v>64</v>
      </c>
      <c r="I212" s="26" t="s">
        <v>65</v>
      </c>
      <c r="J212" s="26">
        <v>11</v>
      </c>
      <c r="K212" s="26">
        <v>7609075</v>
      </c>
      <c r="L212" s="26" t="s">
        <v>354</v>
      </c>
      <c r="M212" s="26" t="s">
        <v>38</v>
      </c>
      <c r="N212" s="48">
        <f>IF(_Shipments[[#This Row],[Embalagem]]="Big Bag",_Shipments[[#This Row],[Qtd.]]*_Shipments[[#This Row],[Qtde. sacos/palete]],_Shipments[[#This Row],[Qtd.]])</f>
        <v>11</v>
      </c>
      <c r="O212" s="49">
        <f>_xlfn.XLOOKUP(_Shipments[[#This Row],[CLN]],[2]Dados!$D:$D,[2]Dados!$R:$R,"-")</f>
        <v>60</v>
      </c>
      <c r="P212" s="49" t="str" cm="1">
        <f t="array" ref="P212">_xlfn.LET(_xlpm.t,_xlfn.XLOOKUP(_Shipments[[#This Row],[CLN]],[2]Dados!$D:$D,[2]Dados!$Q:$Q,"-"),_xlfn.IFS(LEFT(_xlpm.t,3)="PAS","Saco",LEFT(_xlpm.t,3)="PBT","Big Bag",TRUE,"-"))</f>
        <v>Saco</v>
      </c>
      <c r="Q212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14.96</v>
      </c>
      <c r="R212" s="89">
        <f>IF(_Shipments[[#This Row],[Embalagem]]="Big Bag",_Shipments[[#This Row],[Qtd.]],ROUNDUP(_Shipments[[#This Row],[Qtd.]]/_Shipments[[#This Row],[Qtde. sacos/palete]],0))</f>
        <v>1</v>
      </c>
      <c r="W212" s="26" t="s">
        <v>126</v>
      </c>
    </row>
    <row r="213" spans="1:23" x14ac:dyDescent="0.25">
      <c r="A213" s="47">
        <f>_xlfn.XLOOKUP(_Shipments[[#This Row],[Shipment]],[1]Report!$G:$G,[1]Report!$B:$B,"-")</f>
        <v>46297.375</v>
      </c>
      <c r="B213" s="26">
        <v>7253436</v>
      </c>
      <c r="C213" s="26">
        <v>5541992141</v>
      </c>
      <c r="D213" s="26">
        <v>2</v>
      </c>
      <c r="E213" s="26" t="s">
        <v>355</v>
      </c>
      <c r="F213" s="26">
        <v>714</v>
      </c>
      <c r="G213" s="26" t="s">
        <v>283</v>
      </c>
      <c r="H213" s="26" t="s">
        <v>64</v>
      </c>
      <c r="I213" s="26" t="s">
        <v>65</v>
      </c>
      <c r="J213" s="26">
        <v>714</v>
      </c>
      <c r="K213" s="26">
        <v>7614093</v>
      </c>
      <c r="L213" s="26" t="s">
        <v>356</v>
      </c>
      <c r="M213" s="26" t="s">
        <v>262</v>
      </c>
      <c r="N213" s="48">
        <f>IF(_Shipments[[#This Row],[Embalagem]]="Big Bag",_Shipments[[#This Row],[Qtd.]]*_Shipments[[#This Row],[Qtde. sacos/palete]],_Shipments[[#This Row],[Qtd.]])</f>
        <v>714</v>
      </c>
      <c r="O213" s="49">
        <f>_xlfn.XLOOKUP(_Shipments[[#This Row],[CLN]],[2]Dados!$D:$D,[2]Dados!$R:$R,"-")</f>
        <v>75</v>
      </c>
      <c r="P213" s="49" t="str" cm="1">
        <f t="array" ref="P213">_xlfn.LET(_xlpm.t,_xlfn.XLOOKUP(_Shipments[[#This Row],[CLN]],[2]Dados!$D:$D,[2]Dados!$Q:$Q,"-"),_xlfn.IFS(LEFT(_xlpm.t,3)="PAS","Saco",LEFT(_xlpm.t,3)="PBT","Big Bag",TRUE,"-"))</f>
        <v>Saco</v>
      </c>
      <c r="Q213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12.44</v>
      </c>
      <c r="R213" s="89">
        <f>IF(_Shipments[[#This Row],[Embalagem]]="Big Bag",_Shipments[[#This Row],[Qtd.]],ROUNDUP(_Shipments[[#This Row],[Qtd.]]/_Shipments[[#This Row],[Qtde. sacos/palete]],0))</f>
        <v>10</v>
      </c>
      <c r="W213" s="26" t="s">
        <v>126</v>
      </c>
    </row>
    <row r="214" spans="1:23" x14ac:dyDescent="0.25">
      <c r="A214" s="47">
        <f>_xlfn.XLOOKUP(_Shipments[[#This Row],[Shipment]],[1]Report!$G:$G,[1]Report!$B:$B,"-")</f>
        <v>46297.375</v>
      </c>
      <c r="B214" s="26">
        <v>7253436</v>
      </c>
      <c r="C214" s="26">
        <v>5541992141</v>
      </c>
      <c r="D214" s="26">
        <v>3</v>
      </c>
      <c r="E214" s="26" t="s">
        <v>355</v>
      </c>
      <c r="F214" s="26">
        <v>750</v>
      </c>
      <c r="G214" s="26" t="s">
        <v>283</v>
      </c>
      <c r="H214" s="26" t="s">
        <v>64</v>
      </c>
      <c r="I214" s="26" t="s">
        <v>65</v>
      </c>
      <c r="J214" s="26">
        <v>750</v>
      </c>
      <c r="K214" s="26">
        <v>7614756</v>
      </c>
      <c r="L214" s="26" t="s">
        <v>357</v>
      </c>
      <c r="M214" s="26" t="s">
        <v>262</v>
      </c>
      <c r="N214" s="48">
        <f>IF(_Shipments[[#This Row],[Embalagem]]="Big Bag",_Shipments[[#This Row],[Qtd.]]*_Shipments[[#This Row],[Qtde. sacos/palete]],_Shipments[[#This Row],[Qtd.]])</f>
        <v>750</v>
      </c>
      <c r="O214" s="49">
        <f>_xlfn.XLOOKUP(_Shipments[[#This Row],[CLN]],[2]Dados!$D:$D,[2]Dados!$R:$R,"-")</f>
        <v>75</v>
      </c>
      <c r="P214" s="49" t="str" cm="1">
        <f t="array" ref="P214">_xlfn.LET(_xlpm.t,_xlfn.XLOOKUP(_Shipments[[#This Row],[CLN]],[2]Dados!$D:$D,[2]Dados!$Q:$Q,"-"),_xlfn.IFS(LEFT(_xlpm.t,3)="PAS","Saco",LEFT(_xlpm.t,3)="PBT","Big Bag",TRUE,"-"))</f>
        <v>Saco</v>
      </c>
      <c r="Q214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12.33</v>
      </c>
      <c r="R214" s="89">
        <f>IF(_Shipments[[#This Row],[Embalagem]]="Big Bag",_Shipments[[#This Row],[Qtd.]],ROUNDUP(_Shipments[[#This Row],[Qtd.]]/_Shipments[[#This Row],[Qtde. sacos/palete]],0))</f>
        <v>10</v>
      </c>
      <c r="W214" s="26" t="s">
        <v>126</v>
      </c>
    </row>
    <row r="215" spans="1:23" x14ac:dyDescent="0.25">
      <c r="A215" s="47">
        <f>_xlfn.XLOOKUP(_Shipments[[#This Row],[Shipment]],[1]Report!$G:$G,[1]Report!$B:$B,"-")</f>
        <v>46300.333333333336</v>
      </c>
      <c r="B215" s="26">
        <v>7253439</v>
      </c>
      <c r="C215" s="26">
        <v>5541992144</v>
      </c>
      <c r="D215" s="26">
        <v>1</v>
      </c>
      <c r="E215" s="26" t="s">
        <v>363</v>
      </c>
      <c r="F215" s="26">
        <v>15</v>
      </c>
      <c r="G215" s="26" t="s">
        <v>283</v>
      </c>
      <c r="H215" s="26" t="s">
        <v>64</v>
      </c>
      <c r="I215" s="26" t="s">
        <v>65</v>
      </c>
      <c r="J215" s="26">
        <v>15</v>
      </c>
      <c r="K215" s="26">
        <v>7600718</v>
      </c>
      <c r="L215" s="26" t="s">
        <v>364</v>
      </c>
      <c r="M215" s="26" t="s">
        <v>35</v>
      </c>
      <c r="N215" s="48">
        <f>IF(_Shipments[[#This Row],[Embalagem]]="Big Bag",_Shipments[[#This Row],[Qtd.]]*_Shipments[[#This Row],[Qtde. sacos/palete]],_Shipments[[#This Row],[Qtd.]])</f>
        <v>750</v>
      </c>
      <c r="O215" s="49">
        <f>_xlfn.XLOOKUP(_Shipments[[#This Row],[CLN]],[2]Dados!$D:$D,[2]Dados!$R:$R,"-")</f>
        <v>50</v>
      </c>
      <c r="P215" s="49" t="str" cm="1">
        <f t="array" ref="P215">_xlfn.LET(_xlpm.t,_xlfn.XLOOKUP(_Shipments[[#This Row],[CLN]],[2]Dados!$D:$D,[2]Dados!$Q:$Q,"-"),_xlfn.IFS(LEFT(_xlpm.t,3)="PAS","Saco",LEFT(_xlpm.t,3)="PBT","Big Bag",TRUE,"-"))</f>
        <v>Big Bag</v>
      </c>
      <c r="Q215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863.00000000000011</v>
      </c>
      <c r="R215" s="89">
        <f>IF(_Shipments[[#This Row],[Embalagem]]="Big Bag",_Shipments[[#This Row],[Qtd.]],ROUNDUP(_Shipments[[#This Row],[Qtd.]]/_Shipments[[#This Row],[Qtde. sacos/palete]],0))</f>
        <v>15</v>
      </c>
      <c r="W215" s="26" t="s">
        <v>126</v>
      </c>
    </row>
    <row r="216" spans="1:23" x14ac:dyDescent="0.25">
      <c r="A216" s="47">
        <f>_xlfn.XLOOKUP(_Shipments[[#This Row],[Shipment]],[1]Report!$G:$G,[1]Report!$B:$B,"-")</f>
        <v>46300.333333333336</v>
      </c>
      <c r="B216" s="26">
        <v>7253439</v>
      </c>
      <c r="C216" s="26">
        <v>5541992144</v>
      </c>
      <c r="D216" s="26">
        <v>2</v>
      </c>
      <c r="E216" s="26" t="s">
        <v>365</v>
      </c>
      <c r="F216" s="26">
        <v>24</v>
      </c>
      <c r="G216" s="26" t="s">
        <v>283</v>
      </c>
      <c r="H216" s="26" t="s">
        <v>64</v>
      </c>
      <c r="I216" s="26" t="s">
        <v>65</v>
      </c>
      <c r="J216" s="26">
        <v>24</v>
      </c>
      <c r="K216" s="26">
        <v>7609035</v>
      </c>
      <c r="L216" s="26" t="s">
        <v>366</v>
      </c>
      <c r="M216" s="26" t="s">
        <v>35</v>
      </c>
      <c r="N216" s="48">
        <f>IF(_Shipments[[#This Row],[Embalagem]]="Big Bag",_Shipments[[#This Row],[Qtd.]]*_Shipments[[#This Row],[Qtde. sacos/palete]],_Shipments[[#This Row],[Qtd.]])</f>
        <v>24</v>
      </c>
      <c r="O216" s="49">
        <f>_xlfn.XLOOKUP(_Shipments[[#This Row],[CLN]],[2]Dados!$D:$D,[2]Dados!$R:$R,"-")</f>
        <v>60</v>
      </c>
      <c r="P216" s="49" t="str" cm="1">
        <f t="array" ref="P216">_xlfn.LET(_xlpm.t,_xlfn.XLOOKUP(_Shipments[[#This Row],[CLN]],[2]Dados!$D:$D,[2]Dados!$Q:$Q,"-"),_xlfn.IFS(LEFT(_xlpm.t,3)="PAS","Saco",LEFT(_xlpm.t,3)="PBT","Big Bag",TRUE,"-"))</f>
        <v>Saco</v>
      </c>
      <c r="Q216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17.260000000000002</v>
      </c>
      <c r="R216" s="89">
        <f>IF(_Shipments[[#This Row],[Embalagem]]="Big Bag",_Shipments[[#This Row],[Qtd.]],ROUNDUP(_Shipments[[#This Row],[Qtd.]]/_Shipments[[#This Row],[Qtde. sacos/palete]],0))</f>
        <v>1</v>
      </c>
      <c r="W216" s="26" t="s">
        <v>126</v>
      </c>
    </row>
    <row r="217" spans="1:23" x14ac:dyDescent="0.25">
      <c r="A217" s="47">
        <f>_xlfn.XLOOKUP(_Shipments[[#This Row],[Shipment]],[1]Report!$G:$G,[1]Report!$B:$B,"-")</f>
        <v>46300.333333333336</v>
      </c>
      <c r="B217" s="26">
        <v>7253439</v>
      </c>
      <c r="C217" s="26">
        <v>5541992144</v>
      </c>
      <c r="D217" s="26">
        <v>3</v>
      </c>
      <c r="E217" s="26" t="s">
        <v>355</v>
      </c>
      <c r="F217" s="26">
        <v>318</v>
      </c>
      <c r="G217" s="26" t="s">
        <v>283</v>
      </c>
      <c r="H217" s="26" t="s">
        <v>64</v>
      </c>
      <c r="I217" s="26" t="s">
        <v>65</v>
      </c>
      <c r="J217" s="26">
        <v>318</v>
      </c>
      <c r="K217" s="26">
        <v>7616583</v>
      </c>
      <c r="L217" s="26" t="s">
        <v>367</v>
      </c>
      <c r="M217" s="26" t="s">
        <v>262</v>
      </c>
      <c r="N217" s="48">
        <f>IF(_Shipments[[#This Row],[Embalagem]]="Big Bag",_Shipments[[#This Row],[Qtd.]]*_Shipments[[#This Row],[Qtde. sacos/palete]],_Shipments[[#This Row],[Qtd.]])</f>
        <v>318</v>
      </c>
      <c r="O217" s="49">
        <f>_xlfn.XLOOKUP(_Shipments[[#This Row],[CLN]],[2]Dados!$D:$D,[2]Dados!$R:$R,"-")</f>
        <v>75</v>
      </c>
      <c r="P217" s="49" t="str" cm="1">
        <f t="array" ref="P217">_xlfn.LET(_xlpm.t,_xlfn.XLOOKUP(_Shipments[[#This Row],[CLN]],[2]Dados!$D:$D,[2]Dados!$Q:$Q,"-"),_xlfn.IFS(LEFT(_xlpm.t,3)="PAS","Saco",LEFT(_xlpm.t,3)="PBT","Big Bag",TRUE,"-"))</f>
        <v>Saco</v>
      </c>
      <c r="Q217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11.32</v>
      </c>
      <c r="R217" s="89">
        <f>IF(_Shipments[[#This Row],[Embalagem]]="Big Bag",_Shipments[[#This Row],[Qtd.]],ROUNDUP(_Shipments[[#This Row],[Qtd.]]/_Shipments[[#This Row],[Qtde. sacos/palete]],0))</f>
        <v>5</v>
      </c>
      <c r="W217" s="26" t="s">
        <v>126</v>
      </c>
    </row>
    <row r="218" spans="1:23" x14ac:dyDescent="0.25">
      <c r="A218" s="47">
        <f>_xlfn.XLOOKUP(_Shipments[[#This Row],[Shipment]],[1]Report!$G:$G,[1]Report!$B:$B,"-")</f>
        <v>46300.333333333336</v>
      </c>
      <c r="B218" s="26">
        <v>7253442</v>
      </c>
      <c r="C218" s="26">
        <v>5541992145</v>
      </c>
      <c r="D218" s="26">
        <v>1</v>
      </c>
      <c r="E218" s="26" t="s">
        <v>329</v>
      </c>
      <c r="F218" s="26">
        <v>11</v>
      </c>
      <c r="G218" s="26" t="s">
        <v>283</v>
      </c>
      <c r="H218" s="26" t="s">
        <v>64</v>
      </c>
      <c r="I218" s="26" t="s">
        <v>65</v>
      </c>
      <c r="J218" s="26">
        <v>11</v>
      </c>
      <c r="K218" s="26">
        <v>7600742</v>
      </c>
      <c r="L218" s="26" t="s">
        <v>368</v>
      </c>
      <c r="M218" s="26" t="s">
        <v>270</v>
      </c>
      <c r="N218" s="48">
        <f>IF(_Shipments[[#This Row],[Embalagem]]="Big Bag",_Shipments[[#This Row],[Qtd.]]*_Shipments[[#This Row],[Qtde. sacos/palete]],_Shipments[[#This Row],[Qtd.]])</f>
        <v>550</v>
      </c>
      <c r="O218" s="49">
        <f>_xlfn.XLOOKUP(_Shipments[[#This Row],[CLN]],[2]Dados!$D:$D,[2]Dados!$R:$R,"-")</f>
        <v>50</v>
      </c>
      <c r="P218" s="49" t="str" cm="1">
        <f t="array" ref="P218">_xlfn.LET(_xlpm.t,_xlfn.XLOOKUP(_Shipments[[#This Row],[CLN]],[2]Dados!$D:$D,[2]Dados!$Q:$Q,"-"),_xlfn.IFS(LEFT(_xlpm.t,3)="PAS","Saco",LEFT(_xlpm.t,3)="PBT","Big Bag",TRUE,"-"))</f>
        <v>Big Bag</v>
      </c>
      <c r="Q218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674.5</v>
      </c>
      <c r="R218" s="89">
        <f>IF(_Shipments[[#This Row],[Embalagem]]="Big Bag",_Shipments[[#This Row],[Qtd.]],ROUNDUP(_Shipments[[#This Row],[Qtd.]]/_Shipments[[#This Row],[Qtde. sacos/palete]],0))</f>
        <v>11</v>
      </c>
      <c r="W218" s="26" t="s">
        <v>126</v>
      </c>
    </row>
    <row r="219" spans="1:23" x14ac:dyDescent="0.25">
      <c r="A219" s="47">
        <f>_xlfn.XLOOKUP(_Shipments[[#This Row],[Shipment]],[1]Report!$G:$G,[1]Report!$B:$B,"-")</f>
        <v>46300.333333333336</v>
      </c>
      <c r="B219" s="26">
        <v>7253442</v>
      </c>
      <c r="C219" s="26">
        <v>5541992145</v>
      </c>
      <c r="D219" s="26">
        <v>2</v>
      </c>
      <c r="E219" s="26" t="s">
        <v>331</v>
      </c>
      <c r="F219" s="26">
        <v>9</v>
      </c>
      <c r="G219" s="26" t="s">
        <v>283</v>
      </c>
      <c r="H219" s="26" t="s">
        <v>64</v>
      </c>
      <c r="I219" s="26" t="s">
        <v>65</v>
      </c>
      <c r="J219" s="26">
        <v>9</v>
      </c>
      <c r="K219" s="26">
        <v>7600768</v>
      </c>
      <c r="L219" s="26" t="s">
        <v>369</v>
      </c>
      <c r="M219" s="26" t="s">
        <v>38</v>
      </c>
      <c r="N219" s="48">
        <f>IF(_Shipments[[#This Row],[Embalagem]]="Big Bag",_Shipments[[#This Row],[Qtd.]]*_Shipments[[#This Row],[Qtde. sacos/palete]],_Shipments[[#This Row],[Qtd.]])</f>
        <v>450</v>
      </c>
      <c r="O219" s="49">
        <f>_xlfn.XLOOKUP(_Shipments[[#This Row],[CLN]],[2]Dados!$D:$D,[2]Dados!$R:$R,"-")</f>
        <v>50</v>
      </c>
      <c r="P219" s="49" t="str" cm="1">
        <f t="array" ref="P219">_xlfn.LET(_xlpm.t,_xlfn.XLOOKUP(_Shipments[[#This Row],[CLN]],[2]Dados!$D:$D,[2]Dados!$Q:$Q,"-"),_xlfn.IFS(LEFT(_xlpm.t,3)="PAS","Saco",LEFT(_xlpm.t,3)="PBT","Big Bag",TRUE,"-"))</f>
        <v>Big Bag</v>
      </c>
      <c r="Q219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748</v>
      </c>
      <c r="R219" s="89">
        <f>IF(_Shipments[[#This Row],[Embalagem]]="Big Bag",_Shipments[[#This Row],[Qtd.]],ROUNDUP(_Shipments[[#This Row],[Qtd.]]/_Shipments[[#This Row],[Qtde. sacos/palete]],0))</f>
        <v>9</v>
      </c>
      <c r="W219" s="26" t="s">
        <v>126</v>
      </c>
    </row>
    <row r="220" spans="1:23" x14ac:dyDescent="0.25">
      <c r="A220" s="47">
        <f>_xlfn.XLOOKUP(_Shipments[[#This Row],[Shipment]],[1]Report!$G:$G,[1]Report!$B:$B,"-")</f>
        <v>46300.333333333336</v>
      </c>
      <c r="B220" s="26">
        <v>7253442</v>
      </c>
      <c r="C220" s="26">
        <v>5541992145</v>
      </c>
      <c r="D220" s="26">
        <v>3</v>
      </c>
      <c r="E220" s="26" t="s">
        <v>345</v>
      </c>
      <c r="F220" s="26">
        <v>38</v>
      </c>
      <c r="G220" s="26" t="s">
        <v>283</v>
      </c>
      <c r="H220" s="26" t="s">
        <v>64</v>
      </c>
      <c r="I220" s="26" t="s">
        <v>65</v>
      </c>
      <c r="J220" s="26">
        <v>38</v>
      </c>
      <c r="K220" s="26">
        <v>7609071</v>
      </c>
      <c r="L220" s="26" t="s">
        <v>370</v>
      </c>
      <c r="M220" s="26" t="s">
        <v>38</v>
      </c>
      <c r="N220" s="48">
        <f>IF(_Shipments[[#This Row],[Embalagem]]="Big Bag",_Shipments[[#This Row],[Qtd.]]*_Shipments[[#This Row],[Qtde. sacos/palete]],_Shipments[[#This Row],[Qtd.]])</f>
        <v>38</v>
      </c>
      <c r="O220" s="49">
        <f>_xlfn.XLOOKUP(_Shipments[[#This Row],[CLN]],[2]Dados!$D:$D,[2]Dados!$R:$R,"-")</f>
        <v>60</v>
      </c>
      <c r="P220" s="49" t="str" cm="1">
        <f t="array" ref="P220">_xlfn.LET(_xlpm.t,_xlfn.XLOOKUP(_Shipments[[#This Row],[CLN]],[2]Dados!$D:$D,[2]Dados!$Q:$Q,"-"),_xlfn.IFS(LEFT(_xlpm.t,3)="PAS","Saco",LEFT(_xlpm.t,3)="PBT","Big Bag",TRUE,"-"))</f>
        <v>Saco</v>
      </c>
      <c r="Q220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14.97</v>
      </c>
      <c r="R220" s="89">
        <f>IF(_Shipments[[#This Row],[Embalagem]]="Big Bag",_Shipments[[#This Row],[Qtd.]],ROUNDUP(_Shipments[[#This Row],[Qtd.]]/_Shipments[[#This Row],[Qtde. sacos/palete]],0))</f>
        <v>1</v>
      </c>
      <c r="W220" s="26" t="s">
        <v>126</v>
      </c>
    </row>
    <row r="221" spans="1:23" x14ac:dyDescent="0.25">
      <c r="A221" s="47">
        <f>_xlfn.XLOOKUP(_Shipments[[#This Row],[Shipment]],[1]Report!$G:$G,[1]Report!$B:$B,"-")</f>
        <v>46300.375</v>
      </c>
      <c r="B221" s="26">
        <v>7253445</v>
      </c>
      <c r="C221" s="26">
        <v>5541992152</v>
      </c>
      <c r="D221" s="26">
        <v>1</v>
      </c>
      <c r="E221" s="26" t="s">
        <v>331</v>
      </c>
      <c r="F221" s="26">
        <v>14</v>
      </c>
      <c r="G221" s="26" t="s">
        <v>283</v>
      </c>
      <c r="H221" s="26" t="s">
        <v>64</v>
      </c>
      <c r="I221" s="26" t="s">
        <v>65</v>
      </c>
      <c r="J221" s="26">
        <v>14</v>
      </c>
      <c r="K221" s="26">
        <v>7600766</v>
      </c>
      <c r="L221" s="26" t="s">
        <v>371</v>
      </c>
      <c r="M221" s="26" t="s">
        <v>38</v>
      </c>
      <c r="N221" s="48">
        <f>IF(_Shipments[[#This Row],[Embalagem]]="Big Bag",_Shipments[[#This Row],[Qtd.]]*_Shipments[[#This Row],[Qtde. sacos/palete]],_Shipments[[#This Row],[Qtd.]])</f>
        <v>700</v>
      </c>
      <c r="O221" s="49">
        <f>_xlfn.XLOOKUP(_Shipments[[#This Row],[CLN]],[2]Dados!$D:$D,[2]Dados!$R:$R,"-")</f>
        <v>50</v>
      </c>
      <c r="P221" s="49" t="str" cm="1">
        <f t="array" ref="P221">_xlfn.LET(_xlpm.t,_xlfn.XLOOKUP(_Shipments[[#This Row],[CLN]],[2]Dados!$D:$D,[2]Dados!$Q:$Q,"-"),_xlfn.IFS(LEFT(_xlpm.t,3)="PAS","Saco",LEFT(_xlpm.t,3)="PBT","Big Bag",TRUE,"-"))</f>
        <v>Big Bag</v>
      </c>
      <c r="Q221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748.5</v>
      </c>
      <c r="R221" s="89">
        <f>IF(_Shipments[[#This Row],[Embalagem]]="Big Bag",_Shipments[[#This Row],[Qtd.]],ROUNDUP(_Shipments[[#This Row],[Qtd.]]/_Shipments[[#This Row],[Qtde. sacos/palete]],0))</f>
        <v>14</v>
      </c>
      <c r="W221" s="26" t="s">
        <v>126</v>
      </c>
    </row>
    <row r="222" spans="1:23" x14ac:dyDescent="0.25">
      <c r="A222" s="47">
        <f>_xlfn.XLOOKUP(_Shipments[[#This Row],[Shipment]],[1]Report!$G:$G,[1]Report!$B:$B,"-")</f>
        <v>46300.375</v>
      </c>
      <c r="B222" s="26">
        <v>7253445</v>
      </c>
      <c r="C222" s="26">
        <v>5541992152</v>
      </c>
      <c r="D222" s="26">
        <v>2</v>
      </c>
      <c r="E222" s="26" t="s">
        <v>355</v>
      </c>
      <c r="F222" s="26">
        <v>525</v>
      </c>
      <c r="G222" s="26" t="s">
        <v>283</v>
      </c>
      <c r="H222" s="26" t="s">
        <v>64</v>
      </c>
      <c r="I222" s="26" t="s">
        <v>65</v>
      </c>
      <c r="J222" s="26">
        <v>525</v>
      </c>
      <c r="K222" s="26">
        <v>7616361</v>
      </c>
      <c r="L222" s="26" t="s">
        <v>372</v>
      </c>
      <c r="M222" s="26" t="s">
        <v>262</v>
      </c>
      <c r="N222" s="48">
        <f>IF(_Shipments[[#This Row],[Embalagem]]="Big Bag",_Shipments[[#This Row],[Qtd.]]*_Shipments[[#This Row],[Qtde. sacos/palete]],_Shipments[[#This Row],[Qtd.]])</f>
        <v>525</v>
      </c>
      <c r="O222" s="49">
        <f>_xlfn.XLOOKUP(_Shipments[[#This Row],[CLN]],[2]Dados!$D:$D,[2]Dados!$R:$R,"-")</f>
        <v>75</v>
      </c>
      <c r="P222" s="49" t="str" cm="1">
        <f t="array" ref="P222">_xlfn.LET(_xlpm.t,_xlfn.XLOOKUP(_Shipments[[#This Row],[CLN]],[2]Dados!$D:$D,[2]Dados!$Q:$Q,"-"),_xlfn.IFS(LEFT(_xlpm.t,3)="PAS","Saco",LEFT(_xlpm.t,3)="PBT","Big Bag",TRUE,"-"))</f>
        <v>Saco</v>
      </c>
      <c r="Q222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12.4</v>
      </c>
      <c r="R222" s="89">
        <f>IF(_Shipments[[#This Row],[Embalagem]]="Big Bag",_Shipments[[#This Row],[Qtd.]],ROUNDUP(_Shipments[[#This Row],[Qtd.]]/_Shipments[[#This Row],[Qtde. sacos/palete]],0))</f>
        <v>7</v>
      </c>
      <c r="W222" s="26" t="s">
        <v>126</v>
      </c>
    </row>
    <row r="223" spans="1:23" x14ac:dyDescent="0.25">
      <c r="A223" s="47">
        <f>_xlfn.XLOOKUP(_Shipments[[#This Row],[Shipment]],[1]Report!$G:$G,[1]Report!$B:$B,"-")</f>
        <v>46300.375</v>
      </c>
      <c r="B223" s="26">
        <v>7253448</v>
      </c>
      <c r="C223" s="26">
        <v>5541992155</v>
      </c>
      <c r="D223" s="26">
        <v>1</v>
      </c>
      <c r="E223" s="26" t="s">
        <v>321</v>
      </c>
      <c r="F223" s="26">
        <v>17</v>
      </c>
      <c r="G223" s="26" t="s">
        <v>283</v>
      </c>
      <c r="H223" s="26" t="s">
        <v>64</v>
      </c>
      <c r="I223" s="26" t="s">
        <v>65</v>
      </c>
      <c r="J223" s="26">
        <v>17</v>
      </c>
      <c r="K223" s="26">
        <v>7600785</v>
      </c>
      <c r="L223" s="26" t="s">
        <v>373</v>
      </c>
      <c r="M223" s="26" t="s">
        <v>29</v>
      </c>
      <c r="N223" s="48">
        <f>IF(_Shipments[[#This Row],[Embalagem]]="Big Bag",_Shipments[[#This Row],[Qtd.]]*_Shipments[[#This Row],[Qtde. sacos/palete]],_Shipments[[#This Row],[Qtd.]])</f>
        <v>850</v>
      </c>
      <c r="O223" s="49">
        <f>_xlfn.XLOOKUP(_Shipments[[#This Row],[CLN]],[2]Dados!$D:$D,[2]Dados!$R:$R,"-")</f>
        <v>50</v>
      </c>
      <c r="P223" s="49" t="str" cm="1">
        <f t="array" ref="P223">_xlfn.LET(_xlpm.t,_xlfn.XLOOKUP(_Shipments[[#This Row],[CLN]],[2]Dados!$D:$D,[2]Dados!$Q:$Q,"-"),_xlfn.IFS(LEFT(_xlpm.t,3)="PAS","Saco",LEFT(_xlpm.t,3)="PBT","Big Bag",TRUE,"-"))</f>
        <v>Big Bag</v>
      </c>
      <c r="Q223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688</v>
      </c>
      <c r="R223" s="89">
        <f>IF(_Shipments[[#This Row],[Embalagem]]="Big Bag",_Shipments[[#This Row],[Qtd.]],ROUNDUP(_Shipments[[#This Row],[Qtd.]]/_Shipments[[#This Row],[Qtde. sacos/palete]],0))</f>
        <v>17</v>
      </c>
      <c r="W223" s="26" t="s">
        <v>126</v>
      </c>
    </row>
    <row r="224" spans="1:23" x14ac:dyDescent="0.25">
      <c r="A224" s="47">
        <f>_xlfn.XLOOKUP(_Shipments[[#This Row],[Shipment]],[1]Report!$G:$G,[1]Report!$B:$B,"-")</f>
        <v>46300.375</v>
      </c>
      <c r="B224" s="26">
        <v>7253448</v>
      </c>
      <c r="C224" s="26">
        <v>5541992155</v>
      </c>
      <c r="D224" s="26">
        <v>2</v>
      </c>
      <c r="E224" s="26" t="s">
        <v>343</v>
      </c>
      <c r="F224" s="26">
        <v>49</v>
      </c>
      <c r="G224" s="26" t="s">
        <v>283</v>
      </c>
      <c r="H224" s="26" t="s">
        <v>64</v>
      </c>
      <c r="I224" s="26" t="s">
        <v>65</v>
      </c>
      <c r="J224" s="26">
        <v>49</v>
      </c>
      <c r="K224" s="26">
        <v>7609050</v>
      </c>
      <c r="L224" s="26" t="s">
        <v>374</v>
      </c>
      <c r="M224" s="26" t="s">
        <v>32</v>
      </c>
      <c r="N224" s="48">
        <f>IF(_Shipments[[#This Row],[Embalagem]]="Big Bag",_Shipments[[#This Row],[Qtd.]]*_Shipments[[#This Row],[Qtde. sacos/palete]],_Shipments[[#This Row],[Qtd.]])</f>
        <v>49</v>
      </c>
      <c r="O224" s="49">
        <f>_xlfn.XLOOKUP(_Shipments[[#This Row],[CLN]],[2]Dados!$D:$D,[2]Dados!$R:$R,"-")</f>
        <v>60</v>
      </c>
      <c r="P224" s="49" t="str" cm="1">
        <f t="array" ref="P224">_xlfn.LET(_xlpm.t,_xlfn.XLOOKUP(_Shipments[[#This Row],[CLN]],[2]Dados!$D:$D,[2]Dados!$Q:$Q,"-"),_xlfn.IFS(LEFT(_xlpm.t,3)="PAS","Saco",LEFT(_xlpm.t,3)="PBT","Big Bag",TRUE,"-"))</f>
        <v>Saco</v>
      </c>
      <c r="Q224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14.97</v>
      </c>
      <c r="R224" s="89">
        <f>IF(_Shipments[[#This Row],[Embalagem]]="Big Bag",_Shipments[[#This Row],[Qtd.]],ROUNDUP(_Shipments[[#This Row],[Qtd.]]/_Shipments[[#This Row],[Qtde. sacos/palete]],0))</f>
        <v>1</v>
      </c>
      <c r="W224" s="26" t="s">
        <v>126</v>
      </c>
    </row>
    <row r="225" spans="1:23" x14ac:dyDescent="0.25">
      <c r="A225" s="47">
        <f>_xlfn.XLOOKUP(_Shipments[[#This Row],[Shipment]],[1]Report!$G:$G,[1]Report!$B:$B,"-")</f>
        <v>46300.375</v>
      </c>
      <c r="B225" s="26">
        <v>7253448</v>
      </c>
      <c r="C225" s="26">
        <v>5541992155</v>
      </c>
      <c r="D225" s="26">
        <v>3</v>
      </c>
      <c r="E225" s="26" t="s">
        <v>345</v>
      </c>
      <c r="F225" s="26">
        <v>24</v>
      </c>
      <c r="G225" s="26" t="s">
        <v>283</v>
      </c>
      <c r="H225" s="26" t="s">
        <v>64</v>
      </c>
      <c r="I225" s="26" t="s">
        <v>65</v>
      </c>
      <c r="J225" s="26">
        <v>24</v>
      </c>
      <c r="K225" s="26">
        <v>7609063</v>
      </c>
      <c r="L225" s="26" t="s">
        <v>375</v>
      </c>
      <c r="M225" s="26" t="s">
        <v>46</v>
      </c>
      <c r="N225" s="48">
        <f>IF(_Shipments[[#This Row],[Embalagem]]="Big Bag",_Shipments[[#This Row],[Qtd.]]*_Shipments[[#This Row],[Qtde. sacos/palete]],_Shipments[[#This Row],[Qtd.]])</f>
        <v>24</v>
      </c>
      <c r="O225" s="49">
        <f>_xlfn.XLOOKUP(_Shipments[[#This Row],[CLN]],[2]Dados!$D:$D,[2]Dados!$R:$R,"-")</f>
        <v>60</v>
      </c>
      <c r="P225" s="49" t="str" cm="1">
        <f t="array" ref="P225">_xlfn.LET(_xlpm.t,_xlfn.XLOOKUP(_Shipments[[#This Row],[CLN]],[2]Dados!$D:$D,[2]Dados!$Q:$Q,"-"),_xlfn.IFS(LEFT(_xlpm.t,3)="PAS","Saco",LEFT(_xlpm.t,3)="PBT","Big Bag",TRUE,"-"))</f>
        <v>Saco</v>
      </c>
      <c r="Q225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16.690000000000001</v>
      </c>
      <c r="R225" s="89">
        <f>IF(_Shipments[[#This Row],[Embalagem]]="Big Bag",_Shipments[[#This Row],[Qtd.]],ROUNDUP(_Shipments[[#This Row],[Qtd.]]/_Shipments[[#This Row],[Qtde. sacos/palete]],0))</f>
        <v>1</v>
      </c>
      <c r="W225" s="26" t="s">
        <v>126</v>
      </c>
    </row>
    <row r="226" spans="1:23" x14ac:dyDescent="0.25">
      <c r="A226" s="47">
        <f>_xlfn.XLOOKUP(_Shipments[[#This Row],[Shipment]],[1]Report!$G:$G,[1]Report!$B:$B,"-")</f>
        <v>46300.375</v>
      </c>
      <c r="B226" s="26">
        <v>7253448</v>
      </c>
      <c r="C226" s="26">
        <v>5541992155</v>
      </c>
      <c r="D226" s="26">
        <v>4</v>
      </c>
      <c r="E226" s="26" t="s">
        <v>355</v>
      </c>
      <c r="F226" s="26">
        <v>143</v>
      </c>
      <c r="G226" s="26" t="s">
        <v>283</v>
      </c>
      <c r="H226" s="26" t="s">
        <v>64</v>
      </c>
      <c r="I226" s="26" t="s">
        <v>65</v>
      </c>
      <c r="J226" s="26">
        <v>143</v>
      </c>
      <c r="K226" s="26">
        <v>7616361</v>
      </c>
      <c r="L226" s="26" t="s">
        <v>372</v>
      </c>
      <c r="M226" s="26" t="s">
        <v>262</v>
      </c>
      <c r="N226" s="48">
        <f>IF(_Shipments[[#This Row],[Embalagem]]="Big Bag",_Shipments[[#This Row],[Qtd.]]*_Shipments[[#This Row],[Qtde. sacos/palete]],_Shipments[[#This Row],[Qtd.]])</f>
        <v>143</v>
      </c>
      <c r="O226" s="49">
        <f>_xlfn.XLOOKUP(_Shipments[[#This Row],[CLN]],[2]Dados!$D:$D,[2]Dados!$R:$R,"-")</f>
        <v>75</v>
      </c>
      <c r="P226" s="49" t="str" cm="1">
        <f t="array" ref="P226">_xlfn.LET(_xlpm.t,_xlfn.XLOOKUP(_Shipments[[#This Row],[CLN]],[2]Dados!$D:$D,[2]Dados!$Q:$Q,"-"),_xlfn.IFS(LEFT(_xlpm.t,3)="PAS","Saco",LEFT(_xlpm.t,3)="PBT","Big Bag",TRUE,"-"))</f>
        <v>Saco</v>
      </c>
      <c r="Q226" s="50">
        <f>_xlfn.LET(_xlpm.p,_xlfn.XLOOKUP(_Shipments[[#This Row],[CLN]],[2]Dados!$D:$D,[2]Dados!$K:$K,"-"),_xlpm.n,_Shipments[[#This Row],[Qtde. sacos/palete]],IF(ISNUMBER(_xlpm.p),IF(_Shipments[[#This Row],[Embalagem]]="Big Bag",IF(ISNUMBER(_xlpm.n),_xlpm.p*_xlpm.n,"-"),_xlpm.p),"-"))</f>
        <v>12.4</v>
      </c>
      <c r="R226" s="89">
        <f>IF(_Shipments[[#This Row],[Embalagem]]="Big Bag",_Shipments[[#This Row],[Qtd.]],ROUNDUP(_Shipments[[#This Row],[Qtd.]]/_Shipments[[#This Row],[Qtde. sacos/palete]],0))</f>
        <v>2</v>
      </c>
      <c r="W226" s="26" t="s">
        <v>126</v>
      </c>
    </row>
  </sheetData>
  <phoneticPr fontId="9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9"/>
  <sheetViews>
    <sheetView showGridLines="0" zoomScaleNormal="100" workbookViewId="0">
      <selection activeCell="C41" sqref="C41"/>
    </sheetView>
  </sheetViews>
  <sheetFormatPr defaultRowHeight="15.75" x14ac:dyDescent="0.25"/>
  <cols>
    <col min="1" max="1" width="14.140625" style="2" customWidth="1"/>
    <col min="2" max="2" width="30.5703125" style="2" customWidth="1"/>
    <col min="3" max="3" width="18" style="9" customWidth="1"/>
    <col min="4" max="4" width="17" style="2" bestFit="1" customWidth="1"/>
    <col min="5" max="5" width="16.42578125" style="2" customWidth="1"/>
    <col min="6" max="6" width="14.85546875" style="2" customWidth="1"/>
    <col min="7" max="7" width="26.28515625" style="2" customWidth="1"/>
    <col min="8" max="8" width="3.85546875" style="2" customWidth="1"/>
    <col min="9" max="9" width="16.140625" style="2" customWidth="1"/>
    <col min="10" max="10" width="13.28515625" style="2" customWidth="1"/>
    <col min="11" max="11" width="16.85546875" style="2" customWidth="1"/>
    <col min="13" max="16384" width="9.140625" style="2"/>
  </cols>
  <sheetData>
    <row r="1" spans="1:8" ht="30" customHeight="1" thickBot="1" x14ac:dyDescent="0.35">
      <c r="A1" s="93" t="s">
        <v>0</v>
      </c>
      <c r="B1" s="93"/>
      <c r="C1" s="93"/>
      <c r="D1" s="93"/>
      <c r="E1" s="93"/>
      <c r="F1" s="93"/>
      <c r="G1" s="93"/>
      <c r="H1" s="1"/>
    </row>
    <row r="2" spans="1:8" ht="9.9499999999999993" customHeight="1" x14ac:dyDescent="0.25">
      <c r="A2" s="3"/>
      <c r="B2" s="3"/>
      <c r="C2" s="7"/>
      <c r="D2" s="3"/>
      <c r="E2" s="3"/>
      <c r="F2" s="3"/>
      <c r="G2" s="3"/>
      <c r="H2" s="1"/>
    </row>
    <row r="3" spans="1:8" ht="20.100000000000001" customHeight="1" x14ac:dyDescent="0.25">
      <c r="A3" s="5" t="s">
        <v>119</v>
      </c>
      <c r="B3" s="11">
        <v>7248685</v>
      </c>
      <c r="C3" s="6" t="s">
        <v>5</v>
      </c>
      <c r="D3" s="92" t="s">
        <v>4</v>
      </c>
      <c r="E3" s="92"/>
      <c r="F3" s="92"/>
      <c r="G3" s="65">
        <f ca="1">TODAY()</f>
        <v>46296</v>
      </c>
    </row>
    <row r="4" spans="1:8" ht="9.9499999999999993" customHeight="1" x14ac:dyDescent="0.25">
      <c r="A4" s="1"/>
      <c r="B4" s="1"/>
      <c r="C4" s="8"/>
      <c r="D4" s="1"/>
      <c r="E4" s="1"/>
      <c r="F4" s="1"/>
      <c r="G4" s="1"/>
      <c r="H4" s="1"/>
    </row>
    <row r="5" spans="1:8" ht="21.95" customHeight="1" thickBot="1" x14ac:dyDescent="0.3">
      <c r="A5" s="36" t="s">
        <v>6</v>
      </c>
      <c r="B5" s="36" t="s">
        <v>12</v>
      </c>
      <c r="C5" s="36" t="s">
        <v>7</v>
      </c>
      <c r="D5" s="36" t="s">
        <v>116</v>
      </c>
      <c r="E5" s="36" t="s">
        <v>117</v>
      </c>
      <c r="F5" s="36" t="s">
        <v>124</v>
      </c>
      <c r="G5" s="36" t="s">
        <v>123</v>
      </c>
    </row>
    <row r="6" spans="1:8" ht="20.100000000000001" customHeight="1" x14ac:dyDescent="0.25">
      <c r="A6" s="70" cm="1">
        <f t="array" ref="A6:A8">_xlfn._xlws.FILTER(_Shipments[Item],_Shipments[Shipment]&amp;""=$B$3&amp;"","")</f>
        <v>1</v>
      </c>
      <c r="B6" s="71" t="str" cm="1">
        <f t="array" ref="B6:B8">_xlfn._xlws.FILTER(_Shipments[Material],_Shipments[Shipment]&amp;""=$B$3&amp;"","")</f>
        <v>P3889R-B831</v>
      </c>
      <c r="C6" s="72" t="str" cm="1">
        <f t="array" ref="C6:C8">_xlfn._xlws.FILTER(_Shipments[CLN],_Shipments[Shipment]&amp;""=$B$3&amp;"","")</f>
        <v>03P7600765</v>
      </c>
      <c r="D6" s="73" cm="1">
        <f t="array" ref="D6:D8">_xlfn._xlws.FILTER(_Shipments[Qtd.],_Shipments[Shipment]&amp;""=$B$3&amp;"","")</f>
        <v>7</v>
      </c>
      <c r="E6" s="73" t="str" cm="1">
        <f t="array" ref="E6:E8">_xlfn._xlws.FILTER(_Shipments[Embalagem],_Shipments[Shipment]&amp;""=$B$3&amp;"","")</f>
        <v>Big Bag</v>
      </c>
      <c r="F6" s="73" cm="1">
        <f t="array" ref="F6:F8">_xlfn.LET(_xlpm.m,_xlfn._xlws.FILTER(CHOOSE({1,2,3},_Shipments[Qtd.],_Shipments[Qtde. sacos/palete],_Shipments[Embalagem]),_Shipments[Shipment]&amp;""=$B$3&amp;"",""),_xlpm.q,INDEX(_xlpm.m,0,1),_xlpm.s,INDEX(_xlpm.m,0,2),_xlpm.u,INDEX(_xlpm.m,0,3),IF(_xlpm.u="Big Bag",_xlpm.q,IF(ISNUMBER(_xlpm.s)*(_xlpm.s&lt;&gt;0),ROUNDUP(_xlpm.q/_xlpm.s,0),"")))</f>
        <v>7</v>
      </c>
      <c r="G6" s="74" cm="1">
        <f t="array" ref="G6:G8">_xlfn.LET(_xlpm.m,_xlfn._xlws.FILTER(CHOOSE({1,2},_Shipments[Peso],_Shipments[Qtd.]),_Shipments[Shipment]&amp;""=$B$3&amp;"",""),_xlpm.p,INDEX(_xlpm.m,0,1),_xlpm.q,INDEX(_xlpm.m,0,2),IF(ISNUMBER(_xlpm.p),_xlpm.p*_xlpm.q,""))</f>
        <v>5295.5</v>
      </c>
      <c r="H6" s="1"/>
    </row>
    <row r="7" spans="1:8" ht="20.100000000000001" customHeight="1" x14ac:dyDescent="0.25">
      <c r="A7" s="75">
        <v>2</v>
      </c>
      <c r="B7" s="76" t="str">
        <v>P3889R-B832</v>
      </c>
      <c r="C7" s="77" t="str">
        <v>03P7600779</v>
      </c>
      <c r="D7" s="78">
        <v>11</v>
      </c>
      <c r="E7" s="78" t="str">
        <v>Big Bag</v>
      </c>
      <c r="F7" s="78">
        <v>11</v>
      </c>
      <c r="G7" s="79">
        <v>7463.5</v>
      </c>
      <c r="H7" s="1"/>
    </row>
    <row r="8" spans="1:8" ht="20.100000000000001" hidden="1" customHeight="1" x14ac:dyDescent="0.25">
      <c r="A8" s="80">
        <v>3</v>
      </c>
      <c r="B8" s="81" t="str">
        <v>P3889R-B822</v>
      </c>
      <c r="C8" s="82" t="str">
        <v>03P7609082</v>
      </c>
      <c r="D8" s="83">
        <v>42</v>
      </c>
      <c r="E8" s="83" t="str">
        <v>Saco</v>
      </c>
      <c r="F8" s="83">
        <v>1</v>
      </c>
      <c r="G8" s="84">
        <v>569.94000000000005</v>
      </c>
      <c r="H8" s="1"/>
    </row>
    <row r="9" spans="1:8" ht="20.100000000000001" hidden="1" customHeight="1" x14ac:dyDescent="0.25">
      <c r="A9" s="75"/>
      <c r="B9" s="76"/>
      <c r="C9" s="77"/>
      <c r="D9" s="78"/>
      <c r="E9" s="78"/>
      <c r="F9" s="78"/>
      <c r="G9" s="79"/>
      <c r="H9" s="1"/>
    </row>
    <row r="10" spans="1:8" ht="20.100000000000001" hidden="1" customHeight="1" x14ac:dyDescent="0.25">
      <c r="A10" s="80"/>
      <c r="B10" s="81"/>
      <c r="C10" s="82"/>
      <c r="D10" s="83"/>
      <c r="E10" s="83"/>
      <c r="F10" s="83"/>
      <c r="G10" s="84"/>
      <c r="H10" s="1"/>
    </row>
    <row r="11" spans="1:8" ht="20.100000000000001" hidden="1" customHeight="1" x14ac:dyDescent="0.25">
      <c r="A11" s="75"/>
      <c r="B11" s="76"/>
      <c r="C11" s="77"/>
      <c r="D11" s="78"/>
      <c r="E11" s="78"/>
      <c r="F11" s="78"/>
      <c r="G11" s="79"/>
      <c r="H11" s="1"/>
    </row>
    <row r="12" spans="1:8" ht="20.100000000000001" hidden="1" customHeight="1" x14ac:dyDescent="0.25">
      <c r="A12" s="80"/>
      <c r="B12" s="81"/>
      <c r="C12" s="82"/>
      <c r="D12" s="83"/>
      <c r="E12" s="83"/>
      <c r="F12" s="83"/>
      <c r="G12" s="84"/>
      <c r="H12" s="1"/>
    </row>
    <row r="13" spans="1:8" ht="20.100000000000001" hidden="1" customHeight="1" x14ac:dyDescent="0.25">
      <c r="A13" s="75"/>
      <c r="B13" s="76"/>
      <c r="C13" s="77"/>
      <c r="D13" s="78"/>
      <c r="E13" s="78"/>
      <c r="F13" s="78"/>
      <c r="G13" s="79"/>
      <c r="H13" s="1"/>
    </row>
    <row r="14" spans="1:8" ht="20.100000000000001" hidden="1" customHeight="1" x14ac:dyDescent="0.25">
      <c r="A14" s="80"/>
      <c r="B14" s="81"/>
      <c r="C14" s="82"/>
      <c r="D14" s="83"/>
      <c r="E14" s="83"/>
      <c r="F14" s="83"/>
      <c r="G14" s="84"/>
      <c r="H14" s="1"/>
    </row>
    <row r="15" spans="1:8" ht="20.100000000000001" hidden="1" customHeight="1" x14ac:dyDescent="0.25">
      <c r="A15" s="75"/>
      <c r="B15" s="76"/>
      <c r="C15" s="77"/>
      <c r="D15" s="78"/>
      <c r="E15" s="78"/>
      <c r="F15" s="78"/>
      <c r="G15" s="79"/>
      <c r="H15" s="1"/>
    </row>
    <row r="16" spans="1:8" ht="20.100000000000001" hidden="1" customHeight="1" x14ac:dyDescent="0.25">
      <c r="A16" s="80"/>
      <c r="B16" s="81"/>
      <c r="C16" s="82"/>
      <c r="D16" s="83"/>
      <c r="E16" s="83"/>
      <c r="F16" s="83"/>
      <c r="G16" s="84"/>
      <c r="H16" s="1"/>
    </row>
    <row r="17" spans="1:8" ht="20.100000000000001" hidden="1" customHeight="1" x14ac:dyDescent="0.25">
      <c r="A17" s="75"/>
      <c r="B17" s="76"/>
      <c r="C17" s="77"/>
      <c r="D17" s="78"/>
      <c r="E17" s="78"/>
      <c r="F17" s="78"/>
      <c r="G17" s="79"/>
      <c r="H17" s="1"/>
    </row>
    <row r="18" spans="1:8" ht="20.100000000000001" hidden="1" customHeight="1" x14ac:dyDescent="0.25">
      <c r="A18" s="80"/>
      <c r="B18" s="81"/>
      <c r="C18" s="82"/>
      <c r="D18" s="83"/>
      <c r="E18" s="83"/>
      <c r="F18" s="83"/>
      <c r="G18" s="84"/>
      <c r="H18" s="1"/>
    </row>
    <row r="19" spans="1:8" ht="20.100000000000001" hidden="1" customHeight="1" x14ac:dyDescent="0.25">
      <c r="A19" s="75"/>
      <c r="B19" s="76"/>
      <c r="C19" s="77"/>
      <c r="D19" s="78"/>
      <c r="E19" s="78"/>
      <c r="F19" s="78"/>
      <c r="G19" s="79"/>
      <c r="H19" s="1"/>
    </row>
    <row r="20" spans="1:8" ht="20.100000000000001" hidden="1" customHeight="1" x14ac:dyDescent="0.25">
      <c r="A20" s="80"/>
      <c r="B20" s="81"/>
      <c r="C20" s="82"/>
      <c r="D20" s="83"/>
      <c r="E20" s="83"/>
      <c r="F20" s="83"/>
      <c r="G20" s="84"/>
      <c r="H20" s="1"/>
    </row>
    <row r="21" spans="1:8" ht="20.100000000000001" hidden="1" customHeight="1" x14ac:dyDescent="0.25">
      <c r="A21" s="75"/>
      <c r="B21" s="76"/>
      <c r="C21" s="77"/>
      <c r="D21" s="78"/>
      <c r="E21" s="78"/>
      <c r="F21" s="78"/>
      <c r="G21" s="79"/>
      <c r="H21" s="1"/>
    </row>
    <row r="22" spans="1:8" ht="20.100000000000001" hidden="1" customHeight="1" x14ac:dyDescent="0.25">
      <c r="A22" s="80"/>
      <c r="B22" s="81"/>
      <c r="C22" s="82"/>
      <c r="D22" s="83"/>
      <c r="E22" s="83"/>
      <c r="F22" s="83"/>
      <c r="G22" s="84"/>
      <c r="H22" s="1"/>
    </row>
    <row r="23" spans="1:8" ht="20.100000000000001" hidden="1" customHeight="1" x14ac:dyDescent="0.25">
      <c r="A23" s="75"/>
      <c r="B23" s="76"/>
      <c r="C23" s="77"/>
      <c r="D23" s="78"/>
      <c r="E23" s="78"/>
      <c r="F23" s="78"/>
      <c r="G23" s="79"/>
      <c r="H23" s="1"/>
    </row>
    <row r="24" spans="1:8" ht="20.100000000000001" hidden="1" customHeight="1" x14ac:dyDescent="0.25">
      <c r="A24" s="80"/>
      <c r="B24" s="81"/>
      <c r="C24" s="82"/>
      <c r="D24" s="83"/>
      <c r="E24" s="83"/>
      <c r="F24" s="83"/>
      <c r="G24" s="84"/>
      <c r="H24" s="1"/>
    </row>
    <row r="25" spans="1:8" ht="20.100000000000001" hidden="1" customHeight="1" x14ac:dyDescent="0.25">
      <c r="A25" s="75"/>
      <c r="B25" s="76"/>
      <c r="C25" s="77"/>
      <c r="D25" s="78"/>
      <c r="E25" s="78"/>
      <c r="F25" s="78"/>
      <c r="G25" s="79"/>
      <c r="H25" s="1"/>
    </row>
    <row r="26" spans="1:8" ht="20.100000000000001" customHeight="1" thickBot="1" x14ac:dyDescent="0.3">
      <c r="A26" s="6"/>
      <c r="B26" s="66"/>
      <c r="C26" s="67"/>
      <c r="D26" s="68"/>
      <c r="E26" s="68"/>
      <c r="F26" s="68"/>
      <c r="G26" s="69"/>
      <c r="H26" s="1"/>
    </row>
    <row r="27" spans="1:8" ht="21.95" customHeight="1" x14ac:dyDescent="0.25">
      <c r="A27" s="57" t="s">
        <v>11</v>
      </c>
      <c r="B27" s="58"/>
      <c r="C27" s="58"/>
      <c r="D27" s="59">
        <f>SUM(D6:D26)</f>
        <v>60</v>
      </c>
      <c r="E27" s="59"/>
      <c r="F27" s="59">
        <f>SUM(F6:F26)</f>
        <v>19</v>
      </c>
      <c r="G27" s="62">
        <f>SUM(G6:G26)</f>
        <v>13328.94</v>
      </c>
      <c r="H27" s="1"/>
    </row>
    <row r="28" spans="1:8" x14ac:dyDescent="0.25">
      <c r="A28" s="11"/>
      <c r="B28" s="11"/>
      <c r="C28" s="36"/>
      <c r="D28" s="39"/>
      <c r="E28" s="40"/>
      <c r="F28" s="39"/>
      <c r="G28" s="39"/>
      <c r="H28" s="1"/>
    </row>
    <row r="29" spans="1:8" x14ac:dyDescent="0.25">
      <c r="A29" s="1"/>
      <c r="B29" s="1"/>
      <c r="C29" s="8"/>
      <c r="D29" s="1"/>
      <c r="E29" s="1"/>
      <c r="F29" s="1"/>
      <c r="G29" s="1"/>
      <c r="H29" s="1"/>
    </row>
    <row r="30" spans="1:8" ht="16.5" thickBot="1" x14ac:dyDescent="0.3">
      <c r="A30" s="94" t="s">
        <v>8</v>
      </c>
      <c r="B30" s="94"/>
      <c r="C30" s="94"/>
      <c r="D30" s="94"/>
      <c r="E30" s="94"/>
      <c r="F30" s="94"/>
      <c r="G30" s="94"/>
      <c r="H30" s="1"/>
    </row>
    <row r="31" spans="1:8" ht="15.95" customHeight="1" x14ac:dyDescent="0.25">
      <c r="A31" s="95" t="s">
        <v>1</v>
      </c>
      <c r="B31" s="95"/>
      <c r="C31" s="43" t="s">
        <v>9</v>
      </c>
      <c r="D31" s="44"/>
      <c r="E31" s="41" t="s">
        <v>2</v>
      </c>
      <c r="F31" s="41" t="s">
        <v>3</v>
      </c>
      <c r="G31" s="63" t="s">
        <v>10</v>
      </c>
      <c r="H31" s="1"/>
    </row>
    <row r="32" spans="1:8" ht="21.95" customHeight="1" x14ac:dyDescent="0.25">
      <c r="A32" s="91" t="str">
        <f>_xlfn.XLOOKUP($B$3,'_Shipments'!B:B,'_Shipments'!S:S,"-")</f>
        <v>MAX RICARDO PANTALEAO</v>
      </c>
      <c r="B32" s="91"/>
      <c r="C32" s="42">
        <f>_xlfn.XLOOKUP(B3,'_Shipments'!B:B,'_Shipments'!T:T,"-")</f>
        <v>34998133614</v>
      </c>
      <c r="D32" s="10"/>
      <c r="E32" s="4" t="str">
        <f>_xlfn.XLOOKUP(B3,'_Shipments'!B:B,'_Shipments'!U:U,"-")</f>
        <v>CLJ-0296</v>
      </c>
      <c r="F32" s="4" t="str">
        <f>_xlfn.XLOOKUP(B3,'_Shipments'!B:B,'_Shipments'!V:V,"-")</f>
        <v>GIN-2F15</v>
      </c>
      <c r="G32" s="64" t="str">
        <f>_xlfn.XLOOKUP(B3,'_Shipments'!B:B,'_Shipments'!W:W,"-")</f>
        <v>G10 TRANSPORTES S.A</v>
      </c>
      <c r="H32" s="1"/>
    </row>
    <row r="33" spans="1:8" x14ac:dyDescent="0.25">
      <c r="A33" s="1"/>
      <c r="B33" s="1"/>
      <c r="C33" s="8"/>
      <c r="D33" s="1"/>
      <c r="E33" s="1"/>
      <c r="F33" s="1"/>
      <c r="G33" s="1"/>
      <c r="H33" s="1"/>
    </row>
    <row r="35" spans="1:8" x14ac:dyDescent="0.25">
      <c r="A35"/>
      <c r="B35"/>
      <c r="C35"/>
    </row>
    <row r="36" spans="1:8" x14ac:dyDescent="0.25">
      <c r="A36"/>
      <c r="B36"/>
      <c r="C36"/>
    </row>
    <row r="37" spans="1:8" x14ac:dyDescent="0.25">
      <c r="A37"/>
      <c r="B37"/>
      <c r="C37"/>
    </row>
    <row r="38" spans="1:8" x14ac:dyDescent="0.25">
      <c r="A38"/>
      <c r="B38"/>
      <c r="C38"/>
    </row>
    <row r="39" spans="1:8" x14ac:dyDescent="0.25">
      <c r="A39"/>
      <c r="B39"/>
      <c r="C39"/>
    </row>
  </sheetData>
  <mergeCells count="5">
    <mergeCell ref="A32:B32"/>
    <mergeCell ref="D3:F3"/>
    <mergeCell ref="A1:G1"/>
    <mergeCell ref="A30:G30"/>
    <mergeCell ref="A31:B31"/>
  </mergeCell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6862843-DCF9-4226-BF76-85BAC843A0F7}">
          <x14:formula1>
            <xm:f>_xlfn.ANCHORARRAY('_Shipments'!$Y$2)</xm:f>
          </x14:formula1>
          <xm:sqref>B3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0D347-8F5C-449D-B5C0-4E7AE0DADE0C}">
  <sheetPr>
    <pageSetUpPr fitToPage="1"/>
  </sheetPr>
  <dimension ref="A1:Q42"/>
  <sheetViews>
    <sheetView showGridLines="0" workbookViewId="0">
      <selection activeCell="F6" sqref="F6"/>
    </sheetView>
  </sheetViews>
  <sheetFormatPr defaultRowHeight="15" x14ac:dyDescent="0.25"/>
  <cols>
    <col min="1" max="1" width="8.42578125" style="12" customWidth="1"/>
    <col min="2" max="2" width="15.7109375" style="12" bestFit="1" customWidth="1"/>
    <col min="3" max="3" width="42.7109375" style="12" bestFit="1" customWidth="1"/>
    <col min="4" max="4" width="11.28515625" style="12" bestFit="1" customWidth="1"/>
    <col min="5" max="5" width="35.5703125" style="12" bestFit="1" customWidth="1"/>
    <col min="6" max="6" width="21.85546875" style="12" bestFit="1" customWidth="1"/>
    <col min="7" max="7" width="6" style="12" customWidth="1"/>
    <col min="8" max="8" width="9.85546875" style="12" bestFit="1" customWidth="1"/>
    <col min="9" max="9" width="11.140625" style="12" bestFit="1" customWidth="1"/>
    <col min="10" max="10" width="7" style="12" bestFit="1" customWidth="1"/>
    <col min="11" max="11" width="8.7109375" style="12" customWidth="1"/>
    <col min="12" max="12" width="6.7109375" style="12" bestFit="1" customWidth="1"/>
    <col min="13" max="13" width="10.7109375" style="12" bestFit="1" customWidth="1"/>
    <col min="14" max="14" width="10.42578125" style="12" bestFit="1" customWidth="1"/>
    <col min="15" max="15" width="9.140625" style="12" bestFit="1"/>
    <col min="16" max="16" width="6.7109375" style="12" bestFit="1" customWidth="1"/>
    <col min="17" max="17" width="8" style="12" customWidth="1"/>
    <col min="18" max="16384" width="9.140625" style="12"/>
  </cols>
  <sheetData>
    <row r="1" spans="1:15" x14ac:dyDescent="0.25">
      <c r="B1" s="37" t="s">
        <v>77</v>
      </c>
      <c r="C1" s="60">
        <v>7253436</v>
      </c>
      <c r="D1" s="15" t="s">
        <v>81</v>
      </c>
      <c r="E1" s="96" t="str" cm="1">
        <f t="array" ref="E1">TEXT(MAX(_xlfn._xlws.FILTER(_Shipments[Data], _Shipments[Shipment]&amp;""=$C$1&amp;"", 0)), "dd/mm/aaaa")</f>
        <v>02/10/2026</v>
      </c>
      <c r="F1" s="96"/>
    </row>
    <row r="2" spans="1:15" x14ac:dyDescent="0.25">
      <c r="A2" s="16"/>
      <c r="B2" s="38" t="s">
        <v>10</v>
      </c>
      <c r="C2" s="61" t="str" cm="1">
        <f t="array" ref="C2">_xlfn.LET(_xlpm.resultado, INDEX(_xlfn._xlws.FILTER(_Shipments[Transportadora], _Shipments[Shipment]&amp;""=$C$1&amp;"", ""), 1), IF(_xlpm.resultado="", "", _xlpm.resultado))</f>
        <v>G10 TRANSPORTES S.A</v>
      </c>
      <c r="D2" s="16" t="s">
        <v>82</v>
      </c>
      <c r="E2" s="97" t="s">
        <v>83</v>
      </c>
      <c r="F2" s="97"/>
    </row>
    <row r="3" spans="1:15" ht="15.75" thickBot="1" x14ac:dyDescent="0.3"/>
    <row r="4" spans="1:15" s="13" customFormat="1" ht="30.75" thickBot="1" x14ac:dyDescent="0.3">
      <c r="A4" s="17" t="s">
        <v>6</v>
      </c>
      <c r="B4" s="18" t="s">
        <v>12</v>
      </c>
      <c r="C4" s="18" t="s">
        <v>78</v>
      </c>
      <c r="D4" s="18" t="s">
        <v>18</v>
      </c>
      <c r="E4" s="18" t="s">
        <v>19</v>
      </c>
      <c r="F4" s="18" t="s">
        <v>20</v>
      </c>
      <c r="G4" s="18" t="s">
        <v>84</v>
      </c>
      <c r="H4" s="18" t="s">
        <v>22</v>
      </c>
      <c r="I4" s="19" t="s">
        <v>23</v>
      </c>
      <c r="J4" s="20" t="s">
        <v>85</v>
      </c>
      <c r="K4" s="20" t="s">
        <v>127</v>
      </c>
      <c r="L4" s="21"/>
      <c r="M4" s="21"/>
      <c r="N4" s="21"/>
      <c r="O4" s="21"/>
    </row>
    <row r="5" spans="1:15" x14ac:dyDescent="0.25">
      <c r="A5" s="22">
        <f>IF(B5="", "", MAX($A$4:A4)+1)</f>
        <v>1</v>
      </c>
      <c r="B5" s="22" t="str" cm="1">
        <f t="array" ref="B5:B7">_xlfn._xlws.FILTER(_Shipments[Material],_Shipments[Shipment]&amp;""=$C$1&amp;"","")</f>
        <v>P3889R-B821</v>
      </c>
      <c r="C5" s="22" t="str" cm="1">
        <f t="array" ref="C5:C7">"SEMENTE DE MILHO HÍBRIDO " &amp; LEFT(_xlfn._xlws.FILTER(_Shipments[Material], _Shipments[Shipment]&amp;""=$C$1&amp;"", ""), LEN(_xlfn._xlws.FILTER(_Shipments[Material], _Shipments[Shipment]&amp;""=$C$1&amp;"", "")) - 5)</f>
        <v>SEMENTE DE MILHO HÍBRIDO P3889R</v>
      </c>
      <c r="D5" s="23" cm="1">
        <f t="array" ref="D5:D7">_xlfn._xlws.FILTER(_Shipments[Qtd.],_Shipments[Shipment]&amp;""=$C$1&amp;"","")</f>
        <v>11</v>
      </c>
      <c r="E5" s="22" t="str" cm="1">
        <f t="array" ref="E5:E7">_xlfn._xlws.FILTER(_Shipments[Descr. Cliente],_Shipments[Shipment]&amp;""=$C$1&amp;"","")</f>
        <v>CORTEVA AGRISCIENCE DO BRASIL LTDA.</v>
      </c>
      <c r="F5" s="22" t="str" cm="1">
        <f t="array" ref="F5:F7">_xlfn._xlws.FILTER(_Shipments[Cidade],_Shipments[Shipment]&amp;""=$C$1&amp;"","")</f>
        <v>UBERLÂNDIA</v>
      </c>
      <c r="G5" s="22" t="str" cm="1">
        <f t="array" ref="G5:G7">_xlfn._xlws.FILTER(_Shipments[Estado],_Shipments[Shipment]&amp;""=$C$1&amp;"","")</f>
        <v>MG</v>
      </c>
      <c r="H5" s="23" cm="1">
        <f t="array" ref="H5:H7">_xlfn._xlws.FILTER(_Shipments[Qtde. Sel.],_Shipments[Shipment]&amp;""=$C$1&amp;"","")</f>
        <v>11</v>
      </c>
      <c r="I5" s="24" t="str" cm="1">
        <f t="array" ref="I5:I7">_xlfn._xlws.FILTER(_Shipments[CLN],_Shipments[Shipment]&amp;""=$C$1&amp;"","")</f>
        <v>03P7609075</v>
      </c>
      <c r="J5" s="25" t="s">
        <v>358</v>
      </c>
      <c r="K5" s="25" cm="1">
        <f t="array" ref="K5:K7">_xlfn.LET(_xlpm.m,_xlfn._xlws.FILTER(CHOOSE({1,2,3},_Shipments[Qtd.],_Shipments[Qtde. sacos/palete],_Shipments[Embalagem]),_Shipments[Shipment]&amp;""=$C$1&amp;"",""),_xlpm.q,INDEX(_xlpm.m,0,1),_xlpm.s,INDEX(_xlpm.m,0,2),_xlpm.u,INDEX(_xlpm.m,0,3),IF(_xlpm.u="Big Bag",_xlpm.q,IF(ISNUMBER(_xlpm.s)*(_xlpm.s&lt;&gt;0),ROUNDUP(_xlpm.q/_xlpm.s,0),"")))</f>
        <v>1</v>
      </c>
      <c r="L5" s="26"/>
      <c r="M5" s="26"/>
      <c r="N5" s="26"/>
      <c r="O5" s="26"/>
    </row>
    <row r="6" spans="1:15" x14ac:dyDescent="0.25">
      <c r="A6" s="22">
        <f>IF(B6="", "", MAX($A$4:A5)+1)</f>
        <v>2</v>
      </c>
      <c r="B6" s="22" t="str">
        <v>P3889R-B827</v>
      </c>
      <c r="C6" s="22" t="str">
        <v>SEMENTE DE MILHO HÍBRIDO P3889R</v>
      </c>
      <c r="D6" s="23">
        <v>714</v>
      </c>
      <c r="E6" s="22" t="str">
        <v>CORTEVA AGRISCIENCE DO BRASIL LTDA.</v>
      </c>
      <c r="F6" s="22" t="str">
        <v>UBERLÂNDIA</v>
      </c>
      <c r="G6" s="22" t="str">
        <v>MG</v>
      </c>
      <c r="H6" s="23">
        <v>714</v>
      </c>
      <c r="I6" s="24" t="str">
        <v>03P7614093</v>
      </c>
      <c r="J6" s="25" t="s">
        <v>359</v>
      </c>
      <c r="K6" s="25">
        <v>10</v>
      </c>
      <c r="L6" s="26"/>
      <c r="M6" s="26"/>
      <c r="N6" s="26"/>
      <c r="O6" s="26"/>
    </row>
    <row r="7" spans="1:15" x14ac:dyDescent="0.25">
      <c r="A7" s="22">
        <f>IF(B7="", "", MAX($A$4:A6)+1)</f>
        <v>3</v>
      </c>
      <c r="B7" s="22" t="str">
        <v>P3889R-B827</v>
      </c>
      <c r="C7" s="22" t="str">
        <v>SEMENTE DE MILHO HÍBRIDO P3889R</v>
      </c>
      <c r="D7" s="23">
        <v>750</v>
      </c>
      <c r="E7" s="22" t="str">
        <v>CORTEVA AGRISCIENCE DO BRASIL LTDA.</v>
      </c>
      <c r="F7" s="22" t="str">
        <v>UBERLÂNDIA</v>
      </c>
      <c r="G7" s="22" t="str">
        <v>MG</v>
      </c>
      <c r="H7" s="23">
        <v>750</v>
      </c>
      <c r="I7" s="24" t="str">
        <v>03P7614756</v>
      </c>
      <c r="J7" s="25" t="s">
        <v>359</v>
      </c>
      <c r="K7" s="27">
        <v>10</v>
      </c>
      <c r="L7" s="26"/>
      <c r="M7" s="26"/>
      <c r="N7" s="26"/>
      <c r="O7" s="26"/>
    </row>
    <row r="8" spans="1:15" x14ac:dyDescent="0.25">
      <c r="A8" s="22" t="str">
        <f>IF(B8="", "", MAX($A$4:A7)+1)</f>
        <v/>
      </c>
      <c r="B8" s="22"/>
      <c r="C8" s="22"/>
      <c r="D8" s="23"/>
      <c r="E8" s="22"/>
      <c r="F8" s="22"/>
      <c r="G8" s="22"/>
      <c r="H8" s="23"/>
      <c r="I8" s="24"/>
      <c r="J8" s="25"/>
      <c r="K8" s="27"/>
      <c r="L8" s="26"/>
      <c r="M8" s="26"/>
      <c r="N8" s="26"/>
      <c r="O8" s="26"/>
    </row>
    <row r="9" spans="1:15" x14ac:dyDescent="0.25">
      <c r="A9" s="22" t="str">
        <f>IF(B9="", "", MAX($A$4:A8)+1)</f>
        <v/>
      </c>
      <c r="B9" s="22"/>
      <c r="C9" s="22"/>
      <c r="D9" s="23"/>
      <c r="E9" s="22"/>
      <c r="F9" s="22"/>
      <c r="G9" s="22"/>
      <c r="H9" s="23"/>
      <c r="I9" s="24"/>
      <c r="J9" s="25"/>
      <c r="K9" s="27"/>
      <c r="L9" s="26"/>
      <c r="M9" s="26"/>
      <c r="N9" s="26"/>
      <c r="O9" s="26"/>
    </row>
    <row r="10" spans="1:15" hidden="1" x14ac:dyDescent="0.25">
      <c r="A10" s="22" t="str">
        <f>IF(B10="", "", MAX($A$4:A9)+1)</f>
        <v/>
      </c>
      <c r="B10" s="22"/>
      <c r="C10" s="22"/>
      <c r="D10" s="23"/>
      <c r="E10" s="22"/>
      <c r="F10" s="22"/>
      <c r="G10" s="22"/>
      <c r="H10" s="23"/>
      <c r="I10" s="24"/>
      <c r="J10" s="27"/>
      <c r="K10" s="27"/>
      <c r="L10" s="26"/>
      <c r="M10" s="26"/>
      <c r="N10" s="26"/>
      <c r="O10" s="26"/>
    </row>
    <row r="11" spans="1:15" hidden="1" x14ac:dyDescent="0.25">
      <c r="A11" s="22" t="str">
        <f>IF(B11="", "", MAX($A$4:A10)+1)</f>
        <v/>
      </c>
      <c r="B11" s="22"/>
      <c r="C11" s="22"/>
      <c r="D11" s="23"/>
      <c r="E11" s="22"/>
      <c r="F11" s="22"/>
      <c r="G11" s="22"/>
      <c r="H11" s="23"/>
      <c r="I11" s="24"/>
      <c r="J11" s="25"/>
      <c r="K11" s="27"/>
      <c r="L11" s="26"/>
      <c r="M11" s="26"/>
      <c r="N11" s="26"/>
      <c r="O11" s="26"/>
    </row>
    <row r="12" spans="1:15" hidden="1" x14ac:dyDescent="0.25">
      <c r="A12" s="22" t="str">
        <f>IF(B12="", "", MAX($A$4:A11)+1)</f>
        <v/>
      </c>
      <c r="B12" s="22"/>
      <c r="C12" s="22"/>
      <c r="D12" s="23"/>
      <c r="E12" s="22"/>
      <c r="F12" s="22"/>
      <c r="G12" s="22"/>
      <c r="H12" s="23"/>
      <c r="I12" s="24"/>
      <c r="J12" s="25"/>
      <c r="K12" s="27"/>
      <c r="L12" s="26"/>
      <c r="M12" s="26"/>
      <c r="N12" s="26"/>
      <c r="O12" s="26"/>
    </row>
    <row r="13" spans="1:15" hidden="1" x14ac:dyDescent="0.25">
      <c r="A13" s="22" t="str">
        <f>IF(B13="", "", MAX($A$4:A12)+1)</f>
        <v/>
      </c>
      <c r="B13" s="22"/>
      <c r="C13" s="22"/>
      <c r="D13" s="23"/>
      <c r="E13" s="22"/>
      <c r="F13" s="22"/>
      <c r="G13" s="22"/>
      <c r="H13" s="23"/>
      <c r="I13" s="24"/>
      <c r="J13" s="27"/>
      <c r="K13" s="27"/>
      <c r="L13" s="26"/>
      <c r="M13" s="26"/>
      <c r="N13" s="26"/>
      <c r="O13" s="26"/>
    </row>
    <row r="14" spans="1:15" hidden="1" x14ac:dyDescent="0.25">
      <c r="A14" s="22" t="str">
        <f>IF(B14="", "", MAX($A$4:A13)+1)</f>
        <v/>
      </c>
      <c r="B14" s="22"/>
      <c r="C14" s="22"/>
      <c r="D14" s="23"/>
      <c r="E14" s="22"/>
      <c r="F14" s="22"/>
      <c r="G14" s="22"/>
      <c r="H14" s="23"/>
      <c r="I14" s="24"/>
      <c r="J14" s="25"/>
      <c r="K14" s="27"/>
      <c r="L14" s="26"/>
      <c r="M14" s="26"/>
      <c r="N14" s="26"/>
      <c r="O14" s="26"/>
    </row>
    <row r="15" spans="1:15" hidden="1" x14ac:dyDescent="0.25">
      <c r="A15" s="22" t="str">
        <f>IF(B15="", "", MAX($A$4:A14)+1)</f>
        <v/>
      </c>
      <c r="B15" s="22"/>
      <c r="C15" s="22"/>
      <c r="D15" s="23"/>
      <c r="E15" s="22"/>
      <c r="F15" s="22"/>
      <c r="G15" s="22"/>
      <c r="H15" s="23"/>
      <c r="I15" s="24"/>
      <c r="J15" s="25"/>
      <c r="K15" s="27"/>
      <c r="L15" s="26"/>
      <c r="M15" s="26"/>
      <c r="N15" s="26"/>
      <c r="O15" s="26"/>
    </row>
    <row r="16" spans="1:15" hidden="1" x14ac:dyDescent="0.25">
      <c r="A16" s="22" t="str">
        <f>IF(B16="", "", MAX($A$4:A15)+1)</f>
        <v/>
      </c>
      <c r="B16" s="22"/>
      <c r="C16" s="22"/>
      <c r="D16" s="23"/>
      <c r="E16" s="22"/>
      <c r="F16" s="22"/>
      <c r="G16" s="22"/>
      <c r="H16" s="23"/>
      <c r="I16" s="24"/>
      <c r="J16" s="27"/>
      <c r="K16" s="27"/>
      <c r="L16" s="26"/>
      <c r="M16" s="26"/>
      <c r="N16" s="26"/>
      <c r="O16" s="26"/>
    </row>
    <row r="17" spans="1:17" hidden="1" x14ac:dyDescent="0.25">
      <c r="A17" s="22" t="str">
        <f>IF(B17="", "", MAX($A$4:A16)+1)</f>
        <v/>
      </c>
      <c r="B17" s="22"/>
      <c r="C17" s="22"/>
      <c r="D17" s="23"/>
      <c r="E17" s="22"/>
      <c r="F17" s="22"/>
      <c r="G17" s="22"/>
      <c r="H17" s="23"/>
      <c r="I17" s="24"/>
      <c r="J17" s="25"/>
      <c r="K17" s="27"/>
      <c r="L17" s="26"/>
      <c r="M17" s="26"/>
      <c r="N17" s="26"/>
      <c r="O17" s="26"/>
    </row>
    <row r="18" spans="1:17" hidden="1" x14ac:dyDescent="0.25">
      <c r="A18" s="22" t="str">
        <f>IF(B18="", "", MAX($A$4:A17)+1)</f>
        <v/>
      </c>
      <c r="B18" s="22"/>
      <c r="C18" s="22"/>
      <c r="D18" s="23"/>
      <c r="E18" s="22"/>
      <c r="F18" s="22"/>
      <c r="G18" s="22"/>
      <c r="H18" s="23"/>
      <c r="I18" s="24"/>
      <c r="J18" s="25"/>
      <c r="K18" s="27"/>
      <c r="L18" s="26"/>
      <c r="M18" s="26"/>
      <c r="N18" s="26"/>
      <c r="O18" s="26"/>
    </row>
    <row r="19" spans="1:17" hidden="1" x14ac:dyDescent="0.25">
      <c r="A19" s="22" t="str">
        <f>IF(B19="", "", MAX($A$4:A18)+1)</f>
        <v/>
      </c>
      <c r="B19" s="22"/>
      <c r="C19" s="22"/>
      <c r="D19" s="23"/>
      <c r="E19" s="22"/>
      <c r="F19" s="22"/>
      <c r="G19" s="22"/>
      <c r="H19" s="23"/>
      <c r="I19" s="24"/>
      <c r="J19" s="27"/>
      <c r="K19" s="27"/>
      <c r="L19" s="26"/>
      <c r="M19" s="26"/>
      <c r="N19" s="26"/>
      <c r="O19" s="26"/>
    </row>
    <row r="20" spans="1:17" x14ac:dyDescent="0.25">
      <c r="A20" s="22" t="str">
        <f>IF(B20="", "", MAX($A$4:A19)+1)</f>
        <v/>
      </c>
      <c r="B20" s="22"/>
      <c r="C20" s="22"/>
      <c r="D20" s="23"/>
      <c r="E20" s="22"/>
      <c r="F20" s="22"/>
      <c r="G20" s="22"/>
      <c r="H20" s="23"/>
      <c r="I20" s="24"/>
      <c r="J20" s="25"/>
      <c r="K20" s="27"/>
      <c r="L20" s="26"/>
      <c r="M20" s="26"/>
      <c r="N20" s="26"/>
      <c r="O20" s="26"/>
    </row>
    <row r="21" spans="1:17" x14ac:dyDescent="0.25">
      <c r="D21" s="28">
        <f>SUM(D5:D20)</f>
        <v>1475</v>
      </c>
      <c r="H21" s="28">
        <f>SUM(H5:H20)</f>
        <v>1475</v>
      </c>
    </row>
    <row r="22" spans="1:17" x14ac:dyDescent="0.25">
      <c r="D22" s="28"/>
      <c r="I22" s="28"/>
    </row>
    <row r="23" spans="1:17" ht="15.75" thickBot="1" x14ac:dyDescent="0.3"/>
    <row r="24" spans="1:17" ht="15.75" thickBot="1" x14ac:dyDescent="0.3">
      <c r="A24" s="98" t="s">
        <v>86</v>
      </c>
      <c r="B24" s="99"/>
      <c r="C24" s="99"/>
      <c r="D24" s="99"/>
      <c r="E24" s="99"/>
      <c r="F24" s="99"/>
      <c r="G24" s="99"/>
      <c r="H24" s="99"/>
      <c r="I24" s="99"/>
      <c r="J24" s="99"/>
      <c r="K24" s="100"/>
      <c r="M24" s="98" t="s">
        <v>87</v>
      </c>
      <c r="N24" s="99"/>
      <c r="O24" s="99"/>
      <c r="P24" s="99"/>
      <c r="Q24" s="100"/>
    </row>
    <row r="25" spans="1:17" s="14" customFormat="1" ht="12.75" x14ac:dyDescent="0.25">
      <c r="A25" s="101" t="s">
        <v>88</v>
      </c>
      <c r="B25" s="102"/>
      <c r="C25" s="29" t="s">
        <v>89</v>
      </c>
      <c r="D25" s="29" t="s">
        <v>90</v>
      </c>
      <c r="E25" s="29" t="s">
        <v>91</v>
      </c>
      <c r="F25" s="29" t="s">
        <v>92</v>
      </c>
      <c r="G25" s="102" t="s">
        <v>93</v>
      </c>
      <c r="H25" s="102"/>
      <c r="I25" s="103" t="s">
        <v>94</v>
      </c>
      <c r="J25" s="104"/>
      <c r="K25" s="30" t="s">
        <v>79</v>
      </c>
      <c r="M25" s="105" t="s">
        <v>95</v>
      </c>
      <c r="N25" s="106"/>
      <c r="O25" s="106" t="s">
        <v>96</v>
      </c>
      <c r="P25" s="106"/>
      <c r="Q25" s="31" t="s">
        <v>97</v>
      </c>
    </row>
    <row r="26" spans="1:17" ht="21" x14ac:dyDescent="0.25">
      <c r="A26" s="107"/>
      <c r="B26" s="107"/>
      <c r="C26" s="33" t="s">
        <v>98</v>
      </c>
      <c r="D26" s="32"/>
      <c r="E26" s="32"/>
      <c r="F26" s="32"/>
      <c r="G26" s="107"/>
      <c r="H26" s="107"/>
      <c r="I26" s="107"/>
      <c r="J26" s="107"/>
      <c r="K26" s="32"/>
      <c r="M26" s="108" t="s">
        <v>83</v>
      </c>
      <c r="N26" s="109"/>
      <c r="O26" s="109" t="s">
        <v>99</v>
      </c>
      <c r="P26" s="109"/>
      <c r="Q26" s="34" t="s">
        <v>100</v>
      </c>
    </row>
    <row r="27" spans="1:17" ht="21" x14ac:dyDescent="0.25">
      <c r="A27" s="107"/>
      <c r="B27" s="107"/>
      <c r="C27" s="33" t="s">
        <v>98</v>
      </c>
      <c r="D27" s="32"/>
      <c r="E27" s="32"/>
      <c r="F27" s="32"/>
      <c r="G27" s="107"/>
      <c r="H27" s="107"/>
      <c r="I27" s="107"/>
      <c r="J27" s="107"/>
      <c r="K27" s="32"/>
      <c r="M27" s="108" t="s">
        <v>101</v>
      </c>
      <c r="N27" s="109"/>
      <c r="O27" s="109" t="s">
        <v>102</v>
      </c>
      <c r="P27" s="109"/>
      <c r="Q27" s="34" t="s">
        <v>103</v>
      </c>
    </row>
    <row r="28" spans="1:17" ht="21" x14ac:dyDescent="0.25">
      <c r="A28" s="107"/>
      <c r="B28" s="107"/>
      <c r="C28" s="33" t="s">
        <v>98</v>
      </c>
      <c r="D28" s="32"/>
      <c r="E28" s="32"/>
      <c r="F28" s="32"/>
      <c r="G28" s="107"/>
      <c r="H28" s="107"/>
      <c r="I28" s="107"/>
      <c r="J28" s="107"/>
      <c r="K28" s="32"/>
      <c r="M28" s="108" t="s">
        <v>104</v>
      </c>
      <c r="N28" s="109"/>
      <c r="O28" s="109" t="s">
        <v>102</v>
      </c>
      <c r="P28" s="109"/>
      <c r="Q28" s="34" t="s">
        <v>97</v>
      </c>
    </row>
    <row r="29" spans="1:17" ht="21" x14ac:dyDescent="0.25">
      <c r="A29" s="107"/>
      <c r="B29" s="107"/>
      <c r="C29" s="33" t="s">
        <v>98</v>
      </c>
      <c r="D29" s="32"/>
      <c r="E29" s="32"/>
      <c r="F29" s="32"/>
      <c r="G29" s="107"/>
      <c r="H29" s="107"/>
      <c r="I29" s="107"/>
      <c r="J29" s="107"/>
      <c r="K29" s="32"/>
      <c r="M29" s="108" t="s">
        <v>105</v>
      </c>
      <c r="N29" s="109"/>
      <c r="O29" s="109" t="s">
        <v>106</v>
      </c>
      <c r="P29" s="109"/>
      <c r="Q29" s="34" t="s">
        <v>107</v>
      </c>
    </row>
    <row r="30" spans="1:17" ht="21" x14ac:dyDescent="0.25">
      <c r="A30" s="107"/>
      <c r="B30" s="107"/>
      <c r="C30" s="33" t="s">
        <v>98</v>
      </c>
      <c r="D30" s="32"/>
      <c r="E30" s="32"/>
      <c r="F30" s="32"/>
      <c r="G30" s="107"/>
      <c r="H30" s="107"/>
      <c r="I30" s="107"/>
      <c r="J30" s="107"/>
      <c r="K30" s="32"/>
      <c r="M30" s="108" t="s">
        <v>108</v>
      </c>
      <c r="N30" s="109"/>
      <c r="O30" s="109" t="s">
        <v>106</v>
      </c>
      <c r="P30" s="109"/>
      <c r="Q30" s="34" t="s">
        <v>109</v>
      </c>
    </row>
    <row r="31" spans="1:17" ht="21" x14ac:dyDescent="0.25">
      <c r="A31" s="107"/>
      <c r="B31" s="107"/>
      <c r="C31" s="33" t="s">
        <v>98</v>
      </c>
      <c r="D31" s="32"/>
      <c r="E31" s="32"/>
      <c r="F31" s="32"/>
      <c r="G31" s="107"/>
      <c r="H31" s="107"/>
      <c r="I31" s="107"/>
      <c r="J31" s="107"/>
      <c r="K31" s="32"/>
      <c r="M31" s="108" t="s">
        <v>110</v>
      </c>
      <c r="N31" s="109"/>
      <c r="O31" s="109" t="s">
        <v>96</v>
      </c>
      <c r="P31" s="109"/>
      <c r="Q31" s="34" t="s">
        <v>111</v>
      </c>
    </row>
    <row r="32" spans="1:17" ht="21.75" thickBot="1" x14ac:dyDescent="0.3">
      <c r="A32" s="107"/>
      <c r="B32" s="107"/>
      <c r="C32" s="33" t="s">
        <v>98</v>
      </c>
      <c r="D32" s="32"/>
      <c r="E32" s="32"/>
      <c r="F32" s="32"/>
      <c r="G32" s="107"/>
      <c r="H32" s="107"/>
      <c r="I32" s="107"/>
      <c r="J32" s="107"/>
      <c r="K32" s="32"/>
      <c r="M32" s="120" t="s">
        <v>112</v>
      </c>
      <c r="N32" s="110"/>
      <c r="O32" s="110" t="s">
        <v>106</v>
      </c>
      <c r="P32" s="110"/>
      <c r="Q32" s="35" t="s">
        <v>111</v>
      </c>
    </row>
    <row r="33" spans="1:11" ht="15.75" thickBot="1" x14ac:dyDescent="0.3"/>
    <row r="34" spans="1:11" x14ac:dyDescent="0.25">
      <c r="A34" s="111" t="s">
        <v>113</v>
      </c>
      <c r="B34" s="112"/>
      <c r="C34" s="112"/>
      <c r="D34" s="112"/>
      <c r="E34" s="112"/>
      <c r="F34" s="112"/>
      <c r="G34" s="112"/>
      <c r="H34" s="112"/>
      <c r="I34" s="112"/>
      <c r="J34" s="112"/>
      <c r="K34" s="113"/>
    </row>
    <row r="35" spans="1:11" x14ac:dyDescent="0.25">
      <c r="A35" s="114"/>
      <c r="B35" s="115"/>
      <c r="C35" s="115"/>
      <c r="D35" s="115"/>
      <c r="E35" s="115"/>
      <c r="F35" s="115"/>
      <c r="G35" s="115"/>
      <c r="H35" s="115"/>
      <c r="I35" s="115"/>
      <c r="J35" s="115"/>
      <c r="K35" s="116"/>
    </row>
    <row r="36" spans="1:11" x14ac:dyDescent="0.25">
      <c r="A36" s="114"/>
      <c r="B36" s="115"/>
      <c r="C36" s="115"/>
      <c r="D36" s="115"/>
      <c r="E36" s="115"/>
      <c r="F36" s="115"/>
      <c r="G36" s="115"/>
      <c r="H36" s="115"/>
      <c r="I36" s="115"/>
      <c r="J36" s="115"/>
      <c r="K36" s="116"/>
    </row>
    <row r="37" spans="1:11" x14ac:dyDescent="0.25">
      <c r="A37" s="114"/>
      <c r="B37" s="115"/>
      <c r="C37" s="115"/>
      <c r="D37" s="115"/>
      <c r="E37" s="115"/>
      <c r="F37" s="115"/>
      <c r="G37" s="115"/>
      <c r="H37" s="115"/>
      <c r="I37" s="115"/>
      <c r="J37" s="115"/>
      <c r="K37" s="116"/>
    </row>
    <row r="38" spans="1:11" x14ac:dyDescent="0.25">
      <c r="A38" s="114"/>
      <c r="B38" s="115"/>
      <c r="C38" s="115"/>
      <c r="D38" s="115"/>
      <c r="E38" s="115"/>
      <c r="F38" s="115"/>
      <c r="G38" s="115"/>
      <c r="H38" s="115"/>
      <c r="I38" s="115"/>
      <c r="J38" s="115"/>
      <c r="K38" s="116"/>
    </row>
    <row r="39" spans="1:11" x14ac:dyDescent="0.25">
      <c r="A39" s="114"/>
      <c r="B39" s="115"/>
      <c r="C39" s="115"/>
      <c r="D39" s="115"/>
      <c r="E39" s="115"/>
      <c r="F39" s="115"/>
      <c r="G39" s="115"/>
      <c r="H39" s="115"/>
      <c r="I39" s="115"/>
      <c r="J39" s="115"/>
      <c r="K39" s="116"/>
    </row>
    <row r="40" spans="1:11" x14ac:dyDescent="0.25">
      <c r="A40" s="114"/>
      <c r="B40" s="115"/>
      <c r="C40" s="115"/>
      <c r="D40" s="115"/>
      <c r="E40" s="115"/>
      <c r="F40" s="115"/>
      <c r="G40" s="115"/>
      <c r="H40" s="115"/>
      <c r="I40" s="115"/>
      <c r="J40" s="115"/>
      <c r="K40" s="116"/>
    </row>
    <row r="41" spans="1:11" x14ac:dyDescent="0.25">
      <c r="A41" s="114"/>
      <c r="B41" s="115"/>
      <c r="C41" s="115"/>
      <c r="D41" s="115"/>
      <c r="E41" s="115"/>
      <c r="F41" s="115"/>
      <c r="G41" s="115"/>
      <c r="H41" s="115"/>
      <c r="I41" s="115"/>
      <c r="J41" s="115"/>
      <c r="K41" s="116"/>
    </row>
    <row r="42" spans="1:11" ht="15.75" thickBot="1" x14ac:dyDescent="0.3">
      <c r="A42" s="117"/>
      <c r="B42" s="118"/>
      <c r="C42" s="118"/>
      <c r="D42" s="118"/>
      <c r="E42" s="118"/>
      <c r="F42" s="118"/>
      <c r="G42" s="118"/>
      <c r="H42" s="118"/>
      <c r="I42" s="118"/>
      <c r="J42" s="118"/>
      <c r="K42" s="119"/>
    </row>
  </sheetData>
  <mergeCells count="45">
    <mergeCell ref="O32:P32"/>
    <mergeCell ref="A34:K42"/>
    <mergeCell ref="A30:B30"/>
    <mergeCell ref="G30:H30"/>
    <mergeCell ref="I30:J30"/>
    <mergeCell ref="M30:N30"/>
    <mergeCell ref="A32:B32"/>
    <mergeCell ref="G32:H32"/>
    <mergeCell ref="I32:J32"/>
    <mergeCell ref="M32:N32"/>
    <mergeCell ref="O30:P30"/>
    <mergeCell ref="A31:B31"/>
    <mergeCell ref="G31:H31"/>
    <mergeCell ref="I31:J31"/>
    <mergeCell ref="M31:N31"/>
    <mergeCell ref="O31:P31"/>
    <mergeCell ref="A28:B28"/>
    <mergeCell ref="G28:H28"/>
    <mergeCell ref="I28:J28"/>
    <mergeCell ref="M28:N28"/>
    <mergeCell ref="O28:P28"/>
    <mergeCell ref="A29:B29"/>
    <mergeCell ref="G29:H29"/>
    <mergeCell ref="I29:J29"/>
    <mergeCell ref="M29:N29"/>
    <mergeCell ref="O29:P29"/>
    <mergeCell ref="A26:B26"/>
    <mergeCell ref="G26:H26"/>
    <mergeCell ref="I26:J26"/>
    <mergeCell ref="M26:N26"/>
    <mergeCell ref="O26:P26"/>
    <mergeCell ref="A27:B27"/>
    <mergeCell ref="G27:H27"/>
    <mergeCell ref="I27:J27"/>
    <mergeCell ref="M27:N27"/>
    <mergeCell ref="O27:P27"/>
    <mergeCell ref="E1:F1"/>
    <mergeCell ref="E2:F2"/>
    <mergeCell ref="A24:K24"/>
    <mergeCell ref="M24:Q24"/>
    <mergeCell ref="A25:B25"/>
    <mergeCell ref="G25:H25"/>
    <mergeCell ref="I25:J25"/>
    <mergeCell ref="M25:N25"/>
    <mergeCell ref="O25:P25"/>
  </mergeCells>
  <pageMargins left="0.25" right="0.25" top="0.75" bottom="0.75" header="0.3" footer="0.3"/>
  <pageSetup paperSize="9" scale="62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3C03734-5193-4DB6-BB87-62F7F237EDFF}">
          <x14:formula1>
            <xm:f>_xlfn.ANCHORARRAY('_Shipments'!$Y$2)</xm:f>
          </x14:formula1>
          <xm:sqref>C1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FA001-2B8D-47F1-AA11-5DC3C5937450}">
  <sheetPr>
    <tabColor rgb="FF002060"/>
  </sheetPr>
  <dimension ref="A1:E42"/>
  <sheetViews>
    <sheetView showGridLines="0" workbookViewId="0">
      <pane ySplit="1" topLeftCell="A2" activePane="bottomLeft" state="frozen"/>
      <selection pane="bottomLeft" activeCell="E34" sqref="E34"/>
    </sheetView>
  </sheetViews>
  <sheetFormatPr defaultRowHeight="15" x14ac:dyDescent="0.25"/>
  <cols>
    <col min="1" max="1" width="41.140625" bestFit="1" customWidth="1"/>
    <col min="2" max="2" width="15.140625" bestFit="1" customWidth="1"/>
    <col min="3" max="3" width="11.85546875" bestFit="1" customWidth="1"/>
    <col min="4" max="4" width="12.42578125" bestFit="1" customWidth="1"/>
    <col min="5" max="5" width="20.85546875" bestFit="1" customWidth="1"/>
  </cols>
  <sheetData>
    <row r="1" spans="1:5" x14ac:dyDescent="0.25">
      <c r="A1" s="46" t="str" cm="1">
        <f t="array" ref="A1:E29">_xlfn.LET(_xlpm.d,_xlfn.UNIQUE(_Shipments[[#Data],[Motorista]:[Transportadora]]),_xlfn.VSTACK(_Shipments[[#Headers],[Motorista]:[Transportadora]],_xlfn._xlws.SORT(_xlfn._xlws.FILTER(_xlpm.d,(INDEX(_xlpm.d,,1)&lt;&gt;0)*(INDEX(_xlpm.d,,1)&lt;&gt;"")),1,1)))</f>
        <v>Motorista</v>
      </c>
      <c r="B1" s="46" t="str">
        <v>Telefone</v>
      </c>
      <c r="C1" s="46" t="str">
        <v>Placa Cavalo</v>
      </c>
      <c r="D1" s="46" t="str">
        <v>Placa Carreta</v>
      </c>
      <c r="E1" s="46" t="str">
        <v>Transportadora</v>
      </c>
    </row>
    <row r="2" spans="1:5" x14ac:dyDescent="0.25">
      <c r="A2" s="86" t="str">
        <v>ANGELO CESAR DE MAGALHÃES</v>
      </c>
      <c r="B2" s="45">
        <v>34997330803</v>
      </c>
      <c r="C2" s="12" t="str">
        <v>HMV-6248</v>
      </c>
      <c r="D2" s="12" t="str">
        <v>SDF-2D75</v>
      </c>
      <c r="E2" s="12" t="str">
        <v>G10 TRANSPORTES S.A</v>
      </c>
    </row>
    <row r="3" spans="1:5" x14ac:dyDescent="0.25">
      <c r="A3" s="86" t="str">
        <v>DANIEL HENRIQUE DE SOUSA</v>
      </c>
      <c r="B3" s="45">
        <v>34996968579</v>
      </c>
      <c r="C3" s="12" t="str">
        <v>JDP-0H00</v>
      </c>
      <c r="D3" s="12" t="str">
        <v>QNE-8537</v>
      </c>
      <c r="E3" s="12" t="str">
        <v>G10 TRANSPORTES S.A</v>
      </c>
    </row>
    <row r="4" spans="1:5" x14ac:dyDescent="0.25">
      <c r="A4" s="86" t="str">
        <v>DENILSON LAZARO CORREA</v>
      </c>
      <c r="B4" s="45">
        <v>34999031784</v>
      </c>
      <c r="C4" s="12" t="str">
        <v>NSI-5E04</v>
      </c>
      <c r="D4" s="12" t="str">
        <v>SCU-6D73</v>
      </c>
      <c r="E4" s="12" t="str">
        <v>G10 TRANSPORTES S.A</v>
      </c>
    </row>
    <row r="5" spans="1:5" x14ac:dyDescent="0.25">
      <c r="A5" s="86" t="str">
        <v>ECIO CRISTINO FERREIRA</v>
      </c>
      <c r="B5" s="45">
        <v>34992119997</v>
      </c>
      <c r="C5" s="12" t="str">
        <v>QDC-5910</v>
      </c>
      <c r="D5" s="12" t="str">
        <v>HJC-1938</v>
      </c>
      <c r="E5" s="12" t="str">
        <v>G10 TRANSPORTES S.A</v>
      </c>
    </row>
    <row r="6" spans="1:5" x14ac:dyDescent="0.25">
      <c r="A6" s="86" t="str">
        <v>ERNANI EUSTAQUIO DE SOUSA</v>
      </c>
      <c r="B6" s="45">
        <v>34991030020</v>
      </c>
      <c r="C6" s="12" t="str">
        <v>BCG-7A17</v>
      </c>
      <c r="D6" s="12" t="str">
        <v>MSD-4B27</v>
      </c>
      <c r="E6" s="12" t="str">
        <v>G10 TRANSPORTES S.A</v>
      </c>
    </row>
    <row r="7" spans="1:5" x14ac:dyDescent="0.25">
      <c r="A7" s="86" t="str">
        <v>JOAO BRAZ DE OLIVEIRA</v>
      </c>
      <c r="B7" s="45">
        <v>34991337791</v>
      </c>
      <c r="C7" s="12" t="str">
        <v>GZV-6349</v>
      </c>
      <c r="D7" s="12" t="str">
        <v>ONR-6845</v>
      </c>
      <c r="E7" s="12" t="str">
        <v>G10 TRANSPORTES S.A</v>
      </c>
    </row>
    <row r="8" spans="1:5" x14ac:dyDescent="0.25">
      <c r="A8" s="86" t="str">
        <v>JOSE DOS REIS TEODORO</v>
      </c>
      <c r="B8" s="45">
        <v>34991525469</v>
      </c>
      <c r="C8" s="12" t="str">
        <v>AHO-3975</v>
      </c>
      <c r="D8" s="12" t="str">
        <v>PYP-8J98</v>
      </c>
      <c r="E8" s="12" t="str">
        <v>G10 TRANSPORTES S.A</v>
      </c>
    </row>
    <row r="9" spans="1:5" x14ac:dyDescent="0.25">
      <c r="A9" s="86" t="str">
        <v>JOSE VALDECIR CORREA</v>
      </c>
      <c r="B9" s="45" t="str">
        <v>(44) 9 9159-5938</v>
      </c>
      <c r="C9" s="12" t="str">
        <v>BCO-0157</v>
      </c>
      <c r="D9" s="12" t="str">
        <v>RHR-3J00</v>
      </c>
      <c r="E9" s="12" t="str">
        <v>G10 TRANSPORTES S.A</v>
      </c>
    </row>
    <row r="10" spans="1:5" x14ac:dyDescent="0.25">
      <c r="A10" s="86" t="str">
        <v>JULIO CESAR DE OLIVEIRA</v>
      </c>
      <c r="B10" s="45">
        <v>34999248710</v>
      </c>
      <c r="C10" s="12" t="str">
        <v>AZN-6580</v>
      </c>
      <c r="D10" s="12" t="str">
        <v>ORA-1733</v>
      </c>
      <c r="E10" s="12" t="str">
        <v>G10 TRANSPORTES S.A</v>
      </c>
    </row>
    <row r="11" spans="1:5" x14ac:dyDescent="0.25">
      <c r="A11" s="86" t="str">
        <v>KLEBER ADILSON LIUTI</v>
      </c>
      <c r="B11" s="45">
        <v>43998471112</v>
      </c>
      <c r="C11" s="12" t="str">
        <v>ATP-2E22</v>
      </c>
      <c r="D11" s="12" t="str">
        <v>UBL-9J85</v>
      </c>
      <c r="E11" s="12" t="str">
        <v>G10 TRANSPORTES S.A</v>
      </c>
    </row>
    <row r="12" spans="1:5" x14ac:dyDescent="0.25">
      <c r="A12" s="86" t="str">
        <v>LINDOMAR MOREIRA DE LIMA</v>
      </c>
      <c r="B12" s="45">
        <v>34991718554</v>
      </c>
      <c r="C12" s="12" t="str">
        <v>NFF-7194</v>
      </c>
      <c r="D12" s="12" t="str">
        <v>ONC-5436</v>
      </c>
      <c r="E12" s="12" t="str">
        <v>G10 TRANSPORTES S.A</v>
      </c>
    </row>
    <row r="13" spans="1:5" x14ac:dyDescent="0.25">
      <c r="A13" s="86" t="str">
        <v>MARCILIO NUNES GOMES</v>
      </c>
      <c r="B13" s="45">
        <v>38999337997</v>
      </c>
      <c r="C13" s="12" t="str">
        <v>FHS-8D82</v>
      </c>
      <c r="D13" s="12" t="str">
        <v>SJG-2J59</v>
      </c>
      <c r="E13" s="12" t="str">
        <v>G10 TRANSPORTES S.A</v>
      </c>
    </row>
    <row r="14" spans="1:5" x14ac:dyDescent="0.25">
      <c r="A14" s="86" t="str">
        <v>MARCIO A. BATISTA PEREIRA</v>
      </c>
      <c r="B14" s="45">
        <v>34997243006</v>
      </c>
      <c r="C14" s="12" t="str">
        <v>HMV-6248</v>
      </c>
      <c r="D14" s="12" t="str">
        <v>SDF-2D75</v>
      </c>
      <c r="E14" s="12" t="str">
        <v>G10 TRANSPORTES S.A</v>
      </c>
    </row>
    <row r="15" spans="1:5" x14ac:dyDescent="0.25">
      <c r="A15" s="86" t="str">
        <v>MARCO TULIO DE MELO</v>
      </c>
      <c r="B15" s="45">
        <v>63981169588</v>
      </c>
      <c r="C15" s="12" t="str">
        <v>RMV-3G04</v>
      </c>
      <c r="D15" s="12" t="str">
        <v>DAS-7D88</v>
      </c>
      <c r="E15" s="12" t="str">
        <v>G10 TRANSPORTES S.A</v>
      </c>
    </row>
    <row r="16" spans="1:5" x14ac:dyDescent="0.25">
      <c r="A16" s="86" t="str">
        <v>MAURINO DA SILVA CUSTODIO</v>
      </c>
      <c r="B16" s="45">
        <v>44999250098</v>
      </c>
      <c r="C16" s="12" t="str">
        <v>AWF-9A13</v>
      </c>
      <c r="D16" s="12" t="str">
        <v>SFH-0I25</v>
      </c>
      <c r="E16" s="12" t="str">
        <v>G10 TRANSPORTES S.A</v>
      </c>
    </row>
    <row r="17" spans="1:5" x14ac:dyDescent="0.25">
      <c r="A17" s="86" t="str">
        <v>MAURO FRANCISCO PEREIRA</v>
      </c>
      <c r="B17" s="45" t="str">
        <v>(34) 9 9916-1847</v>
      </c>
      <c r="C17" s="12" t="str">
        <v>NZA-0F96</v>
      </c>
      <c r="D17" s="12" t="str">
        <v>SYB-9E72</v>
      </c>
      <c r="E17" s="12" t="str">
        <v>G10 TRANSPORTES S.A</v>
      </c>
    </row>
    <row r="18" spans="1:5" x14ac:dyDescent="0.25">
      <c r="A18" s="86" t="str">
        <v>MAX RICARDO PANTALEAO</v>
      </c>
      <c r="B18" s="45">
        <v>34998133614</v>
      </c>
      <c r="C18" s="12" t="str">
        <v>CLJ-0296</v>
      </c>
      <c r="D18" s="12" t="str">
        <v>GIN-2F15</v>
      </c>
      <c r="E18" s="12" t="str">
        <v>G10 TRANSPORTES S.A</v>
      </c>
    </row>
    <row r="19" spans="1:5" x14ac:dyDescent="0.25">
      <c r="A19" s="86" t="str">
        <v>NATANIEL CICERO DA SILVA</v>
      </c>
      <c r="B19" s="45">
        <v>34999810409</v>
      </c>
      <c r="C19" s="12" t="str">
        <v>KFA-6J66</v>
      </c>
      <c r="D19" s="12" t="str">
        <v>GXH-5189</v>
      </c>
      <c r="E19" s="12" t="str">
        <v>G10 TRANSPORTES S.A</v>
      </c>
    </row>
    <row r="20" spans="1:5" x14ac:dyDescent="0.25">
      <c r="A20" s="86" t="str">
        <v>OSVANDO RODRIGUES ALVES</v>
      </c>
      <c r="B20" s="45">
        <v>34999233031</v>
      </c>
      <c r="C20" s="12" t="str">
        <v>QPW-2544</v>
      </c>
      <c r="D20" s="12" t="str">
        <v>GXA-1D43</v>
      </c>
      <c r="E20" s="12" t="str">
        <v>G10 TRANSPORTES S.A</v>
      </c>
    </row>
    <row r="21" spans="1:5" x14ac:dyDescent="0.25">
      <c r="A21" s="86" t="str">
        <v>RENIO JOSE PEREIRA</v>
      </c>
      <c r="B21" s="45">
        <v>34999994801</v>
      </c>
      <c r="C21" s="12" t="str">
        <v>FVY-2949</v>
      </c>
      <c r="D21" s="12" t="str">
        <v>PRE-8445</v>
      </c>
      <c r="E21" s="12" t="str">
        <v>G10 TRANSPORTES S.A</v>
      </c>
    </row>
    <row r="22" spans="1:5" x14ac:dyDescent="0.25">
      <c r="A22" s="86" t="str">
        <v>RENIVALDO RENATO DE QUEIROZ</v>
      </c>
      <c r="B22" s="45">
        <v>34999586631</v>
      </c>
      <c r="C22" s="12" t="str">
        <v>PVK-7548</v>
      </c>
      <c r="D22" s="12" t="str">
        <v>SHU-9A35</v>
      </c>
      <c r="E22" s="12" t="str">
        <v>G10 TRANSPORTES S.A</v>
      </c>
    </row>
    <row r="23" spans="1:5" x14ac:dyDescent="0.25">
      <c r="A23" s="86" t="str">
        <v>RICARDO JOSE DE SOUSA</v>
      </c>
      <c r="B23" s="45">
        <v>34991694434</v>
      </c>
      <c r="C23" s="12" t="str">
        <v>GVJ-6D48</v>
      </c>
      <c r="D23" s="12" t="str">
        <v>EQU-3J39</v>
      </c>
      <c r="E23" s="12" t="str">
        <v>G10 TRANSPORTES S.A</v>
      </c>
    </row>
    <row r="24" spans="1:5" x14ac:dyDescent="0.25">
      <c r="A24" s="86" t="str">
        <v>RODRIGO DOS REIS VIEIRA</v>
      </c>
      <c r="B24" s="45">
        <v>34997330803</v>
      </c>
      <c r="C24" s="12" t="str">
        <v>HZM-8D37</v>
      </c>
      <c r="D24" s="12" t="str">
        <v>OLF-8C62</v>
      </c>
      <c r="E24" s="12" t="str">
        <v>G10 TRANSPORTES S.A</v>
      </c>
    </row>
    <row r="25" spans="1:5" x14ac:dyDescent="0.25">
      <c r="A25" s="86" t="str">
        <v>TIAGO AUGUSTO SILVA</v>
      </c>
      <c r="B25" s="45">
        <v>34999252985</v>
      </c>
      <c r="C25" s="12" t="str">
        <v>JZU-1281</v>
      </c>
      <c r="D25" s="12" t="str">
        <v>GXH-6F18</v>
      </c>
      <c r="E25" s="12" t="str">
        <v>G10 TRANSPORTES S.A</v>
      </c>
    </row>
    <row r="26" spans="1:5" x14ac:dyDescent="0.25">
      <c r="A26" s="86" t="str">
        <v>VANDERLEI MARTINS RIBEIRO</v>
      </c>
      <c r="B26" s="45">
        <v>34991057132</v>
      </c>
      <c r="C26" s="12" t="str">
        <v>MGE-0221</v>
      </c>
      <c r="D26" s="12" t="str">
        <v>HOA-0455</v>
      </c>
      <c r="E26" s="12" t="str">
        <v>G10 TRANSPORTES S.A</v>
      </c>
    </row>
    <row r="27" spans="1:5" x14ac:dyDescent="0.25">
      <c r="A27" s="86" t="str">
        <v>WANDERSON VINICIUS DE SOUSA MACHADO</v>
      </c>
      <c r="B27" s="45">
        <v>34997412844</v>
      </c>
      <c r="C27" s="12" t="str">
        <v>QOG-5E00</v>
      </c>
      <c r="D27" s="12" t="str">
        <v>RVX-3C10</v>
      </c>
      <c r="E27" s="12" t="str">
        <v>G10 TRANSPORTES S.A</v>
      </c>
    </row>
    <row r="28" spans="1:5" x14ac:dyDescent="0.25">
      <c r="A28" s="86" t="str">
        <v>WELLINGTON WESLEY A. FERREIRA</v>
      </c>
      <c r="B28" s="45">
        <v>34999559998</v>
      </c>
      <c r="C28" s="12" t="str">
        <v>ITV-7C75</v>
      </c>
      <c r="D28" s="12" t="str">
        <v>RVS-2C71</v>
      </c>
      <c r="E28" s="12" t="str">
        <v>G10 TRANSPORTES S.A</v>
      </c>
    </row>
    <row r="29" spans="1:5" x14ac:dyDescent="0.25">
      <c r="A29" s="86" t="str">
        <v>WELTON DA SILVA LEMOS</v>
      </c>
      <c r="B29" s="45">
        <v>61999471983</v>
      </c>
      <c r="C29" s="12" t="str">
        <v>MCR-3964</v>
      </c>
      <c r="D29" s="12" t="str">
        <v>ACZ-8659</v>
      </c>
      <c r="E29" s="12" t="str">
        <v>G10 TRANSPORTES S.A</v>
      </c>
    </row>
    <row r="30" spans="1:5" x14ac:dyDescent="0.25">
      <c r="A30" s="86"/>
      <c r="B30" s="45"/>
      <c r="C30" s="12"/>
      <c r="D30" s="12"/>
      <c r="E30" s="12"/>
    </row>
    <row r="31" spans="1:5" x14ac:dyDescent="0.25">
      <c r="A31" s="86"/>
      <c r="B31" s="45"/>
      <c r="C31" s="12"/>
      <c r="D31" s="12"/>
      <c r="E31" s="12"/>
    </row>
    <row r="32" spans="1:5" x14ac:dyDescent="0.25">
      <c r="A32" s="86"/>
      <c r="B32" s="45"/>
      <c r="C32" s="12"/>
      <c r="D32" s="12"/>
      <c r="E32" s="12"/>
    </row>
    <row r="33" spans="1:5" x14ac:dyDescent="0.25">
      <c r="A33" s="86"/>
      <c r="B33" s="45"/>
      <c r="C33" s="12"/>
      <c r="D33" s="12"/>
      <c r="E33" s="12"/>
    </row>
    <row r="34" spans="1:5" x14ac:dyDescent="0.25">
      <c r="A34" s="86"/>
      <c r="B34" s="45"/>
      <c r="C34" s="12"/>
      <c r="D34" s="12"/>
      <c r="E34" s="12"/>
    </row>
    <row r="35" spans="1:5" x14ac:dyDescent="0.25">
      <c r="A35" s="86"/>
      <c r="B35" s="45"/>
      <c r="C35" s="12"/>
      <c r="D35" s="12"/>
      <c r="E35" s="12"/>
    </row>
    <row r="36" spans="1:5" x14ac:dyDescent="0.25">
      <c r="A36" s="86"/>
      <c r="B36" s="45"/>
      <c r="C36" s="12"/>
      <c r="D36" s="12"/>
      <c r="E36" s="12"/>
    </row>
    <row r="37" spans="1:5" x14ac:dyDescent="0.25">
      <c r="A37" s="86"/>
      <c r="B37" s="45"/>
      <c r="C37" s="12"/>
      <c r="D37" s="12"/>
      <c r="E37" s="12"/>
    </row>
    <row r="38" spans="1:5" x14ac:dyDescent="0.25">
      <c r="A38" s="86"/>
      <c r="B38" s="45"/>
      <c r="C38" s="12"/>
      <c r="D38" s="12"/>
      <c r="E38" s="12"/>
    </row>
    <row r="39" spans="1:5" x14ac:dyDescent="0.25">
      <c r="A39" s="86"/>
      <c r="B39" s="45"/>
      <c r="C39" s="12"/>
      <c r="D39" s="12"/>
      <c r="E39" s="12"/>
    </row>
    <row r="40" spans="1:5" x14ac:dyDescent="0.25">
      <c r="A40" s="86"/>
      <c r="B40" s="45"/>
      <c r="C40" s="12"/>
      <c r="D40" s="12"/>
      <c r="E40" s="12"/>
    </row>
    <row r="41" spans="1:5" x14ac:dyDescent="0.25">
      <c r="A41" s="86"/>
      <c r="B41" s="45"/>
      <c r="C41" s="12"/>
      <c r="D41" s="12"/>
      <c r="E41" s="12"/>
    </row>
    <row r="42" spans="1:5" x14ac:dyDescent="0.25">
      <c r="A42" s="86"/>
      <c r="B42" s="45"/>
      <c r="C42" s="12"/>
      <c r="D42" s="12"/>
      <c r="E42" s="12"/>
    </row>
  </sheetData>
  <sortState xmlns:xlrd2="http://schemas.microsoft.com/office/spreadsheetml/2017/richdata2" ref="A1:E23">
    <sortCondition ref="A2:A23"/>
  </sortState>
  <conditionalFormatting sqref="A1:A1048576">
    <cfRule type="duplicateValues" dxfId="23" priority="2"/>
  </conditionalFormatting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EA588A2EA185941BA4A18731E20B9AC" ma:contentTypeVersion="13" ma:contentTypeDescription="Crie um novo documento." ma:contentTypeScope="" ma:versionID="501654081b56416a8fea4d0fd374ebe3">
  <xsd:schema xmlns:xsd="http://www.w3.org/2001/XMLSchema" xmlns:xs="http://www.w3.org/2001/XMLSchema" xmlns:p="http://schemas.microsoft.com/office/2006/metadata/properties" xmlns:ns2="65da0854-be9b-4453-b97a-bb9a199b20aa" xmlns:ns3="695c12ec-597a-42a6-ad07-ee66221706b0" targetNamespace="http://schemas.microsoft.com/office/2006/metadata/properties" ma:root="true" ma:fieldsID="b7d37ad4179e166a387b6ecbe6d7ac46" ns2:_="" ns3:_="">
    <xsd:import namespace="65da0854-be9b-4453-b97a-bb9a199b20aa"/>
    <xsd:import namespace="695c12ec-597a-42a6-ad07-ee66221706b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da0854-be9b-4453-b97a-bb9a199b20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cb8930bb-28a7-4d32-b228-a014d30915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5c12ec-597a-42a6-ad07-ee66221706b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9f03972-692c-4b57-927b-6754f1245160}" ma:internalName="TaxCatchAll" ma:showField="CatchAllData" ma:web="695c12ec-597a-42a6-ad07-ee66221706b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5da0854-be9b-4453-b97a-bb9a199b20aa">
      <Terms xmlns="http://schemas.microsoft.com/office/infopath/2007/PartnerControls"/>
    </lcf76f155ced4ddcb4097134ff3c332f>
    <TaxCatchAll xmlns="695c12ec-597a-42a6-ad07-ee66221706b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EE3D9026-171D-4145-9751-985657FCB0A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5da0854-be9b-4453-b97a-bb9a199b20aa"/>
    <ds:schemaRef ds:uri="695c12ec-597a-42a6-ad07-ee66221706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54CF9E5-3A90-40DA-9C6A-993DB3D4F19F}">
  <ds:schemaRefs>
    <ds:schemaRef ds:uri="http://schemas.microsoft.com/office/2006/metadata/properties"/>
    <ds:schemaRef ds:uri="http://schemas.microsoft.com/office/infopath/2007/PartnerControls"/>
    <ds:schemaRef ds:uri="65da0854-be9b-4453-b97a-bb9a199b20aa"/>
    <ds:schemaRef ds:uri="695c12ec-597a-42a6-ad07-ee66221706b0"/>
  </ds:schemaRefs>
</ds:datastoreItem>
</file>

<file path=customXml/itemProps3.xml><?xml version="1.0" encoding="utf-8"?>
<ds:datastoreItem xmlns:ds="http://schemas.openxmlformats.org/officeDocument/2006/customXml" ds:itemID="{0009C271-4A50-4281-BA1D-D6161705E171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C6BB5560-BC76-401F-9523-E6C2D38B6E4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_Shipments_BKP</vt:lpstr>
      <vt:lpstr>_Shipments</vt:lpstr>
      <vt:lpstr>E-mail</vt:lpstr>
      <vt:lpstr>Formulário de impressão</vt:lpstr>
      <vt:lpstr>BD_MOTORISTAS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Barrelin</dc:creator>
  <cp:lastModifiedBy>Luis Barrelin</cp:lastModifiedBy>
  <cp:lastPrinted>2026-09-30T19:02:37Z</cp:lastPrinted>
  <dcterms:created xsi:type="dcterms:W3CDTF">2015-06-05T18:19:34Z</dcterms:created>
  <dcterms:modified xsi:type="dcterms:W3CDTF">2026-10-01T12:52:59Z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0x010100DEA588A2EA185941BA4A18731E20B9AC</vt:lpwstr>
  </property>
  <property fmtid="{D5CDD505-2E9C-101B-9397-08002B2CF9AE}" pid="3" name="MediaServiceImageTags">
    <vt:lpwstr/>
  </property>
</Properties>
</file>